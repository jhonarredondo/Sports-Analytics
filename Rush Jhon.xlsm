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dor\Desktop\"/>
    </mc:Choice>
  </mc:AlternateContent>
  <xr:revisionPtr revIDLastSave="0" documentId="13_ncr:1_{A1A65D88-38E8-4994-81E2-566FF6240694}" xr6:coauthVersionLast="45" xr6:coauthVersionMax="45" xr10:uidLastSave="{00000000-0000-0000-0000-000000000000}"/>
  <bookViews>
    <workbookView xWindow="-120" yWindow="-120" windowWidth="20730" windowHeight="11160" activeTab="2" xr2:uid="{DA35325E-D4D0-47A4-B61A-8BA0D1CA0EF0}"/>
  </bookViews>
  <sheets>
    <sheet name="Hoja1" sheetId="1" r:id="rId1"/>
    <sheet name="Base de Datos - Equipos" sheetId="10" r:id="rId2"/>
    <sheet name="Resultados" sheetId="2" r:id="rId3"/>
    <sheet name="Predicciones" sheetId="7" r:id="rId4"/>
    <sheet name="XGBoost parametros" sheetId="11" r:id="rId5"/>
    <sheet name="XGB Goles" sheetId="12" r:id="rId6"/>
    <sheet name="Registro Error" sheetId="5" r:id="rId7"/>
    <sheet name="Ganancias Dia" sheetId="6" r:id="rId8"/>
  </sheets>
  <definedNames>
    <definedName name="_xlnm._FilterDatabase" localSheetId="2" hidden="1">Resultados!$A$1:$BN$772</definedName>
    <definedName name="solver_adj" localSheetId="5" hidden="1">'XGB Goles'!$J$6:$P$6</definedName>
    <definedName name="solver_adj" localSheetId="4" hidden="1">'XGBoost parametros'!$J$6:$P$6</definedName>
    <definedName name="solver_cvg" localSheetId="5" hidden="1">0.0001</definedName>
    <definedName name="solver_cvg" localSheetId="4" hidden="1">0.0001</definedName>
    <definedName name="solver_drv" localSheetId="5" hidden="1">1</definedName>
    <definedName name="solver_drv" localSheetId="4" hidden="1">1</definedName>
    <definedName name="solver_eng" localSheetId="6" hidden="1">1</definedName>
    <definedName name="solver_eng" localSheetId="5" hidden="1">1</definedName>
    <definedName name="solver_eng" localSheetId="4" hidden="1">1</definedName>
    <definedName name="solver_est" localSheetId="5" hidden="1">1</definedName>
    <definedName name="solver_est" localSheetId="4" hidden="1">1</definedName>
    <definedName name="solver_itr" localSheetId="5" hidden="1">2147483647</definedName>
    <definedName name="solver_itr" localSheetId="4" hidden="1">2147483647</definedName>
    <definedName name="solver_lhs1" localSheetId="5" hidden="1">'XGB Goles'!$J$6:$P$6</definedName>
    <definedName name="solver_lhs1" localSheetId="4" hidden="1">'XGBoost parametros'!$J$6:$P$6</definedName>
    <definedName name="solver_lhs2" localSheetId="5" hidden="1">'XGB Goles'!$J$6:$P$6</definedName>
    <definedName name="solver_lhs2" localSheetId="4" hidden="1">'XGBoost parametros'!$J$6:$P$6</definedName>
    <definedName name="solver_lhs3" localSheetId="5" hidden="1">'XGB Goles'!$L$6</definedName>
    <definedName name="solver_lhs3" localSheetId="4" hidden="1">'XGBoost parametros'!$L$6</definedName>
    <definedName name="solver_lhs4" localSheetId="5" hidden="1">'XGB Goles'!$M$6</definedName>
    <definedName name="solver_lhs4" localSheetId="4" hidden="1">'XGBoost parametros'!$M$6</definedName>
    <definedName name="solver_lhs5" localSheetId="5" hidden="1">'XGB Goles'!$P$6</definedName>
    <definedName name="solver_lhs5" localSheetId="4" hidden="1">'XGBoost parametros'!$P$6</definedName>
    <definedName name="solver_lhs6" localSheetId="5" hidden="1">'XGB Goles'!$P$6</definedName>
    <definedName name="solver_lhs7" localSheetId="5" hidden="1">'XGB Goles'!$P$6</definedName>
    <definedName name="solver_mip" localSheetId="5" hidden="1">2147483647</definedName>
    <definedName name="solver_mip" localSheetId="4" hidden="1">2147483647</definedName>
    <definedName name="solver_mni" localSheetId="5" hidden="1">30</definedName>
    <definedName name="solver_mni" localSheetId="4" hidden="1">30</definedName>
    <definedName name="solver_mrt" localSheetId="5" hidden="1">0.075</definedName>
    <definedName name="solver_mrt" localSheetId="4" hidden="1">0.075</definedName>
    <definedName name="solver_msl" localSheetId="5" hidden="1">2</definedName>
    <definedName name="solver_msl" localSheetId="4" hidden="1">2</definedName>
    <definedName name="solver_neg" localSheetId="6" hidden="1">1</definedName>
    <definedName name="solver_neg" localSheetId="5" hidden="1">1</definedName>
    <definedName name="solver_neg" localSheetId="4" hidden="1">1</definedName>
    <definedName name="solver_nod" localSheetId="5" hidden="1">2147483647</definedName>
    <definedName name="solver_nod" localSheetId="4" hidden="1">2147483647</definedName>
    <definedName name="solver_num" localSheetId="6" hidden="1">0</definedName>
    <definedName name="solver_num" localSheetId="5" hidden="1">5</definedName>
    <definedName name="solver_num" localSheetId="4" hidden="1">5</definedName>
    <definedName name="solver_nwt" localSheetId="5" hidden="1">1</definedName>
    <definedName name="solver_nwt" localSheetId="4" hidden="1">1</definedName>
    <definedName name="solver_opt" localSheetId="6" hidden="1">'Registro Error'!$I$6</definedName>
    <definedName name="solver_opt" localSheetId="5" hidden="1">'XGB Goles'!$Q$6</definedName>
    <definedName name="solver_opt" localSheetId="4" hidden="1">'XGBoost parametros'!$Q$6</definedName>
    <definedName name="solver_pre" localSheetId="5" hidden="1">0.000001</definedName>
    <definedName name="solver_pre" localSheetId="4" hidden="1">0.000001</definedName>
    <definedName name="solver_rbv" localSheetId="5" hidden="1">1</definedName>
    <definedName name="solver_rbv" localSheetId="4" hidden="1">1</definedName>
    <definedName name="solver_rel1" localSheetId="5" hidden="1">1</definedName>
    <definedName name="solver_rel1" localSheetId="4" hidden="1">1</definedName>
    <definedName name="solver_rel2" localSheetId="5" hidden="1">3</definedName>
    <definedName name="solver_rel2" localSheetId="4" hidden="1">3</definedName>
    <definedName name="solver_rel3" localSheetId="5" hidden="1">4</definedName>
    <definedName name="solver_rel3" localSheetId="4" hidden="1">4</definedName>
    <definedName name="solver_rel4" localSheetId="5" hidden="1">4</definedName>
    <definedName name="solver_rel4" localSheetId="4" hidden="1">4</definedName>
    <definedName name="solver_rel5" localSheetId="5" hidden="1">4</definedName>
    <definedName name="solver_rel5" localSheetId="4" hidden="1">4</definedName>
    <definedName name="solver_rel6" localSheetId="5" hidden="1">4</definedName>
    <definedName name="solver_rel7" localSheetId="5" hidden="1">4</definedName>
    <definedName name="solver_rhs1" localSheetId="5" hidden="1">'XGB Goles'!$J$7:$P$7</definedName>
    <definedName name="solver_rhs1" localSheetId="4" hidden="1">'XGBoost parametros'!$J$7:$P$7</definedName>
    <definedName name="solver_rhs2" localSheetId="5" hidden="1">'XGB Goles'!$J$8:$P$8</definedName>
    <definedName name="solver_rhs2" localSheetId="4" hidden="1">'XGBoost parametros'!$J$8:$P$8</definedName>
    <definedName name="solver_rhs3" localSheetId="5" hidden="1">"entero"</definedName>
    <definedName name="solver_rhs3" localSheetId="4" hidden="1">"entero"</definedName>
    <definedName name="solver_rhs4" localSheetId="5" hidden="1">"entero"</definedName>
    <definedName name="solver_rhs4" localSheetId="4" hidden="1">"entero"</definedName>
    <definedName name="solver_rhs5" localSheetId="5" hidden="1">"entero"</definedName>
    <definedName name="solver_rhs5" localSheetId="4" hidden="1">"entero"</definedName>
    <definedName name="solver_rhs6" localSheetId="5" hidden="1">"entero"</definedName>
    <definedName name="solver_rhs7" localSheetId="5" hidden="1">"entero"</definedName>
    <definedName name="solver_rlx" localSheetId="5" hidden="1">2</definedName>
    <definedName name="solver_rlx" localSheetId="4" hidden="1">2</definedName>
    <definedName name="solver_rsd" localSheetId="5" hidden="1">0</definedName>
    <definedName name="solver_rsd" localSheetId="4" hidden="1">0</definedName>
    <definedName name="solver_scl" localSheetId="5" hidden="1">1</definedName>
    <definedName name="solver_scl" localSheetId="4" hidden="1">1</definedName>
    <definedName name="solver_sho" localSheetId="5" hidden="1">2</definedName>
    <definedName name="solver_sho" localSheetId="4" hidden="1">2</definedName>
    <definedName name="solver_ssz" localSheetId="5" hidden="1">100</definedName>
    <definedName name="solver_ssz" localSheetId="4" hidden="1">100</definedName>
    <definedName name="solver_tim" localSheetId="5" hidden="1">2147483647</definedName>
    <definedName name="solver_tim" localSheetId="4" hidden="1">2147483647</definedName>
    <definedName name="solver_tol" localSheetId="5" hidden="1">0.01</definedName>
    <definedName name="solver_tol" localSheetId="4" hidden="1">0.01</definedName>
    <definedName name="solver_typ" localSheetId="6" hidden="1">1</definedName>
    <definedName name="solver_typ" localSheetId="5" hidden="1">3</definedName>
    <definedName name="solver_typ" localSheetId="4" hidden="1">3</definedName>
    <definedName name="solver_val" localSheetId="6" hidden="1">0</definedName>
    <definedName name="solver_val" localSheetId="5" hidden="1">0</definedName>
    <definedName name="solver_val" localSheetId="4" hidden="1">0</definedName>
    <definedName name="solver_ver" localSheetId="6" hidden="1">3</definedName>
    <definedName name="solver_ver" localSheetId="5" hidden="1">3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5" i="1" l="1"/>
  <c r="E2" i="1" l="1"/>
  <c r="E6" i="1"/>
  <c r="Q6" i="11" l="1"/>
  <c r="H21" i="12" l="1"/>
  <c r="Q6" i="12" l="1"/>
  <c r="J3" i="12" l="1"/>
  <c r="Q3" i="12"/>
  <c r="P3" i="12"/>
  <c r="O3" i="12"/>
  <c r="N3" i="12"/>
  <c r="M3" i="12"/>
  <c r="L3" i="12"/>
  <c r="K3" i="12"/>
  <c r="Q2" i="12"/>
  <c r="P2" i="12"/>
  <c r="O2" i="12"/>
  <c r="N2" i="12"/>
  <c r="M2" i="12"/>
  <c r="L2" i="12"/>
  <c r="K2" i="12"/>
  <c r="J2" i="12"/>
  <c r="S9" i="7" l="1"/>
  <c r="S7" i="7"/>
  <c r="S5" i="7"/>
  <c r="U5" i="7" l="1"/>
  <c r="U7" i="7"/>
  <c r="U9" i="7"/>
  <c r="L27" i="7" l="1"/>
  <c r="M27" i="7"/>
  <c r="N27" i="7"/>
  <c r="O27" i="7"/>
  <c r="P27" i="7"/>
  <c r="Q27" i="7"/>
  <c r="R27" i="7"/>
  <c r="S27" i="7"/>
  <c r="U27" i="7" s="1"/>
  <c r="L28" i="7"/>
  <c r="M28" i="7"/>
  <c r="N28" i="7"/>
  <c r="O28" i="7"/>
  <c r="P28" i="7"/>
  <c r="Q28" i="7"/>
  <c r="R28" i="7"/>
  <c r="S28" i="7"/>
  <c r="U28" i="7" s="1"/>
  <c r="L29" i="7"/>
  <c r="M29" i="7"/>
  <c r="N29" i="7"/>
  <c r="O29" i="7"/>
  <c r="P29" i="7"/>
  <c r="Q29" i="7"/>
  <c r="R29" i="7"/>
  <c r="S29" i="7"/>
  <c r="U29" i="7" s="1"/>
  <c r="L30" i="7"/>
  <c r="M30" i="7"/>
  <c r="N30" i="7"/>
  <c r="O30" i="7"/>
  <c r="P30" i="7"/>
  <c r="Q30" i="7"/>
  <c r="R30" i="7"/>
  <c r="S30" i="7"/>
  <c r="U30" i="7" s="1"/>
  <c r="L31" i="7"/>
  <c r="M31" i="7"/>
  <c r="N31" i="7"/>
  <c r="O31" i="7"/>
  <c r="P31" i="7"/>
  <c r="Q31" i="7"/>
  <c r="R31" i="7"/>
  <c r="S31" i="7"/>
  <c r="U31" i="7" s="1"/>
  <c r="L32" i="7"/>
  <c r="M32" i="7"/>
  <c r="N32" i="7"/>
  <c r="O32" i="7"/>
  <c r="P32" i="7"/>
  <c r="Q32" i="7"/>
  <c r="R32" i="7"/>
  <c r="S32" i="7"/>
  <c r="U32" i="7" s="1"/>
  <c r="L33" i="7"/>
  <c r="M33" i="7"/>
  <c r="N33" i="7"/>
  <c r="O33" i="7"/>
  <c r="P33" i="7"/>
  <c r="Q33" i="7"/>
  <c r="R33" i="7"/>
  <c r="S33" i="7"/>
  <c r="U33" i="7" s="1"/>
  <c r="L34" i="7"/>
  <c r="M34" i="7"/>
  <c r="N34" i="7"/>
  <c r="O34" i="7"/>
  <c r="P34" i="7"/>
  <c r="Q34" i="7"/>
  <c r="R34" i="7"/>
  <c r="S34" i="7"/>
  <c r="U34" i="7" s="1"/>
  <c r="L35" i="7"/>
  <c r="M35" i="7"/>
  <c r="N35" i="7"/>
  <c r="O35" i="7"/>
  <c r="P35" i="7"/>
  <c r="Q35" i="7"/>
  <c r="R35" i="7"/>
  <c r="S35" i="7"/>
  <c r="U35" i="7" s="1"/>
  <c r="L36" i="7"/>
  <c r="M36" i="7"/>
  <c r="N36" i="7"/>
  <c r="O36" i="7"/>
  <c r="P36" i="7"/>
  <c r="Q36" i="7"/>
  <c r="R36" i="7"/>
  <c r="S36" i="7"/>
  <c r="U36" i="7" s="1"/>
  <c r="L37" i="7"/>
  <c r="M37" i="7"/>
  <c r="N37" i="7"/>
  <c r="O37" i="7"/>
  <c r="P37" i="7"/>
  <c r="Q37" i="7"/>
  <c r="R37" i="7"/>
  <c r="S37" i="7"/>
  <c r="U37" i="7" s="1"/>
  <c r="L38" i="7"/>
  <c r="M38" i="7"/>
  <c r="N38" i="7"/>
  <c r="O38" i="7"/>
  <c r="P38" i="7"/>
  <c r="Q38" i="7"/>
  <c r="R38" i="7"/>
  <c r="S38" i="7"/>
  <c r="U38" i="7" s="1"/>
  <c r="L39" i="7"/>
  <c r="M39" i="7"/>
  <c r="N39" i="7"/>
  <c r="O39" i="7"/>
  <c r="P39" i="7"/>
  <c r="Q39" i="7"/>
  <c r="R39" i="7"/>
  <c r="S39" i="7"/>
  <c r="U39" i="7" s="1"/>
  <c r="L40" i="7"/>
  <c r="M40" i="7"/>
  <c r="N40" i="7"/>
  <c r="O40" i="7"/>
  <c r="P40" i="7"/>
  <c r="Q40" i="7"/>
  <c r="R40" i="7"/>
  <c r="S40" i="7"/>
  <c r="U40" i="7" s="1"/>
  <c r="L41" i="7"/>
  <c r="M41" i="7"/>
  <c r="N41" i="7"/>
  <c r="O41" i="7"/>
  <c r="P41" i="7"/>
  <c r="Q41" i="7"/>
  <c r="R41" i="7"/>
  <c r="S41" i="7"/>
  <c r="U41" i="7" s="1"/>
  <c r="L42" i="7"/>
  <c r="M42" i="7"/>
  <c r="N42" i="7"/>
  <c r="O42" i="7"/>
  <c r="P42" i="7"/>
  <c r="Q42" i="7"/>
  <c r="R42" i="7"/>
  <c r="S42" i="7"/>
  <c r="U42" i="7" s="1"/>
  <c r="L43" i="7"/>
  <c r="M43" i="7"/>
  <c r="N43" i="7"/>
  <c r="O43" i="7"/>
  <c r="P43" i="7"/>
  <c r="Q43" i="7"/>
  <c r="R43" i="7"/>
  <c r="S43" i="7"/>
  <c r="U43" i="7" s="1"/>
  <c r="L44" i="7"/>
  <c r="M44" i="7"/>
  <c r="N44" i="7"/>
  <c r="O44" i="7"/>
  <c r="P44" i="7"/>
  <c r="Q44" i="7"/>
  <c r="R44" i="7"/>
  <c r="S44" i="7"/>
  <c r="U44" i="7" s="1"/>
  <c r="L45" i="7"/>
  <c r="M45" i="7"/>
  <c r="N45" i="7"/>
  <c r="O45" i="7"/>
  <c r="P45" i="7"/>
  <c r="Q45" i="7"/>
  <c r="R45" i="7"/>
  <c r="S45" i="7"/>
  <c r="U45" i="7" s="1"/>
  <c r="K3" i="11" l="1"/>
  <c r="L3" i="11"/>
  <c r="M3" i="11"/>
  <c r="N3" i="11"/>
  <c r="O3" i="11"/>
  <c r="P3" i="11"/>
  <c r="Q3" i="11"/>
  <c r="J3" i="11"/>
  <c r="K2" i="11"/>
  <c r="L2" i="11"/>
  <c r="M2" i="11"/>
  <c r="N2" i="11"/>
  <c r="O2" i="11"/>
  <c r="P2" i="11"/>
  <c r="Q2" i="11"/>
  <c r="J2" i="11"/>
  <c r="S3" i="7" l="1"/>
  <c r="U3" i="7" s="1"/>
  <c r="S4" i="7"/>
  <c r="U4" i="7" s="1"/>
  <c r="S6" i="7"/>
  <c r="U6" i="7" s="1"/>
  <c r="S8" i="7"/>
  <c r="U8" i="7" s="1"/>
  <c r="S10" i="7"/>
  <c r="U10" i="7" s="1"/>
  <c r="S11" i="7"/>
  <c r="U11" i="7" s="1"/>
  <c r="S12" i="7"/>
  <c r="U12" i="7" s="1"/>
  <c r="S13" i="7"/>
  <c r="U13" i="7" s="1"/>
  <c r="S14" i="7"/>
  <c r="U14" i="7" s="1"/>
  <c r="S15" i="7"/>
  <c r="U15" i="7" s="1"/>
  <c r="S16" i="7"/>
  <c r="U16" i="7" s="1"/>
  <c r="S17" i="7"/>
  <c r="U17" i="7" s="1"/>
  <c r="S18" i="7"/>
  <c r="U18" i="7" s="1"/>
  <c r="S19" i="7"/>
  <c r="U19" i="7" s="1"/>
  <c r="S20" i="7"/>
  <c r="U20" i="7" s="1"/>
  <c r="S21" i="7"/>
  <c r="U21" i="7" s="1"/>
  <c r="S22" i="7"/>
  <c r="U22" i="7" s="1"/>
  <c r="S23" i="7"/>
  <c r="U23" i="7" s="1"/>
  <c r="S24" i="7"/>
  <c r="U24" i="7" s="1"/>
  <c r="S25" i="7"/>
  <c r="U25" i="7" s="1"/>
  <c r="S26" i="7"/>
  <c r="U26" i="7" s="1"/>
  <c r="S2" i="7"/>
  <c r="U2" i="7" s="1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" i="7"/>
  <c r="N2" i="7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" i="7"/>
  <c r="V2" i="7" l="1"/>
  <c r="F39" i="5"/>
  <c r="E39" i="5"/>
  <c r="N8" i="1" l="1"/>
  <c r="Q19" i="1"/>
  <c r="Q20" i="1"/>
  <c r="P20" i="1"/>
  <c r="P19" i="1"/>
  <c r="O19" i="1"/>
  <c r="E2" i="6" l="1"/>
  <c r="I193" i="2" l="1"/>
  <c r="I194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O20" i="7" l="1"/>
  <c r="N20" i="7" l="1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Q9" i="7" l="1"/>
  <c r="P3" i="7"/>
  <c r="Q3" i="7"/>
  <c r="P4" i="7"/>
  <c r="Q4" i="7"/>
  <c r="P5" i="7"/>
  <c r="Q5" i="7"/>
  <c r="P6" i="7"/>
  <c r="Q6" i="7"/>
  <c r="P7" i="7"/>
  <c r="Q7" i="7"/>
  <c r="P8" i="7"/>
  <c r="Q8" i="7"/>
  <c r="P9" i="7"/>
  <c r="P10" i="7"/>
  <c r="Q10" i="7"/>
  <c r="P11" i="7"/>
  <c r="Q11" i="7"/>
  <c r="P12" i="7"/>
  <c r="Q12" i="7"/>
  <c r="P13" i="7"/>
  <c r="Q13" i="7"/>
  <c r="P14" i="7"/>
  <c r="Q14" i="7"/>
  <c r="P15" i="7"/>
  <c r="Q15" i="7"/>
  <c r="P16" i="7"/>
  <c r="Q16" i="7"/>
  <c r="P17" i="7"/>
  <c r="Q17" i="7"/>
  <c r="P18" i="7"/>
  <c r="Q18" i="7"/>
  <c r="P19" i="7"/>
  <c r="Q19" i="7"/>
  <c r="Q2" i="7"/>
  <c r="P2" i="7"/>
  <c r="C39" i="5"/>
  <c r="D39" i="5"/>
  <c r="B39" i="5" l="1"/>
  <c r="A39" i="5"/>
  <c r="O3" i="7" l="1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E3" i="6" l="1"/>
  <c r="B15" i="1" l="1"/>
  <c r="C15" i="1"/>
  <c r="A15" i="1"/>
  <c r="B3" i="1" l="1"/>
  <c r="F7" i="6" l="1"/>
  <c r="E10" i="1" l="1"/>
  <c r="B11" i="1" l="1"/>
  <c r="C11" i="1"/>
  <c r="D11" i="1"/>
  <c r="C19" i="1" l="1"/>
  <c r="C20" i="1"/>
  <c r="A10" i="1" l="1"/>
  <c r="A6" i="1"/>
  <c r="A2" i="1"/>
  <c r="D20" i="1"/>
  <c r="E20" i="1"/>
  <c r="F20" i="1"/>
  <c r="G20" i="1"/>
  <c r="H20" i="1"/>
  <c r="I20" i="1"/>
  <c r="J20" i="1"/>
  <c r="K20" i="1"/>
  <c r="L20" i="1"/>
  <c r="M20" i="1"/>
  <c r="N20" i="1"/>
  <c r="O20" i="1"/>
  <c r="D19" i="1"/>
  <c r="E19" i="1"/>
  <c r="F19" i="1"/>
  <c r="G19" i="1"/>
  <c r="H19" i="1"/>
  <c r="I19" i="1"/>
  <c r="J19" i="1"/>
  <c r="K19" i="1"/>
  <c r="L19" i="1"/>
  <c r="M19" i="1"/>
  <c r="N19" i="1"/>
  <c r="D7" i="1" l="1"/>
  <c r="B7" i="1"/>
  <c r="C7" i="1"/>
  <c r="D3" i="1"/>
  <c r="C3" i="1"/>
  <c r="B8" i="1" l="1"/>
  <c r="C12" i="1"/>
  <c r="C8" i="1"/>
  <c r="B12" i="1"/>
  <c r="D8" i="1"/>
  <c r="B4" i="1"/>
  <c r="I1" i="1" s="1"/>
  <c r="D12" i="1"/>
  <c r="A16" i="1" l="1"/>
  <c r="E8" i="1"/>
  <c r="E12" i="1"/>
  <c r="E7" i="6" l="1"/>
  <c r="G7" i="6" s="1"/>
  <c r="O8" i="1" l="1"/>
  <c r="P8" i="1" l="1"/>
  <c r="Q8" i="1" l="1"/>
  <c r="C4" i="1" l="1"/>
  <c r="B16" i="1" s="1"/>
  <c r="D4" i="1"/>
  <c r="C16" i="1" s="1"/>
  <c r="K1" i="1" l="1"/>
  <c r="J1" i="1"/>
  <c r="E4" i="1"/>
  <c r="D1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Leasing</author>
  </authors>
  <commentList>
    <comment ref="F14" authorId="0" shapeId="0" xr:uid="{868802D5-F6C2-452F-B81C-C34F0239B546}">
      <text>
        <r>
          <rPr>
            <b/>
            <sz val="9"/>
            <color indexed="81"/>
            <rFont val="Tahoma"/>
            <family val="2"/>
          </rPr>
          <t>Leasing:</t>
        </r>
        <r>
          <rPr>
            <sz val="9"/>
            <color indexed="81"/>
            <rFont val="Tahoma"/>
            <family val="2"/>
          </rPr>
          <t xml:space="preserve">
Transfermarkt</t>
        </r>
      </text>
    </comment>
    <comment ref="J14" authorId="0" shapeId="0" xr:uid="{9DC66E97-32B6-4367-9C89-92FD23749611}">
      <text>
        <r>
          <rPr>
            <b/>
            <sz val="9"/>
            <color indexed="81"/>
            <rFont val="Tahoma"/>
            <family val="2"/>
          </rPr>
          <t>Leasing:</t>
        </r>
        <r>
          <rPr>
            <sz val="9"/>
            <color indexed="81"/>
            <rFont val="Tahoma"/>
            <family val="2"/>
          </rPr>
          <t xml:space="preserve">
https://m.forebet.com/es/predicciones-para-hoy/by-league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Leasing</author>
  </authors>
  <commentList>
    <comment ref="C1" authorId="0" shapeId="0" xr:uid="{C091B6CC-AA8D-41DE-BB89-B8624FD75074}">
      <text>
        <r>
          <rPr>
            <b/>
            <sz val="9"/>
            <color indexed="81"/>
            <rFont val="Tahoma"/>
            <family val="2"/>
          </rPr>
          <t>Leasing:</t>
        </r>
        <r>
          <rPr>
            <sz val="9"/>
            <color indexed="81"/>
            <rFont val="Tahoma"/>
            <family val="2"/>
          </rPr>
          <t xml:space="preserve">
Transfermarkt</t>
        </r>
      </text>
    </comment>
    <comment ref="H1" authorId="0" shapeId="0" xr:uid="{A32B6544-C283-4BF1-A986-8F7F8884B9CC}">
      <text>
        <r>
          <rPr>
            <b/>
            <sz val="9"/>
            <color indexed="81"/>
            <rFont val="Tahoma"/>
            <family val="2"/>
          </rPr>
          <t>Leasing:</t>
        </r>
        <r>
          <rPr>
            <sz val="9"/>
            <color indexed="81"/>
            <rFont val="Tahoma"/>
            <family val="2"/>
          </rPr>
          <t xml:space="preserve">
https://www.clubworldranking.com</t>
        </r>
      </text>
    </comment>
    <comment ref="J1" authorId="0" shapeId="0" xr:uid="{50175B91-91C8-4E1A-95BB-42FD2439EE23}">
      <text>
        <r>
          <rPr>
            <b/>
            <sz val="9"/>
            <color indexed="81"/>
            <rFont val="Tahoma"/>
            <family val="2"/>
          </rPr>
          <t>Leasing:</t>
        </r>
        <r>
          <rPr>
            <sz val="9"/>
            <color indexed="81"/>
            <rFont val="Tahoma"/>
            <family val="2"/>
          </rPr>
          <t xml:space="preserve">
https://www.fifaindex.com/es/teams/
Esto es raro, pero R. Baboota and H. Kaur lo usaron…
</t>
        </r>
      </text>
    </comment>
    <comment ref="O1" authorId="0" shapeId="0" xr:uid="{BBC90168-F743-42B9-BBC5-B66B56559D3B}">
      <text>
        <r>
          <rPr>
            <b/>
            <sz val="9"/>
            <color indexed="81"/>
            <rFont val="Tahoma"/>
            <family val="2"/>
          </rPr>
          <t>Leasing:</t>
        </r>
        <r>
          <rPr>
            <sz val="9"/>
            <color indexed="81"/>
            <rFont val="Tahoma"/>
            <family val="2"/>
          </rPr>
          <t xml:space="preserve">
Porcentaje sacado de:
https://www.ceroacero.es/home.php</t>
        </r>
      </text>
    </comment>
    <comment ref="P1" authorId="0" shapeId="0" xr:uid="{AFBE637C-3B2E-4744-B18F-B1901EFB3BFE}">
      <text>
        <r>
          <rPr>
            <b/>
            <sz val="9"/>
            <color indexed="81"/>
            <rFont val="Tahoma"/>
            <family val="2"/>
          </rPr>
          <t>Leasing:</t>
        </r>
        <r>
          <rPr>
            <sz val="9"/>
            <color indexed="81"/>
            <rFont val="Tahoma"/>
            <family val="2"/>
          </rPr>
          <t xml:space="preserve">
Promedio Sacado de:
https://www.ceroacero.es/home.php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Leasing</author>
  </authors>
  <commentList>
    <comment ref="G1" authorId="0" shapeId="0" xr:uid="{1033D14F-AE6D-4B52-AB02-50647BD875CE}">
      <text>
        <r>
          <rPr>
            <b/>
            <sz val="9"/>
            <color indexed="81"/>
            <rFont val="Tahoma"/>
            <family val="2"/>
          </rPr>
          <t>Leasing:</t>
        </r>
        <r>
          <rPr>
            <sz val="9"/>
            <color indexed="81"/>
            <rFont val="Tahoma"/>
            <family val="2"/>
          </rPr>
          <t xml:space="preserve">
Probabilidad de forebet</t>
        </r>
      </text>
    </comment>
    <comment ref="AB1" authorId="0" shapeId="0" xr:uid="{5A23172E-220B-4D91-8A4A-6ADD1E00CDDD}">
      <text>
        <r>
          <rPr>
            <b/>
            <sz val="9"/>
            <color indexed="81"/>
            <rFont val="Tahoma"/>
            <family val="2"/>
          </rPr>
          <t>Leasing:</t>
        </r>
        <r>
          <rPr>
            <sz val="9"/>
            <color indexed="81"/>
            <rFont val="Tahoma"/>
            <family val="2"/>
          </rPr>
          <t xml:space="preserve">
Probabilidades Promedio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Leasing</author>
  </authors>
  <commentList>
    <comment ref="Q11" authorId="0" shapeId="0" xr:uid="{3DC82BA9-BC6C-48D0-A65E-F328CD33BAB4}">
      <text>
        <r>
          <rPr>
            <b/>
            <sz val="9"/>
            <color indexed="81"/>
            <rFont val="Tahoma"/>
            <family val="2"/>
          </rPr>
          <t>Leasing:</t>
        </r>
        <r>
          <rPr>
            <sz val="9"/>
            <color indexed="81"/>
            <rFont val="Tahoma"/>
            <family val="2"/>
          </rPr>
          <t xml:space="preserve">
Intercepto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Leasing</author>
  </authors>
  <commentList>
    <comment ref="Q11" authorId="0" shapeId="0" xr:uid="{EF0E3855-2A5F-4C97-8789-D81BC8CED21A}">
      <text>
        <r>
          <rPr>
            <b/>
            <sz val="9"/>
            <color indexed="81"/>
            <rFont val="Tahoma"/>
            <family val="2"/>
          </rPr>
          <t>Leasing:</t>
        </r>
        <r>
          <rPr>
            <sz val="9"/>
            <color indexed="81"/>
            <rFont val="Tahoma"/>
            <family val="2"/>
          </rPr>
          <t xml:space="preserve">
Intercepto</t>
        </r>
      </text>
    </comment>
  </commentList>
</comments>
</file>

<file path=xl/sharedStrings.xml><?xml version="1.0" encoding="utf-8"?>
<sst xmlns="http://schemas.openxmlformats.org/spreadsheetml/2006/main" count="6863" uniqueCount="344">
  <si>
    <t>y</t>
  </si>
  <si>
    <t>x1</t>
  </si>
  <si>
    <t>x2</t>
  </si>
  <si>
    <t>x3</t>
  </si>
  <si>
    <t>Betting Odd=1/Probability</t>
  </si>
  <si>
    <t>Diferencia</t>
  </si>
  <si>
    <t xml:space="preserve"> </t>
  </si>
  <si>
    <t>Resultado Real</t>
  </si>
  <si>
    <t>Depositado</t>
  </si>
  <si>
    <t>Retirado</t>
  </si>
  <si>
    <t>PSG</t>
  </si>
  <si>
    <t>Equipo</t>
  </si>
  <si>
    <t>Pais</t>
  </si>
  <si>
    <t>Total Jugadores</t>
  </si>
  <si>
    <t>Extranjeros</t>
  </si>
  <si>
    <t>De Selección</t>
  </si>
  <si>
    <t>Edad Promedio</t>
  </si>
  <si>
    <t>Ranking</t>
  </si>
  <si>
    <t>Puntos Ranking</t>
  </si>
  <si>
    <t>Ataque</t>
  </si>
  <si>
    <t>Medio</t>
  </si>
  <si>
    <t>Defensa</t>
  </si>
  <si>
    <t>Valoración</t>
  </si>
  <si>
    <t>Francia</t>
  </si>
  <si>
    <t>Precio (Millones Euros)</t>
  </si>
  <si>
    <t>Leipzig</t>
  </si>
  <si>
    <t>Alemania</t>
  </si>
  <si>
    <t>Estilo Ofensivo</t>
  </si>
  <si>
    <t>Posesión</t>
  </si>
  <si>
    <t>Equilibrada</t>
  </si>
  <si>
    <t>Lyon</t>
  </si>
  <si>
    <t>Bayern München</t>
  </si>
  <si>
    <t>Rennes</t>
  </si>
  <si>
    <t>Lille</t>
  </si>
  <si>
    <t>Marsella</t>
  </si>
  <si>
    <t>Saint Etiene</t>
  </si>
  <si>
    <t>Estrasburgo</t>
  </si>
  <si>
    <t>Reims</t>
  </si>
  <si>
    <t>Montpellier</t>
  </si>
  <si>
    <t>Nantes</t>
  </si>
  <si>
    <t>Niza</t>
  </si>
  <si>
    <t>Angers</t>
  </si>
  <si>
    <t>Dijon</t>
  </si>
  <si>
    <t>Rearme Rápido</t>
  </si>
  <si>
    <t>Burdeaux</t>
  </si>
  <si>
    <t>Brest</t>
  </si>
  <si>
    <t>Balones Largos</t>
  </si>
  <si>
    <t>Nimes</t>
  </si>
  <si>
    <t>Metz</t>
  </si>
  <si>
    <t>Bayer Leverkusen</t>
  </si>
  <si>
    <t>Borusia Dortmund</t>
  </si>
  <si>
    <t>Frankfurt</t>
  </si>
  <si>
    <t>Borussia Mönchengladbach</t>
  </si>
  <si>
    <t>Schalke 04</t>
  </si>
  <si>
    <t>Hoffenheim</t>
  </si>
  <si>
    <t>Friburgo</t>
  </si>
  <si>
    <t>Werder Bremen</t>
  </si>
  <si>
    <t>Mainz 05</t>
  </si>
  <si>
    <t>Union Berlin</t>
  </si>
  <si>
    <t>Hertha Berlin</t>
  </si>
  <si>
    <t>Köln</t>
  </si>
  <si>
    <t>Stuttgart</t>
  </si>
  <si>
    <t>Tolima</t>
  </si>
  <si>
    <t>Colombia</t>
  </si>
  <si>
    <t>Cali</t>
  </si>
  <si>
    <t>Medellin</t>
  </si>
  <si>
    <t>Junior</t>
  </si>
  <si>
    <t>Atletico Nacional</t>
  </si>
  <si>
    <t>America</t>
  </si>
  <si>
    <t>Pasto</t>
  </si>
  <si>
    <t>Millonarios</t>
  </si>
  <si>
    <t>Equidad</t>
  </si>
  <si>
    <t>Santa Fe</t>
  </si>
  <si>
    <t>Once Caldas</t>
  </si>
  <si>
    <t>Alianza Petrolera</t>
  </si>
  <si>
    <t>Rionegro</t>
  </si>
  <si>
    <t>Bucaramanga</t>
  </si>
  <si>
    <t>Envigado</t>
  </si>
  <si>
    <t>Patriotas</t>
  </si>
  <si>
    <t>Ganancias Previstas…</t>
  </si>
  <si>
    <t>Datos</t>
  </si>
  <si>
    <t>Local</t>
  </si>
  <si>
    <t>Visitante</t>
  </si>
  <si>
    <t>Precio</t>
  </si>
  <si>
    <t>River Plate</t>
  </si>
  <si>
    <t>Argentina</t>
  </si>
  <si>
    <t>Boca Juniors</t>
  </si>
  <si>
    <t>Independiente</t>
  </si>
  <si>
    <t>Lanus</t>
  </si>
  <si>
    <t>Argentinos Juniors</t>
  </si>
  <si>
    <t>San Lorenzo</t>
  </si>
  <si>
    <t>Racing</t>
  </si>
  <si>
    <t>Velez</t>
  </si>
  <si>
    <t>Rosario Central</t>
  </si>
  <si>
    <t>Defensa y Justicia</t>
  </si>
  <si>
    <t>Colon</t>
  </si>
  <si>
    <t>Newells</t>
  </si>
  <si>
    <t>Estudiantes</t>
  </si>
  <si>
    <t>Talleres</t>
  </si>
  <si>
    <t>Tucuman</t>
  </si>
  <si>
    <t>Gimnasia</t>
  </si>
  <si>
    <t>Huracan</t>
  </si>
  <si>
    <t>Banfield</t>
  </si>
  <si>
    <t>Godoy Cruz</t>
  </si>
  <si>
    <t>Patronato</t>
  </si>
  <si>
    <t>Aldosivi</t>
  </si>
  <si>
    <t>Tigre</t>
  </si>
  <si>
    <t>Flamengo</t>
  </si>
  <si>
    <t>Brasil</t>
  </si>
  <si>
    <t>Palmeiras</t>
  </si>
  <si>
    <t>Gremio</t>
  </si>
  <si>
    <t>Paranaense</t>
  </si>
  <si>
    <t>Internacional</t>
  </si>
  <si>
    <t>Atletico Mineiro</t>
  </si>
  <si>
    <t>Santos</t>
  </si>
  <si>
    <t>Corinthians</t>
  </si>
  <si>
    <t>Sao Paulo</t>
  </si>
  <si>
    <t>Bahia</t>
  </si>
  <si>
    <t>Fluminense</t>
  </si>
  <si>
    <t>Cruzeiro</t>
  </si>
  <si>
    <t>Fortaleza</t>
  </si>
  <si>
    <t>Goias</t>
  </si>
  <si>
    <t>Vasco Da Gama</t>
  </si>
  <si>
    <t>Botafogo</t>
  </si>
  <si>
    <t>Chapecoense</t>
  </si>
  <si>
    <t>U Catolica</t>
  </si>
  <si>
    <t>Chile</t>
  </si>
  <si>
    <t>Palestino</t>
  </si>
  <si>
    <t>Huachipato</t>
  </si>
  <si>
    <t>Union la Calera</t>
  </si>
  <si>
    <t>U Concepcion</t>
  </si>
  <si>
    <t>U de Chile</t>
  </si>
  <si>
    <t>Union Española</t>
  </si>
  <si>
    <t>Independiente del Valle</t>
  </si>
  <si>
    <t>Ecuador</t>
  </si>
  <si>
    <t>LDU Quito</t>
  </si>
  <si>
    <t>Emelec</t>
  </si>
  <si>
    <t>Barcelona</t>
  </si>
  <si>
    <t>Aucas</t>
  </si>
  <si>
    <t>Delfin</t>
  </si>
  <si>
    <t>Macara</t>
  </si>
  <si>
    <t>España</t>
  </si>
  <si>
    <t>Valencia</t>
  </si>
  <si>
    <t>Atletico Madrid</t>
  </si>
  <si>
    <t>Real Madrid</t>
  </si>
  <si>
    <t>Getafe</t>
  </si>
  <si>
    <t>Sevilla</t>
  </si>
  <si>
    <t>Real Sociedad</t>
  </si>
  <si>
    <t>Athletic Bilbao</t>
  </si>
  <si>
    <t>Villarreal</t>
  </si>
  <si>
    <t>Granada</t>
  </si>
  <si>
    <t>Levante</t>
  </si>
  <si>
    <t>Real Betis</t>
  </si>
  <si>
    <t>Celta de Vigo</t>
  </si>
  <si>
    <t>Real Valladolid</t>
  </si>
  <si>
    <t>Eibar</t>
  </si>
  <si>
    <t>Alaves</t>
  </si>
  <si>
    <t>Osasuna</t>
  </si>
  <si>
    <t>Huesca</t>
  </si>
  <si>
    <t>Atlanta United</t>
  </si>
  <si>
    <t>USA</t>
  </si>
  <si>
    <t>New York City</t>
  </si>
  <si>
    <t>Minnesota</t>
  </si>
  <si>
    <t>Seattle</t>
  </si>
  <si>
    <t>Portland</t>
  </si>
  <si>
    <t>Philadelphia</t>
  </si>
  <si>
    <t>Real Salt Lake</t>
  </si>
  <si>
    <t>Dallas</t>
  </si>
  <si>
    <t>New England</t>
  </si>
  <si>
    <t>Galaxy</t>
  </si>
  <si>
    <t>New York Red Bulls</t>
  </si>
  <si>
    <t>Colorado</t>
  </si>
  <si>
    <t>Orlando</t>
  </si>
  <si>
    <t>Chicago</t>
  </si>
  <si>
    <t>Kansas</t>
  </si>
  <si>
    <t>Columbus Crew</t>
  </si>
  <si>
    <t>Dynamo</t>
  </si>
  <si>
    <t>Cincinnati</t>
  </si>
  <si>
    <t>RushBet</t>
  </si>
  <si>
    <t>Probabilidades</t>
  </si>
  <si>
    <t>Wplay</t>
  </si>
  <si>
    <t>YaJuego</t>
  </si>
  <si>
    <t>R1</t>
  </si>
  <si>
    <t>R2</t>
  </si>
  <si>
    <t>R3</t>
  </si>
  <si>
    <t>W1</t>
  </si>
  <si>
    <t>W2</t>
  </si>
  <si>
    <t>W3</t>
  </si>
  <si>
    <t>YJ1</t>
  </si>
  <si>
    <t>YJ2</t>
  </si>
  <si>
    <t>YJ3</t>
  </si>
  <si>
    <t>Promedios</t>
  </si>
  <si>
    <t>PR1</t>
  </si>
  <si>
    <t>PR2</t>
  </si>
  <si>
    <t>PR3</t>
  </si>
  <si>
    <t>PW1</t>
  </si>
  <si>
    <t>PW2</t>
  </si>
  <si>
    <t>PW3</t>
  </si>
  <si>
    <t>PYJ1</t>
  </si>
  <si>
    <t>PYJ2</t>
  </si>
  <si>
    <t>PYJ3</t>
  </si>
  <si>
    <t>P1</t>
  </si>
  <si>
    <t>P2</t>
  </si>
  <si>
    <t>P3</t>
  </si>
  <si>
    <t>PuntosHist</t>
  </si>
  <si>
    <t>DiferenciaHist</t>
  </si>
  <si>
    <t>PorcenHist</t>
  </si>
  <si>
    <t>PaisLocal</t>
  </si>
  <si>
    <t>PrecioLocal</t>
  </si>
  <si>
    <t>TotalJugadoresLocal</t>
  </si>
  <si>
    <t>ExtranjerosLocal</t>
  </si>
  <si>
    <t>SelecciónLocal</t>
  </si>
  <si>
    <t>EdadLocal</t>
  </si>
  <si>
    <t>RankingLocal</t>
  </si>
  <si>
    <t>PuntosRankingLocal</t>
  </si>
  <si>
    <t>AtaqueLocal</t>
  </si>
  <si>
    <t>MedioLocal</t>
  </si>
  <si>
    <t>DefensaLocal</t>
  </si>
  <si>
    <t>ValoraciónLocal</t>
  </si>
  <si>
    <t>EstiloLocal</t>
  </si>
  <si>
    <t>PaisVisitante</t>
  </si>
  <si>
    <t>PrecioVisitante</t>
  </si>
  <si>
    <t>TotalJugadoresVisitante</t>
  </si>
  <si>
    <t>ExtranjerosVisitante</t>
  </si>
  <si>
    <t>SelecciónVisitante</t>
  </si>
  <si>
    <t>EdadVisitante</t>
  </si>
  <si>
    <t>RankingVisitante</t>
  </si>
  <si>
    <t>PuntosRankingVisitante</t>
  </si>
  <si>
    <t>AtaqueVisitante</t>
  </si>
  <si>
    <t>MedioVisitante</t>
  </si>
  <si>
    <t>DefensaVisitante</t>
  </si>
  <si>
    <t>ValoraciónVisitante</t>
  </si>
  <si>
    <t>EstiloVisitante</t>
  </si>
  <si>
    <t>Competición</t>
  </si>
  <si>
    <t>MLS</t>
  </si>
  <si>
    <t>Sao paulo</t>
  </si>
  <si>
    <t>Brasileirao</t>
  </si>
  <si>
    <t>Olimpia</t>
  </si>
  <si>
    <t>Paraguay</t>
  </si>
  <si>
    <t>Libertad</t>
  </si>
  <si>
    <t>Guarani</t>
  </si>
  <si>
    <t>Sol de America</t>
  </si>
  <si>
    <t>Nacional de Asuncion</t>
  </si>
  <si>
    <t>Sportivo Luqueño</t>
  </si>
  <si>
    <t>River Plate Asuncion</t>
  </si>
  <si>
    <t>Peñarol</t>
  </si>
  <si>
    <t>Uruguay</t>
  </si>
  <si>
    <t>Nacional Montevideo</t>
  </si>
  <si>
    <t>Liverpool Montevideo</t>
  </si>
  <si>
    <t>Plaza Colonia</t>
  </si>
  <si>
    <t>River Plate Montevideo</t>
  </si>
  <si>
    <t>Fenix</t>
  </si>
  <si>
    <t>Liverpool</t>
  </si>
  <si>
    <t>Inglaterra</t>
  </si>
  <si>
    <t>Manchester City</t>
  </si>
  <si>
    <t>Chelsea</t>
  </si>
  <si>
    <t>Arsenal</t>
  </si>
  <si>
    <t>Wolverhampton</t>
  </si>
  <si>
    <t>Manchester United</t>
  </si>
  <si>
    <t>Tottenham</t>
  </si>
  <si>
    <t>Leicester City</t>
  </si>
  <si>
    <t>Crystal Palace</t>
  </si>
  <si>
    <t>Everton</t>
  </si>
  <si>
    <t>Newcastle</t>
  </si>
  <si>
    <t>Sheffield</t>
  </si>
  <si>
    <t>Burnley</t>
  </si>
  <si>
    <t>Ligue 1</t>
  </si>
  <si>
    <t>Premier League</t>
  </si>
  <si>
    <t>Vasco da Gama</t>
  </si>
  <si>
    <t>Superliga</t>
  </si>
  <si>
    <t>La Liga</t>
  </si>
  <si>
    <t>Libertadores</t>
  </si>
  <si>
    <t>Barcelona Ecuador</t>
  </si>
  <si>
    <t>Bundesliga</t>
  </si>
  <si>
    <t>Wolfsburgo</t>
  </si>
  <si>
    <t>Augsburgo</t>
  </si>
  <si>
    <t>Santa fe</t>
  </si>
  <si>
    <t>Día</t>
  </si>
  <si>
    <t>Habían</t>
  </si>
  <si>
    <t>Gana</t>
  </si>
  <si>
    <t>DiferenciaHistGoles</t>
  </si>
  <si>
    <t>Goles Real</t>
  </si>
  <si>
    <t>Champions League</t>
  </si>
  <si>
    <t>Europa League</t>
  </si>
  <si>
    <t>Partido</t>
  </si>
  <si>
    <t>Union de Santa fe</t>
  </si>
  <si>
    <t>Sudamericana</t>
  </si>
  <si>
    <t>Ganados Ultima Temporada</t>
  </si>
  <si>
    <t>Goles Ultima Temporada</t>
  </si>
  <si>
    <t>UltimaTempGanadosLocal</t>
  </si>
  <si>
    <t>UltimaTempGanadosVisitante</t>
  </si>
  <si>
    <t>PromGolLocal</t>
  </si>
  <si>
    <t>PromGolVisitante</t>
  </si>
  <si>
    <t>Union La Calera</t>
  </si>
  <si>
    <t>Prob_Visitante</t>
  </si>
  <si>
    <t>Prob_Empate</t>
  </si>
  <si>
    <t>Prob_Local</t>
  </si>
  <si>
    <t>RFO dif</t>
  </si>
  <si>
    <t>RfO GPE</t>
  </si>
  <si>
    <t>Step Model RFO Dif</t>
  </si>
  <si>
    <t>Step Model RFO GPE</t>
  </si>
  <si>
    <t>XGBoost dif</t>
  </si>
  <si>
    <t>XGBoost GPE</t>
  </si>
  <si>
    <t>Ult. Temp. Ganados</t>
  </si>
  <si>
    <t>Ult. Temp. Goles Medios</t>
  </si>
  <si>
    <t>RFO GPE</t>
  </si>
  <si>
    <t>Juventus</t>
  </si>
  <si>
    <t>Italia</t>
  </si>
  <si>
    <t>Atalanta</t>
  </si>
  <si>
    <t>Inter</t>
  </si>
  <si>
    <t>Napoli</t>
  </si>
  <si>
    <t>Lazio</t>
  </si>
  <si>
    <t>Roma</t>
  </si>
  <si>
    <t>Milan</t>
  </si>
  <si>
    <t>Bologna</t>
  </si>
  <si>
    <t>Torino</t>
  </si>
  <si>
    <t>Udinese</t>
  </si>
  <si>
    <t>Sassuolo</t>
  </si>
  <si>
    <t>Parma</t>
  </si>
  <si>
    <t>Cagliari</t>
  </si>
  <si>
    <t>Fiorentina</t>
  </si>
  <si>
    <t>Sampdoria</t>
  </si>
  <si>
    <t>Serie A</t>
  </si>
  <si>
    <t>Logistica dif</t>
  </si>
  <si>
    <t>Logistica GPE</t>
  </si>
  <si>
    <t>Log dif</t>
  </si>
  <si>
    <t>Log GPE</t>
  </si>
  <si>
    <t>eta</t>
  </si>
  <si>
    <t>gamma</t>
  </si>
  <si>
    <t>max_depth</t>
  </si>
  <si>
    <t>min child</t>
  </si>
  <si>
    <t>subsample</t>
  </si>
  <si>
    <t>colsample</t>
  </si>
  <si>
    <t>repeticiones</t>
  </si>
  <si>
    <t>mape</t>
  </si>
  <si>
    <t>cuota</t>
  </si>
  <si>
    <t>Goles</t>
  </si>
  <si>
    <t>Error</t>
  </si>
  <si>
    <t>Menor</t>
  </si>
  <si>
    <t>Mayor</t>
  </si>
  <si>
    <t>intercepto</t>
  </si>
  <si>
    <t>Defensa Y Justicia</t>
  </si>
  <si>
    <t>Crystal palace</t>
  </si>
  <si>
    <t>Real betis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</si>
</sst>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\ * #,##0.00_);_(&quot;$&quot;\ * \(#,##0.00\);_(&quot;$&quot;\ * &quot;-&quot;??_);_(@_)"/>
    <numFmt numFmtId="164" formatCode="0.000"/>
  </numFmts>
  <fonts count="1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9"/>
      <color rgb="FF57585A"/>
      <name val="Source Sans Pro"/>
      <family val="2"/>
    </font>
    <font>
      <sz val="11"/>
      <color rgb="FF00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5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E4E4E4"/>
      </left>
      <right style="medium">
        <color rgb="FFE4E4E4"/>
      </right>
      <top style="medium">
        <color rgb="FFE4E4E4"/>
      </top>
      <bottom style="medium">
        <color rgb="FFE4E4E4"/>
      </bottom>
      <diagonal/>
    </border>
  </borders>
  <cellStyleXfs count="14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0" fillId="12" borderId="16" applyNumberFormat="0" applyAlignment="0" applyProtection="0"/>
    <xf numFmtId="0" fontId="3" fillId="13" borderId="17" applyNumberFormat="0" applyFont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</cellStyleXfs>
  <cellXfs count="100">
    <xf numFmtId="0" fontId="0" fillId="0" borderId="0" xfId="0"/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Fill="1"/>
    <xf numFmtId="44" fontId="2" fillId="0" borderId="0" xfId="1" applyFont="1"/>
    <xf numFmtId="44" fontId="0" fillId="0" borderId="0" xfId="1" applyFont="1"/>
    <xf numFmtId="44" fontId="0" fillId="0" borderId="2" xfId="1" applyFont="1" applyBorder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0" borderId="0" xfId="0" applyFont="1"/>
    <xf numFmtId="0" fontId="2" fillId="0" borderId="0" xfId="0" applyFont="1" applyAlignment="1">
      <alignment wrapText="1"/>
    </xf>
    <xf numFmtId="0" fontId="0" fillId="5" borderId="1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0" xfId="0" applyFill="1" applyBorder="1"/>
    <xf numFmtId="0" fontId="0" fillId="5" borderId="7" xfId="0" applyFill="1" applyBorder="1"/>
    <xf numFmtId="0" fontId="0" fillId="5" borderId="9" xfId="0" applyFill="1" applyBorder="1"/>
    <xf numFmtId="0" fontId="0" fillId="6" borderId="4" xfId="0" applyFill="1" applyBorder="1"/>
    <xf numFmtId="0" fontId="0" fillId="3" borderId="8" xfId="0" applyFill="1" applyBorder="1"/>
    <xf numFmtId="0" fontId="5" fillId="7" borderId="4" xfId="0" applyFont="1" applyFill="1" applyBorder="1"/>
    <xf numFmtId="0" fontId="5" fillId="8" borderId="8" xfId="0" applyFont="1" applyFill="1" applyBorder="1"/>
    <xf numFmtId="0" fontId="0" fillId="6" borderId="3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1" xfId="0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9" xfId="0" applyFill="1" applyBorder="1"/>
    <xf numFmtId="0" fontId="5" fillId="9" borderId="5" xfId="0" applyFont="1" applyFill="1" applyBorder="1"/>
    <xf numFmtId="0" fontId="5" fillId="9" borderId="0" xfId="0" applyFont="1" applyFill="1" applyBorder="1"/>
    <xf numFmtId="0" fontId="5" fillId="9" borderId="9" xfId="0" applyFont="1" applyFill="1" applyBorder="1"/>
    <xf numFmtId="0" fontId="5" fillId="9" borderId="3" xfId="0" applyFont="1" applyFill="1" applyBorder="1"/>
    <xf numFmtId="0" fontId="5" fillId="9" borderId="6" xfId="0" applyFont="1" applyFill="1" applyBorder="1"/>
    <xf numFmtId="0" fontId="5" fillId="9" borderId="7" xfId="0" applyFont="1" applyFill="1" applyBorder="1"/>
    <xf numFmtId="0" fontId="5" fillId="9" borderId="1" xfId="0" applyFont="1" applyFill="1" applyBorder="1"/>
    <xf numFmtId="0" fontId="0" fillId="10" borderId="1" xfId="0" applyFill="1" applyBorder="1" applyAlignment="1">
      <alignment horizontal="center" vertical="center"/>
    </xf>
    <xf numFmtId="9" fontId="0" fillId="0" borderId="0" xfId="2" applyFont="1"/>
    <xf numFmtId="0" fontId="0" fillId="11" borderId="0" xfId="0" applyFill="1"/>
    <xf numFmtId="0" fontId="0" fillId="0" borderId="0" xfId="0" applyNumberFormat="1" applyFill="1" applyBorder="1"/>
    <xf numFmtId="0" fontId="9" fillId="0" borderId="0" xfId="0" applyFont="1"/>
    <xf numFmtId="44" fontId="0" fillId="0" borderId="0" xfId="0" applyNumberFormat="1"/>
    <xf numFmtId="0" fontId="0" fillId="0" borderId="0" xfId="0" applyFont="1" applyBorder="1"/>
    <xf numFmtId="44" fontId="3" fillId="0" borderId="0" xfId="1" applyFont="1" applyBorder="1"/>
    <xf numFmtId="14" fontId="0" fillId="0" borderId="0" xfId="0" applyNumberFormat="1" applyFont="1" applyBorder="1"/>
    <xf numFmtId="44" fontId="0" fillId="0" borderId="0" xfId="1" applyFont="1" applyBorder="1"/>
    <xf numFmtId="44" fontId="0" fillId="0" borderId="0" xfId="0" applyNumberFormat="1" applyFont="1" applyBorder="1"/>
    <xf numFmtId="0" fontId="2" fillId="0" borderId="0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10" fillId="12" borderId="16" xfId="3" applyAlignment="1">
      <alignment horizontal="center"/>
    </xf>
    <xf numFmtId="0" fontId="10" fillId="12" borderId="16" xfId="3"/>
    <xf numFmtId="0" fontId="2" fillId="13" borderId="17" xfId="4" applyFont="1" applyAlignment="1">
      <alignment horizontal="center"/>
    </xf>
    <xf numFmtId="9" fontId="2" fillId="3" borderId="0" xfId="2" applyFont="1" applyFill="1"/>
    <xf numFmtId="0" fontId="11" fillId="0" borderId="0" xfId="0" applyFont="1"/>
    <xf numFmtId="0" fontId="12" fillId="14" borderId="0" xfId="5"/>
    <xf numFmtId="0" fontId="14" fillId="16" borderId="0" xfId="7"/>
    <xf numFmtId="9" fontId="14" fillId="16" borderId="0" xfId="7" applyNumberFormat="1"/>
    <xf numFmtId="0" fontId="13" fillId="15" borderId="0" xfId="6"/>
    <xf numFmtId="0" fontId="3" fillId="18" borderId="1" xfId="9" applyBorder="1" applyAlignment="1">
      <alignment horizontal="center" vertical="center"/>
    </xf>
    <xf numFmtId="9" fontId="3" fillId="18" borderId="1" xfId="9" applyNumberFormat="1" applyBorder="1" applyAlignment="1">
      <alignment horizontal="center" vertical="center"/>
    </xf>
    <xf numFmtId="0" fontId="3" fillId="17" borderId="1" xfId="8" applyBorder="1"/>
    <xf numFmtId="9" fontId="3" fillId="17" borderId="1" xfId="8" applyNumberFormat="1" applyBorder="1"/>
    <xf numFmtId="0" fontId="2" fillId="4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3" fillId="19" borderId="0" xfId="10" applyAlignment="1">
      <alignment horizontal="center" vertical="center" wrapText="1"/>
    </xf>
    <xf numFmtId="0" fontId="0" fillId="13" borderId="17" xfId="4" applyFont="1" applyAlignment="1">
      <alignment horizontal="center" vertical="center"/>
    </xf>
    <xf numFmtId="0" fontId="10" fillId="12" borderId="16" xfId="3" applyAlignment="1">
      <alignment horizontal="center" vertical="center"/>
    </xf>
    <xf numFmtId="0" fontId="0" fillId="0" borderId="0" xfId="0" quotePrefix="1"/>
    <xf numFmtId="0" fontId="3" fillId="20" borderId="0" xfId="11"/>
    <xf numFmtId="0" fontId="3" fillId="21" borderId="0" xfId="12"/>
    <xf numFmtId="0" fontId="3" fillId="22" borderId="0" xfId="13"/>
    <xf numFmtId="10" fontId="0" fillId="0" borderId="0" xfId="0" applyNumberFormat="1"/>
    <xf numFmtId="0" fontId="15" fillId="23" borderId="18" xfId="0" applyFont="1" applyFill="1" applyBorder="1" applyAlignment="1">
      <alignment horizontal="center" vertical="center" wrapText="1" readingOrder="1"/>
    </xf>
    <xf numFmtId="10" fontId="15" fillId="23" borderId="18" xfId="0" applyNumberFormat="1" applyFont="1" applyFill="1" applyBorder="1" applyAlignment="1">
      <alignment horizontal="right" vertical="center" wrapText="1" readingOrder="1"/>
    </xf>
    <xf numFmtId="164" fontId="0" fillId="0" borderId="0" xfId="0" applyNumberFormat="1"/>
    <xf numFmtId="164" fontId="13" fillId="15" borderId="0" xfId="6" applyNumberFormat="1"/>
    <xf numFmtId="164" fontId="12" fillId="14" borderId="0" xfId="5" applyNumberFormat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164" fontId="16" fillId="0" borderId="0" xfId="0" applyNumberFormat="1" applyFont="1" applyAlignment="1">
      <alignment vertical="center"/>
    </xf>
    <xf numFmtId="11" fontId="0" fillId="0" borderId="0" xfId="0" applyNumberFormat="1"/>
    <xf numFmtId="1" fontId="3" fillId="18" borderId="1" xfId="9" applyNumberFormat="1" applyBorder="1" applyAlignment="1">
      <alignment horizontal="center" vertical="center"/>
    </xf>
    <xf numFmtId="0" fontId="2" fillId="10" borderId="13" xfId="0" applyFont="1" applyFill="1" applyBorder="1" applyAlignment="1">
      <alignment horizontal="center"/>
    </xf>
    <xf numFmtId="0" fontId="2" fillId="10" borderId="14" xfId="0" applyFont="1" applyFill="1" applyBorder="1" applyAlignment="1">
      <alignment horizontal="center"/>
    </xf>
    <xf numFmtId="0" fontId="2" fillId="10" borderId="15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4" fillId="9" borderId="10" xfId="0" applyFont="1" applyFill="1" applyBorder="1" applyAlignment="1">
      <alignment horizontal="center" vertical="center"/>
    </xf>
    <xf numFmtId="0" fontId="4" fillId="9" borderId="11" xfId="0" applyFont="1" applyFill="1" applyBorder="1" applyAlignment="1">
      <alignment horizontal="center" vertical="center"/>
    </xf>
    <xf numFmtId="0" fontId="4" fillId="9" borderId="12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</cellXfs>
  <cellStyles count="14">
    <cellStyle name="20% - Énfasis1" xfId="11" builtinId="30"/>
    <cellStyle name="20% - Énfasis6" xfId="10" builtinId="50"/>
    <cellStyle name="40% - Énfasis1" xfId="12" builtinId="31"/>
    <cellStyle name="40% - Énfasis4" xfId="13" builtinId="43"/>
    <cellStyle name="60% - Énfasis2" xfId="8" builtinId="36"/>
    <cellStyle name="60% - Énfasis4" xfId="9" builtinId="44"/>
    <cellStyle name="Bueno" xfId="5" builtinId="26"/>
    <cellStyle name="Incorrecto" xfId="6" builtinId="27"/>
    <cellStyle name="Moneda" xfId="1" builtinId="4"/>
    <cellStyle name="Neutral" xfId="7" builtinId="28"/>
    <cellStyle name="Normal" xfId="0" builtinId="0"/>
    <cellStyle name="Notas" xfId="4" builtinId="10"/>
    <cellStyle name="Porcentaje" xfId="2" builtinId="5"/>
    <cellStyle name="Salida" xfId="3" builtinId="21"/>
  </cellStyles>
  <dxfs count="1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1171575</xdr:colOff>
          <xdr:row>2</xdr:row>
          <xdr:rowOff>161925</xdr:rowOff>
        </xdr:from>
        <xdr:to>
          <xdr:col>11</xdr:col>
          <xdr:colOff>85725</xdr:colOff>
          <xdr:row>8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Guardar Registro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935D5-6E9C-4193-8526-D20F573714C3}">
  <sheetPr codeName="Hoja1"/>
  <dimension ref="A1:Q21"/>
  <sheetViews>
    <sheetView workbookViewId="0">
      <selection activeCell="I15" sqref="I15"/>
    </sheetView>
  </sheetViews>
  <sheetFormatPr baseColWidth="10" defaultRowHeight="15" x14ac:dyDescent="0.25"/>
  <cols>
    <col min="1" max="1" width="18.7109375" customWidth="1" collapsed="1"/>
    <col min="2" max="2" width="9.85546875" customWidth="1" collapsed="1"/>
    <col min="3" max="4" width="11.140625" customWidth="1" collapsed="1"/>
    <col min="5" max="5" width="14.7109375" bestFit="1" customWidth="1" collapsed="1"/>
    <col min="6" max="6" width="18.7109375" bestFit="1" customWidth="1" collapsed="1"/>
    <col min="7" max="7" width="11.140625" customWidth="1" collapsed="1"/>
    <col min="8" max="8" width="17.85546875" customWidth="1" collapsed="1"/>
    <col min="9" max="9" width="8.28515625" customWidth="1" collapsed="1"/>
    <col min="10" max="10" width="14.5703125" bestFit="1" customWidth="1" collapsed="1"/>
    <col min="11" max="11" width="12.85546875" bestFit="1" customWidth="1" collapsed="1"/>
    <col min="12" max="12" width="14.140625" bestFit="1" customWidth="1" collapsed="1"/>
    <col min="13" max="13" width="15" customWidth="1" collapsed="1"/>
    <col min="15" max="15" width="14.28515625" bestFit="1" customWidth="1" collapsed="1"/>
    <col min="17" max="17" width="13" bestFit="1" customWidth="1" collapsed="1"/>
  </cols>
  <sheetData>
    <row r="1" spans="1:17" ht="12" customHeight="1" thickBot="1" x14ac:dyDescent="0.3">
      <c r="H1" t="s">
        <v>79</v>
      </c>
      <c r="I1">
        <f>B4*B2-1</f>
        <v>-5.7023684482141013E-2</v>
      </c>
      <c r="J1">
        <f>C4*C2-1</f>
        <v>-0.2640476725336508</v>
      </c>
      <c r="K1">
        <f>D4*D2-1</f>
        <v>-5.7023684482140902E-2</v>
      </c>
    </row>
    <row r="2" spans="1:17" x14ac:dyDescent="0.25">
      <c r="A2" s="14">
        <f>AVERAGE(B2:D2)-1</f>
        <v>2.6533333333333338</v>
      </c>
      <c r="B2" s="21">
        <v>1.46</v>
      </c>
      <c r="C2" s="21">
        <v>4.0999999999999996</v>
      </c>
      <c r="D2" s="21">
        <v>5.4</v>
      </c>
      <c r="E2" s="16">
        <f>SUM(B2:D2)</f>
        <v>10.96</v>
      </c>
      <c r="F2" s="91" t="s">
        <v>178</v>
      </c>
    </row>
    <row r="3" spans="1:17" x14ac:dyDescent="0.25">
      <c r="A3" s="17"/>
      <c r="B3" s="13">
        <f>($E$2/(B2))</f>
        <v>7.5068493150684938</v>
      </c>
      <c r="C3" s="13">
        <f>($E$2/(C2+A2-1.5))</f>
        <v>2.0862944162436547</v>
      </c>
      <c r="D3" s="13">
        <f>($E$2/(D2))</f>
        <v>2.0296296296296297</v>
      </c>
      <c r="E3" s="18"/>
      <c r="F3" s="92"/>
    </row>
    <row r="4" spans="1:17" ht="15.75" thickBot="1" x14ac:dyDescent="0.3">
      <c r="A4" s="19" t="s">
        <v>179</v>
      </c>
      <c r="B4" s="22">
        <f>B3/SUM($B$3:$D$3)</f>
        <v>0.64587418871086233</v>
      </c>
      <c r="C4" s="22">
        <f>C3/SUM($B$3:$D$3)</f>
        <v>0.17950056767471934</v>
      </c>
      <c r="D4" s="22">
        <f>D3/SUM($B$3:$D$3)</f>
        <v>0.17462524361441834</v>
      </c>
      <c r="E4" s="20">
        <f>SUM(B4:D4)</f>
        <v>1</v>
      </c>
      <c r="F4" s="93"/>
    </row>
    <row r="5" spans="1:17" ht="9.75" customHeight="1" thickBot="1" x14ac:dyDescent="0.3"/>
    <row r="6" spans="1:17" x14ac:dyDescent="0.25">
      <c r="A6" s="35">
        <f>AVERAGE(B6:D6)-1</f>
        <v>2.9443333333333332</v>
      </c>
      <c r="B6" s="23">
        <v>1.5</v>
      </c>
      <c r="C6" s="23">
        <v>4.3330000000000002</v>
      </c>
      <c r="D6" s="23">
        <v>6</v>
      </c>
      <c r="E6" s="32">
        <f>SUM(B6:D6)</f>
        <v>11.833</v>
      </c>
      <c r="F6" s="94" t="s">
        <v>180</v>
      </c>
      <c r="G6" s="43"/>
    </row>
    <row r="7" spans="1:17" x14ac:dyDescent="0.25">
      <c r="A7" s="36"/>
      <c r="B7" s="38">
        <f>($E$6/(B6))</f>
        <v>7.8886666666666665</v>
      </c>
      <c r="C7" s="38">
        <f>($E$6/(C6))</f>
        <v>2.7309023771059313</v>
      </c>
      <c r="D7" s="38">
        <f>($E$6/(D6))</f>
        <v>1.9721666666666666</v>
      </c>
      <c r="E7" s="33"/>
      <c r="F7" s="95"/>
      <c r="M7" s="90" t="s">
        <v>4</v>
      </c>
    </row>
    <row r="8" spans="1:17" ht="15.75" customHeight="1" thickBot="1" x14ac:dyDescent="0.3">
      <c r="A8" s="37" t="s">
        <v>179</v>
      </c>
      <c r="B8" s="24">
        <f>B7/SUM($B7:$D7)</f>
        <v>0.62649557202241102</v>
      </c>
      <c r="C8" s="24">
        <f>C7/SUM($B7:$D7)</f>
        <v>0.21688053497198628</v>
      </c>
      <c r="D8" s="24">
        <f>D7/SUM($B7:$D7)</f>
        <v>0.15662389300560275</v>
      </c>
      <c r="E8" s="34">
        <f>SUM(B8:D8)</f>
        <v>1</v>
      </c>
      <c r="F8" s="96"/>
      <c r="M8" s="90"/>
      <c r="N8">
        <f>1/B2</f>
        <v>0.68493150684931503</v>
      </c>
      <c r="O8">
        <f>1/C2</f>
        <v>0.24390243902439027</v>
      </c>
      <c r="P8">
        <f>1/D2</f>
        <v>0.18518518518518517</v>
      </c>
      <c r="Q8">
        <f>SUM(N8:P8)</f>
        <v>1.1140191310588905</v>
      </c>
    </row>
    <row r="9" spans="1:17" ht="11.25" customHeight="1" thickBot="1" x14ac:dyDescent="0.3"/>
    <row r="10" spans="1:17" x14ac:dyDescent="0.25">
      <c r="A10" s="25">
        <f>AVERAGE(B10:D10)-1</f>
        <v>2.8433333333333337</v>
      </c>
      <c r="B10" s="15">
        <v>1.53</v>
      </c>
      <c r="C10" s="15">
        <v>4.4000000000000004</v>
      </c>
      <c r="D10" s="15">
        <v>5.6</v>
      </c>
      <c r="E10" s="26">
        <f>SUM(B10:D10)</f>
        <v>11.530000000000001</v>
      </c>
      <c r="F10" s="97" t="s">
        <v>181</v>
      </c>
      <c r="G10" s="43"/>
    </row>
    <row r="11" spans="1:17" x14ac:dyDescent="0.25">
      <c r="A11" s="27"/>
      <c r="B11" s="28">
        <f>($E$10/(B10))</f>
        <v>7.5359477124183014</v>
      </c>
      <c r="C11" s="28">
        <f>($E$10/(C10))</f>
        <v>2.6204545454545456</v>
      </c>
      <c r="D11" s="28">
        <f>($E$10/(D10))</f>
        <v>2.0589285714285719</v>
      </c>
      <c r="E11" s="29"/>
      <c r="F11" s="98"/>
    </row>
    <row r="12" spans="1:17" ht="15.75" thickBot="1" x14ac:dyDescent="0.3">
      <c r="A12" s="30" t="s">
        <v>179</v>
      </c>
      <c r="B12" s="22">
        <f>B11/SUM($B11:$D11)</f>
        <v>0.61692538808212316</v>
      </c>
      <c r="C12" s="22">
        <f>C11/SUM($B11:$D11)</f>
        <v>0.21452178267401101</v>
      </c>
      <c r="D12" s="22">
        <f>D11/SUM($B11:$D11)</f>
        <v>0.16855282924386583</v>
      </c>
      <c r="E12" s="31">
        <f>SUM(B12:D12)</f>
        <v>1</v>
      </c>
      <c r="F12" s="99"/>
    </row>
    <row r="13" spans="1:17" ht="9.75" customHeight="1" x14ac:dyDescent="0.25"/>
    <row r="14" spans="1:17" x14ac:dyDescent="0.25">
      <c r="A14" s="87" t="s">
        <v>191</v>
      </c>
      <c r="B14" s="88"/>
      <c r="C14" s="89"/>
      <c r="E14" s="11"/>
      <c r="F14" s="61" t="s">
        <v>280</v>
      </c>
      <c r="G14" s="61" t="s">
        <v>204</v>
      </c>
      <c r="H14" s="61" t="s">
        <v>206</v>
      </c>
      <c r="J14" s="63" t="s">
        <v>296</v>
      </c>
      <c r="K14" s="63" t="s">
        <v>295</v>
      </c>
      <c r="L14" s="63" t="s">
        <v>294</v>
      </c>
    </row>
    <row r="15" spans="1:17" x14ac:dyDescent="0.25">
      <c r="A15" s="39">
        <f>AVERAGE(B2,B10,B6)</f>
        <v>1.4966666666666668</v>
      </c>
      <c r="B15" s="39">
        <f t="shared" ref="B15:C15" si="0">AVERAGE(C2,C10,C6)</f>
        <v>4.2776666666666667</v>
      </c>
      <c r="C15" s="39">
        <f t="shared" si="0"/>
        <v>5.666666666666667</v>
      </c>
      <c r="F15" s="86">
        <v>6</v>
      </c>
      <c r="G15" s="61">
        <v>65</v>
      </c>
      <c r="H15" s="62">
        <v>0.38600000000000001</v>
      </c>
      <c r="J15" s="64">
        <v>0.48</v>
      </c>
      <c r="K15" s="64">
        <v>0.34</v>
      </c>
      <c r="L15" s="64">
        <f>1-J15-K15</f>
        <v>0.18</v>
      </c>
    </row>
    <row r="16" spans="1:17" x14ac:dyDescent="0.25">
      <c r="A16" s="39">
        <f>AVERAGE(B12,B8,B4)</f>
        <v>0.62976504960513213</v>
      </c>
      <c r="B16" s="39">
        <f t="shared" ref="B16:C16" si="1">AVERAGE(C12,C8,C4)</f>
        <v>0.20363429510690553</v>
      </c>
      <c r="C16" s="39">
        <f t="shared" si="1"/>
        <v>0.16660065528796231</v>
      </c>
      <c r="D16" s="3">
        <f>SUM(A16:C16)</f>
        <v>1</v>
      </c>
    </row>
    <row r="17" spans="1:17" ht="9.75" customHeight="1" x14ac:dyDescent="0.25">
      <c r="M17" t="s">
        <v>6</v>
      </c>
    </row>
    <row r="18" spans="1:17" ht="30" customHeight="1" x14ac:dyDescent="0.25">
      <c r="A18" s="12" t="s">
        <v>80</v>
      </c>
      <c r="B18" s="65" t="s">
        <v>11</v>
      </c>
      <c r="C18" s="65" t="s">
        <v>12</v>
      </c>
      <c r="D18" s="66" t="s">
        <v>83</v>
      </c>
      <c r="E18" s="66" t="s">
        <v>13</v>
      </c>
      <c r="F18" s="66" t="s">
        <v>14</v>
      </c>
      <c r="G18" s="66" t="s">
        <v>15</v>
      </c>
      <c r="H18" s="66" t="s">
        <v>16</v>
      </c>
      <c r="I18" s="67" t="s">
        <v>17</v>
      </c>
      <c r="J18" s="67" t="s">
        <v>18</v>
      </c>
      <c r="K18" s="66" t="s">
        <v>19</v>
      </c>
      <c r="L18" s="66" t="s">
        <v>20</v>
      </c>
      <c r="M18" s="66" t="s">
        <v>21</v>
      </c>
      <c r="N18" s="66" t="s">
        <v>22</v>
      </c>
      <c r="O18" s="66" t="s">
        <v>27</v>
      </c>
      <c r="P18" s="68" t="s">
        <v>303</v>
      </c>
      <c r="Q18" s="68" t="s">
        <v>304</v>
      </c>
    </row>
    <row r="19" spans="1:17" x14ac:dyDescent="0.25">
      <c r="A19" s="11" t="s">
        <v>81</v>
      </c>
      <c r="B19" s="41" t="s">
        <v>107</v>
      </c>
      <c r="C19" t="str">
        <f>VLOOKUP($B19,'Base de Datos - Equipos'!$A$1:$N$975,COUNTA($B$18:C$18),FALSE)</f>
        <v>Brasil</v>
      </c>
      <c r="D19">
        <f>VLOOKUP($B19,'Base de Datos - Equipos'!$A$1:$N$975,COUNTA($B$18:D$18),FALSE)</f>
        <v>148.6</v>
      </c>
      <c r="E19">
        <f>VLOOKUP($B19,'Base de Datos - Equipos'!$A$1:$N$975,COUNTA($B$18:E$18),FALSE)</f>
        <v>32</v>
      </c>
      <c r="F19">
        <f>VLOOKUP($B19,'Base de Datos - Equipos'!$A$1:$N$975,COUNTA($B$18:F$18),FALSE)</f>
        <v>2</v>
      </c>
      <c r="G19">
        <f>VLOOKUP($B19,'Base de Datos - Equipos'!$A$1:$N$975,COUNTA($B$18:G$18),FALSE)</f>
        <v>7</v>
      </c>
      <c r="H19">
        <f>VLOOKUP($B19,'Base de Datos - Equipos'!$A$1:$N$975,COUNTA($B$18:H$18),FALSE)</f>
        <v>27.2</v>
      </c>
      <c r="I19">
        <f>VLOOKUP($B19,'Base de Datos - Equipos'!$A$1:$N$975,COUNTA($B$18:I$18),FALSE)</f>
        <v>2</v>
      </c>
      <c r="J19">
        <f>VLOOKUP($B19,'Base de Datos - Equipos'!$A$1:$N$975,COUNTA($B$18:J$18),FALSE)</f>
        <v>13486</v>
      </c>
      <c r="K19">
        <f>VLOOKUP($B19,'Base de Datos - Equipos'!$A$1:$N$975,COUNTA($B$18:K$18),FALSE)</f>
        <v>77</v>
      </c>
      <c r="L19">
        <f>VLOOKUP($B19,'Base de Datos - Equipos'!$A$1:$N$975,COUNTA($B$18:L$18),FALSE)</f>
        <v>75</v>
      </c>
      <c r="M19">
        <f>VLOOKUP($B19,'Base de Datos - Equipos'!$A$1:$N$975,COUNTA($B$18:M$18),FALSE)</f>
        <v>75</v>
      </c>
      <c r="N19">
        <f>VLOOKUP($B19,'Base de Datos - Equipos'!$A$1:$N$975,COUNTA($B$18:N$18),FALSE)</f>
        <v>4</v>
      </c>
      <c r="O19" t="str">
        <f>VLOOKUP($B19,'Base de Datos - Equipos'!$A$1:$N$975,COUNTA($B$18:O$18),FALSE)</f>
        <v>Equilibrada</v>
      </c>
      <c r="P19">
        <f>VLOOKUP($B19,'Base de Datos - Equipos'!$A$1:$P$975,COUNTA($B$18:P$18),FALSE)</f>
        <v>0.62860000000000005</v>
      </c>
      <c r="Q19">
        <f>VLOOKUP($B19,'Base de Datos - Equipos'!$A$1:$P$975,COUNTA($B$18:Q$18),FALSE)</f>
        <v>1.87</v>
      </c>
    </row>
    <row r="20" spans="1:17" ht="15.75" thickBot="1" x14ac:dyDescent="0.3">
      <c r="A20" s="11" t="s">
        <v>82</v>
      </c>
      <c r="B20" s="41" t="s">
        <v>114</v>
      </c>
      <c r="C20" t="str">
        <f>VLOOKUP($B20,'Base de Datos - Equipos'!$A$1:$N$975,COUNTA($B$18:C$18),FALSE)</f>
        <v>Brasil</v>
      </c>
      <c r="D20">
        <f>VLOOKUP($B20,'Base de Datos - Equipos'!$A$1:$N$975,COUNTA($B$18:D$18),FALSE)</f>
        <v>59.75</v>
      </c>
      <c r="E20">
        <f>VLOOKUP($B20,'Base de Datos - Equipos'!$A$1:$N$975,COUNTA($B$18:E$18),FALSE)</f>
        <v>40</v>
      </c>
      <c r="F20">
        <f>VLOOKUP($B20,'Base de Datos - Equipos'!$A$1:$N$975,COUNTA($B$18:F$18),FALSE)</f>
        <v>3</v>
      </c>
      <c r="G20">
        <f>VLOOKUP($B20,'Base de Datos - Equipos'!$A$1:$N$975,COUNTA($B$18:G$18),FALSE)</f>
        <v>0</v>
      </c>
      <c r="H20">
        <f>VLOOKUP($B20,'Base de Datos - Equipos'!$A$1:$N$975,COUNTA($B$18:H$18),FALSE)</f>
        <v>24.7</v>
      </c>
      <c r="I20">
        <f>VLOOKUP($B20,'Base de Datos - Equipos'!$A$1:$N$975,COUNTA($B$18:I$18),FALSE)</f>
        <v>40</v>
      </c>
      <c r="J20">
        <f>VLOOKUP($B20,'Base de Datos - Equipos'!$A$1:$N$975,COUNTA($B$18:J$18),FALSE)</f>
        <v>7098</v>
      </c>
      <c r="K20">
        <f>VLOOKUP($B20,'Base de Datos - Equipos'!$A$1:$N$975,COUNTA($B$18:K$18),FALSE)</f>
        <v>74</v>
      </c>
      <c r="L20">
        <f>VLOOKUP($B20,'Base de Datos - Equipos'!$A$1:$N$975,COUNTA($B$18:L$18),FALSE)</f>
        <v>72</v>
      </c>
      <c r="M20">
        <f>VLOOKUP($B20,'Base de Datos - Equipos'!$A$1:$N$975,COUNTA($B$18:M$18),FALSE)</f>
        <v>73</v>
      </c>
      <c r="N20">
        <f>VLOOKUP($B20,'Base de Datos - Equipos'!$A$1:$N$975,COUNTA($B$18:N$18),FALSE)</f>
        <v>3.5</v>
      </c>
      <c r="O20" t="str">
        <f>VLOOKUP($B20,'Base de Datos - Equipos'!$A$1:$N$975,COUNTA($B$18:O$18),FALSE)</f>
        <v>Equilibrada</v>
      </c>
      <c r="P20">
        <f>VLOOKUP($B20,'Base de Datos - Equipos'!$A$1:$P$975,COUNTA($B$18:P$18),FALSE)</f>
        <v>0.39389999999999997</v>
      </c>
      <c r="Q20">
        <f>VLOOKUP($B20,'Base de Datos - Equipos'!$A$1:$P$975,COUNTA($B$18:Q$18),FALSE)</f>
        <v>1.3</v>
      </c>
    </row>
    <row r="21" spans="1:17" ht="15.75" thickBot="1" x14ac:dyDescent="0.3">
      <c r="A21" t="s">
        <v>233</v>
      </c>
      <c r="B21" s="41" t="s">
        <v>108</v>
      </c>
      <c r="E21" s="76"/>
      <c r="F21" s="76"/>
      <c r="G21" s="77"/>
    </row>
  </sheetData>
  <mergeCells count="5">
    <mergeCell ref="A14:C14"/>
    <mergeCell ref="M7:M8"/>
    <mergeCell ref="F2:F4"/>
    <mergeCell ref="F6:F8"/>
    <mergeCell ref="F10:F12"/>
  </mergeCells>
  <pageMargins left="0.7" right="0.7" top="0.75" bottom="0.75" header="0.3" footer="0.3"/>
  <pageSetup orientation="portrait" r:id="rId1"/>
  <ignoredErrors>
    <ignoredError sqref="C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ultados">
                <anchor moveWithCells="1" sizeWithCells="1">
                  <from>
                    <xdr:col>7</xdr:col>
                    <xdr:colOff>1171575</xdr:colOff>
                    <xdr:row>2</xdr:row>
                    <xdr:rowOff>161925</xdr:rowOff>
                  </from>
                  <to>
                    <xdr:col>11</xdr:col>
                    <xdr:colOff>85725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4056E-1C8C-4DE4-86EF-B1700278A552}">
  <sheetPr codeName="Hoja4"/>
  <dimension ref="A1:P172"/>
  <sheetViews>
    <sheetView workbookViewId="0">
      <pane xSplit="1" ySplit="1" topLeftCell="B23" activePane="bottomRight" state="frozen"/>
      <selection pane="topRight" activeCell="B1" sqref="B1"/>
      <selection pane="bottomLeft" activeCell="A2" sqref="A2"/>
      <selection pane="bottomRight" activeCell="A24" sqref="A24"/>
    </sheetView>
  </sheetViews>
  <sheetFormatPr baseColWidth="10" defaultRowHeight="15" x14ac:dyDescent="0.25"/>
  <cols>
    <col min="1" max="1" width="16.7109375" bestFit="1" customWidth="1" collapsed="1"/>
    <col min="3" max="3" width="21.7109375" bestFit="1" customWidth="1" collapsed="1"/>
    <col min="4" max="4" width="14.7109375" bestFit="1" customWidth="1" collapsed="1"/>
    <col min="6" max="6" width="12.28515625" bestFit="1" customWidth="1" collapsed="1"/>
    <col min="7" max="7" width="14.42578125" bestFit="1" customWidth="1" collapsed="1"/>
    <col min="8" max="8" width="8.140625" customWidth="1" collapsed="1"/>
    <col min="9" max="9" width="14.5703125" bestFit="1" customWidth="1" collapsed="1"/>
    <col min="10" max="10" width="9.28515625" customWidth="1" collapsed="1"/>
    <col min="11" max="11" width="8.85546875" customWidth="1" collapsed="1"/>
    <col min="12" max="12" width="8.28515625" customWidth="1" collapsed="1"/>
    <col min="14" max="14" width="14.28515625" bestFit="1" customWidth="1" collapsed="1"/>
    <col min="15" max="15" width="25.85546875" style="40" bestFit="1" customWidth="1" collapsed="1"/>
    <col min="16" max="16" width="23.28515625" bestFit="1" customWidth="1" collapsed="1"/>
  </cols>
  <sheetData>
    <row r="1" spans="1:16" x14ac:dyDescent="0.25">
      <c r="A1" s="10" t="s">
        <v>11</v>
      </c>
      <c r="B1" s="10" t="s">
        <v>12</v>
      </c>
      <c r="C1" s="8" t="s">
        <v>24</v>
      </c>
      <c r="D1" s="8" t="s">
        <v>13</v>
      </c>
      <c r="E1" s="8" t="s">
        <v>14</v>
      </c>
      <c r="F1" s="8" t="s">
        <v>15</v>
      </c>
      <c r="G1" s="8" t="s">
        <v>16</v>
      </c>
      <c r="H1" s="9" t="s">
        <v>17</v>
      </c>
      <c r="I1" s="9" t="s">
        <v>18</v>
      </c>
      <c r="J1" s="8" t="s">
        <v>19</v>
      </c>
      <c r="K1" s="8" t="s">
        <v>20</v>
      </c>
      <c r="L1" s="8" t="s">
        <v>21</v>
      </c>
      <c r="M1" s="8" t="s">
        <v>22</v>
      </c>
      <c r="N1" s="8" t="s">
        <v>27</v>
      </c>
      <c r="O1" s="55" t="s">
        <v>287</v>
      </c>
      <c r="P1" s="9" t="s">
        <v>288</v>
      </c>
    </row>
    <row r="2" spans="1:16" x14ac:dyDescent="0.25">
      <c r="A2" t="s">
        <v>10</v>
      </c>
      <c r="B2" t="s">
        <v>23</v>
      </c>
      <c r="C2">
        <v>997.75</v>
      </c>
      <c r="D2">
        <v>35</v>
      </c>
      <c r="E2">
        <v>24</v>
      </c>
      <c r="F2">
        <v>19</v>
      </c>
      <c r="G2">
        <v>26.1</v>
      </c>
      <c r="H2">
        <v>12</v>
      </c>
      <c r="I2">
        <v>9495</v>
      </c>
      <c r="J2">
        <v>87</v>
      </c>
      <c r="K2">
        <v>82</v>
      </c>
      <c r="L2">
        <v>82</v>
      </c>
      <c r="M2">
        <v>5</v>
      </c>
      <c r="N2" t="s">
        <v>28</v>
      </c>
      <c r="O2" s="40">
        <v>0.66669999999999996</v>
      </c>
      <c r="P2">
        <v>2.21</v>
      </c>
    </row>
    <row r="3" spans="1:16" x14ac:dyDescent="0.25">
      <c r="A3" t="s">
        <v>25</v>
      </c>
      <c r="B3" t="s">
        <v>26</v>
      </c>
      <c r="C3">
        <v>505.55</v>
      </c>
      <c r="D3">
        <v>28</v>
      </c>
      <c r="E3">
        <v>21</v>
      </c>
      <c r="F3">
        <v>16</v>
      </c>
      <c r="G3">
        <v>24.1</v>
      </c>
      <c r="H3">
        <v>16</v>
      </c>
      <c r="I3">
        <v>9221</v>
      </c>
      <c r="J3">
        <v>78</v>
      </c>
      <c r="K3">
        <v>81</v>
      </c>
      <c r="L3">
        <v>80</v>
      </c>
      <c r="M3">
        <v>4.5</v>
      </c>
      <c r="N3" t="s">
        <v>29</v>
      </c>
      <c r="O3" s="40">
        <v>0.58330000000000004</v>
      </c>
      <c r="P3">
        <v>1.79</v>
      </c>
    </row>
    <row r="4" spans="1:16" x14ac:dyDescent="0.25">
      <c r="A4" t="s">
        <v>30</v>
      </c>
      <c r="B4" t="s">
        <v>23</v>
      </c>
      <c r="C4">
        <v>348.55</v>
      </c>
      <c r="D4">
        <v>30</v>
      </c>
      <c r="E4">
        <v>19</v>
      </c>
      <c r="F4">
        <v>14</v>
      </c>
      <c r="G4">
        <v>25.2</v>
      </c>
      <c r="H4">
        <v>60</v>
      </c>
      <c r="I4">
        <v>6154</v>
      </c>
      <c r="J4">
        <v>79</v>
      </c>
      <c r="K4">
        <v>79</v>
      </c>
      <c r="L4">
        <v>77</v>
      </c>
      <c r="M4">
        <v>4</v>
      </c>
      <c r="N4" t="s">
        <v>29</v>
      </c>
      <c r="O4" s="40">
        <v>0.57140000000000002</v>
      </c>
      <c r="P4">
        <v>2.21</v>
      </c>
    </row>
    <row r="5" spans="1:16" x14ac:dyDescent="0.25">
      <c r="A5" t="s">
        <v>31</v>
      </c>
      <c r="B5" t="s">
        <v>26</v>
      </c>
      <c r="C5">
        <v>852.4</v>
      </c>
      <c r="D5">
        <v>25</v>
      </c>
      <c r="E5">
        <v>15</v>
      </c>
      <c r="F5">
        <v>17</v>
      </c>
      <c r="G5">
        <v>26.1</v>
      </c>
      <c r="H5">
        <v>6</v>
      </c>
      <c r="I5">
        <v>10885</v>
      </c>
      <c r="J5">
        <v>92</v>
      </c>
      <c r="K5">
        <v>85</v>
      </c>
      <c r="L5">
        <v>82</v>
      </c>
      <c r="M5">
        <v>5</v>
      </c>
      <c r="N5" t="s">
        <v>29</v>
      </c>
      <c r="O5" s="40">
        <v>0.72919999999999996</v>
      </c>
      <c r="P5">
        <v>2.83</v>
      </c>
    </row>
    <row r="6" spans="1:16" x14ac:dyDescent="0.25">
      <c r="A6" t="s">
        <v>32</v>
      </c>
      <c r="B6" t="s">
        <v>23</v>
      </c>
      <c r="C6">
        <v>189.65</v>
      </c>
      <c r="D6">
        <v>29</v>
      </c>
      <c r="E6">
        <v>11</v>
      </c>
      <c r="F6">
        <v>7</v>
      </c>
      <c r="G6">
        <v>23.6</v>
      </c>
      <c r="H6">
        <v>102</v>
      </c>
      <c r="I6">
        <v>4815</v>
      </c>
      <c r="J6">
        <v>75</v>
      </c>
      <c r="K6">
        <v>76</v>
      </c>
      <c r="L6">
        <v>76</v>
      </c>
      <c r="M6">
        <v>4</v>
      </c>
      <c r="N6" t="s">
        <v>29</v>
      </c>
      <c r="O6" s="40">
        <v>0.35560000000000003</v>
      </c>
      <c r="P6">
        <v>1.24</v>
      </c>
    </row>
    <row r="7" spans="1:16" x14ac:dyDescent="0.25">
      <c r="A7" t="s">
        <v>33</v>
      </c>
      <c r="B7" t="s">
        <v>23</v>
      </c>
      <c r="C7">
        <v>272</v>
      </c>
      <c r="D7">
        <v>26</v>
      </c>
      <c r="E7">
        <v>20</v>
      </c>
      <c r="F7">
        <v>12</v>
      </c>
      <c r="G7">
        <v>25.4</v>
      </c>
      <c r="H7">
        <v>131</v>
      </c>
      <c r="I7">
        <v>4207</v>
      </c>
      <c r="J7">
        <v>78</v>
      </c>
      <c r="K7">
        <v>78</v>
      </c>
      <c r="L7">
        <v>78</v>
      </c>
      <c r="M7">
        <v>4</v>
      </c>
      <c r="N7" t="s">
        <v>29</v>
      </c>
      <c r="O7" s="40">
        <v>0.59179999999999999</v>
      </c>
      <c r="P7">
        <v>1.71</v>
      </c>
    </row>
    <row r="8" spans="1:16" x14ac:dyDescent="0.25">
      <c r="A8" t="s">
        <v>34</v>
      </c>
      <c r="B8" t="s">
        <v>23</v>
      </c>
      <c r="C8">
        <v>262.89999999999998</v>
      </c>
      <c r="D8">
        <v>31</v>
      </c>
      <c r="E8">
        <v>18</v>
      </c>
      <c r="F8">
        <v>8</v>
      </c>
      <c r="G8">
        <v>23.3</v>
      </c>
      <c r="H8">
        <v>145</v>
      </c>
      <c r="I8">
        <v>4008</v>
      </c>
      <c r="J8">
        <v>77</v>
      </c>
      <c r="K8">
        <v>76</v>
      </c>
      <c r="L8">
        <v>76</v>
      </c>
      <c r="M8">
        <v>4</v>
      </c>
      <c r="N8" t="s">
        <v>29</v>
      </c>
      <c r="O8" s="40">
        <v>0.38300000000000001</v>
      </c>
      <c r="P8">
        <v>1.28</v>
      </c>
    </row>
    <row r="9" spans="1:16" x14ac:dyDescent="0.25">
      <c r="A9" t="s">
        <v>35</v>
      </c>
      <c r="B9" t="s">
        <v>23</v>
      </c>
      <c r="C9">
        <v>93.2</v>
      </c>
      <c r="D9">
        <v>28</v>
      </c>
      <c r="E9">
        <v>13</v>
      </c>
      <c r="F9">
        <v>9</v>
      </c>
      <c r="G9">
        <v>23.9</v>
      </c>
      <c r="H9">
        <v>169</v>
      </c>
      <c r="I9">
        <v>3749</v>
      </c>
      <c r="J9">
        <v>74</v>
      </c>
      <c r="K9">
        <v>74</v>
      </c>
      <c r="L9">
        <v>73</v>
      </c>
      <c r="M9">
        <v>3.5</v>
      </c>
      <c r="N9" t="s">
        <v>29</v>
      </c>
      <c r="O9" s="40">
        <v>0.30769999999999997</v>
      </c>
      <c r="P9">
        <v>1.08</v>
      </c>
    </row>
    <row r="10" spans="1:16" x14ac:dyDescent="0.25">
      <c r="A10" t="s">
        <v>36</v>
      </c>
      <c r="B10" t="s">
        <v>23</v>
      </c>
      <c r="C10">
        <v>87.7</v>
      </c>
      <c r="D10">
        <v>27</v>
      </c>
      <c r="E10">
        <v>15</v>
      </c>
      <c r="F10">
        <v>6</v>
      </c>
      <c r="G10">
        <v>26</v>
      </c>
      <c r="H10">
        <v>180</v>
      </c>
      <c r="I10">
        <v>3627</v>
      </c>
      <c r="J10">
        <v>75</v>
      </c>
      <c r="K10">
        <v>73</v>
      </c>
      <c r="L10">
        <v>74</v>
      </c>
      <c r="M10">
        <v>3.5</v>
      </c>
      <c r="N10" t="s">
        <v>29</v>
      </c>
      <c r="O10" s="40">
        <v>0.28210000000000002</v>
      </c>
      <c r="P10">
        <v>1.26</v>
      </c>
    </row>
    <row r="11" spans="1:16" x14ac:dyDescent="0.25">
      <c r="A11" t="s">
        <v>37</v>
      </c>
      <c r="B11" t="s">
        <v>23</v>
      </c>
      <c r="C11">
        <v>90.78</v>
      </c>
      <c r="D11">
        <v>27</v>
      </c>
      <c r="E11">
        <v>19</v>
      </c>
      <c r="F11">
        <v>10</v>
      </c>
      <c r="G11">
        <v>24.4</v>
      </c>
      <c r="H11">
        <v>223</v>
      </c>
      <c r="I11">
        <v>3054</v>
      </c>
      <c r="J11">
        <v>73</v>
      </c>
      <c r="K11">
        <v>73</v>
      </c>
      <c r="L11">
        <v>74</v>
      </c>
      <c r="M11">
        <v>3.5</v>
      </c>
      <c r="N11" t="s">
        <v>29</v>
      </c>
      <c r="O11" s="40">
        <v>0.24390000000000001</v>
      </c>
      <c r="P11">
        <v>1.1200000000000001</v>
      </c>
    </row>
    <row r="12" spans="1:16" x14ac:dyDescent="0.25">
      <c r="A12" t="s">
        <v>38</v>
      </c>
      <c r="B12" t="s">
        <v>23</v>
      </c>
      <c r="C12">
        <v>88.7</v>
      </c>
      <c r="D12">
        <v>24</v>
      </c>
      <c r="E12">
        <v>10</v>
      </c>
      <c r="F12">
        <v>5</v>
      </c>
      <c r="G12">
        <v>25.1</v>
      </c>
      <c r="H12">
        <v>228</v>
      </c>
      <c r="I12">
        <v>3029</v>
      </c>
      <c r="J12">
        <v>80</v>
      </c>
      <c r="K12">
        <v>76</v>
      </c>
      <c r="L12">
        <v>73</v>
      </c>
      <c r="M12">
        <v>4</v>
      </c>
      <c r="N12" t="s">
        <v>29</v>
      </c>
      <c r="O12" s="40">
        <v>0.41860000000000003</v>
      </c>
      <c r="P12">
        <v>1.6</v>
      </c>
    </row>
    <row r="13" spans="1:16" x14ac:dyDescent="0.25">
      <c r="A13" t="s">
        <v>39</v>
      </c>
      <c r="B13" t="s">
        <v>23</v>
      </c>
      <c r="C13">
        <v>87.45</v>
      </c>
      <c r="D13">
        <v>29</v>
      </c>
      <c r="E13">
        <v>14</v>
      </c>
      <c r="F13">
        <v>7</v>
      </c>
      <c r="G13">
        <v>26.2</v>
      </c>
      <c r="H13">
        <v>229</v>
      </c>
      <c r="I13">
        <v>3029</v>
      </c>
      <c r="J13">
        <v>71</v>
      </c>
      <c r="K13">
        <v>73</v>
      </c>
      <c r="L13">
        <v>73</v>
      </c>
      <c r="M13">
        <v>3.5</v>
      </c>
      <c r="N13" t="s">
        <v>29</v>
      </c>
      <c r="O13" s="40">
        <v>0.24390000000000001</v>
      </c>
      <c r="P13">
        <v>1.24</v>
      </c>
    </row>
    <row r="14" spans="1:16" x14ac:dyDescent="0.25">
      <c r="A14" t="s">
        <v>40</v>
      </c>
      <c r="B14" t="s">
        <v>23</v>
      </c>
      <c r="C14">
        <v>218.25</v>
      </c>
      <c r="D14">
        <v>26</v>
      </c>
      <c r="E14">
        <v>17</v>
      </c>
      <c r="F14">
        <v>8</v>
      </c>
      <c r="G14">
        <v>24.1</v>
      </c>
      <c r="H14">
        <v>255</v>
      </c>
      <c r="I14">
        <v>2803</v>
      </c>
      <c r="J14">
        <v>77</v>
      </c>
      <c r="K14">
        <v>74</v>
      </c>
      <c r="L14">
        <v>73</v>
      </c>
      <c r="M14">
        <v>4</v>
      </c>
      <c r="N14" t="s">
        <v>28</v>
      </c>
      <c r="O14" s="40">
        <v>0.36959999999999998</v>
      </c>
      <c r="P14">
        <v>1.33</v>
      </c>
    </row>
    <row r="15" spans="1:16" x14ac:dyDescent="0.25">
      <c r="A15" t="s">
        <v>41</v>
      </c>
      <c r="B15" t="s">
        <v>23</v>
      </c>
      <c r="C15">
        <v>66.7</v>
      </c>
      <c r="D15">
        <v>28</v>
      </c>
      <c r="E15">
        <v>11</v>
      </c>
      <c r="F15">
        <v>6</v>
      </c>
      <c r="G15">
        <v>26</v>
      </c>
      <c r="H15">
        <v>266</v>
      </c>
      <c r="I15">
        <v>2690</v>
      </c>
      <c r="J15">
        <v>75</v>
      </c>
      <c r="K15">
        <v>75</v>
      </c>
      <c r="L15">
        <v>74</v>
      </c>
      <c r="M15">
        <v>4</v>
      </c>
      <c r="N15" t="s">
        <v>29</v>
      </c>
      <c r="O15" s="40">
        <v>0.35709999999999997</v>
      </c>
      <c r="P15">
        <v>1.1399999999999999</v>
      </c>
    </row>
    <row r="16" spans="1:16" x14ac:dyDescent="0.25">
      <c r="A16" t="s">
        <v>44</v>
      </c>
      <c r="B16" t="s">
        <v>23</v>
      </c>
      <c r="C16">
        <v>87.7</v>
      </c>
      <c r="D16">
        <v>29</v>
      </c>
      <c r="E16">
        <v>16</v>
      </c>
      <c r="F16">
        <v>10</v>
      </c>
      <c r="G16">
        <v>25.1</v>
      </c>
      <c r="H16">
        <v>326</v>
      </c>
      <c r="I16">
        <v>2298</v>
      </c>
      <c r="J16">
        <v>74</v>
      </c>
      <c r="K16">
        <v>73</v>
      </c>
      <c r="L16">
        <v>72</v>
      </c>
      <c r="M16">
        <v>3.5</v>
      </c>
      <c r="N16" t="s">
        <v>29</v>
      </c>
      <c r="O16" s="40">
        <v>0.33329999999999999</v>
      </c>
      <c r="P16">
        <v>1.08</v>
      </c>
    </row>
    <row r="17" spans="1:16" x14ac:dyDescent="0.25">
      <c r="A17" t="s">
        <v>45</v>
      </c>
      <c r="B17" t="s">
        <v>23</v>
      </c>
      <c r="C17">
        <v>88.3</v>
      </c>
      <c r="D17">
        <v>26</v>
      </c>
      <c r="E17">
        <v>7</v>
      </c>
      <c r="F17">
        <v>4</v>
      </c>
      <c r="G17">
        <v>25.1</v>
      </c>
      <c r="H17">
        <v>347</v>
      </c>
      <c r="I17">
        <v>2156</v>
      </c>
      <c r="J17">
        <v>72</v>
      </c>
      <c r="K17">
        <v>73</v>
      </c>
      <c r="L17">
        <v>72</v>
      </c>
      <c r="M17">
        <v>3.5</v>
      </c>
      <c r="N17" t="s">
        <v>29</v>
      </c>
      <c r="O17" s="40">
        <v>0.3</v>
      </c>
      <c r="P17">
        <v>1.3</v>
      </c>
    </row>
    <row r="18" spans="1:16" x14ac:dyDescent="0.25">
      <c r="A18" t="s">
        <v>48</v>
      </c>
      <c r="B18" t="s">
        <v>23</v>
      </c>
      <c r="C18">
        <v>85.63</v>
      </c>
      <c r="D18">
        <v>28</v>
      </c>
      <c r="E18">
        <v>16</v>
      </c>
      <c r="F18">
        <v>8</v>
      </c>
      <c r="G18">
        <v>25</v>
      </c>
      <c r="H18">
        <v>426</v>
      </c>
      <c r="I18">
        <v>1736</v>
      </c>
      <c r="J18">
        <v>70</v>
      </c>
      <c r="K18">
        <v>70</v>
      </c>
      <c r="L18">
        <v>73</v>
      </c>
      <c r="M18">
        <v>3.5</v>
      </c>
      <c r="N18" t="s">
        <v>46</v>
      </c>
      <c r="O18" s="40">
        <v>0.34150000000000003</v>
      </c>
      <c r="P18">
        <v>1.22</v>
      </c>
    </row>
    <row r="19" spans="1:16" x14ac:dyDescent="0.25">
      <c r="A19" t="s">
        <v>49</v>
      </c>
      <c r="B19" t="s">
        <v>26</v>
      </c>
      <c r="C19">
        <v>352.75</v>
      </c>
      <c r="D19">
        <v>27</v>
      </c>
      <c r="E19">
        <v>19</v>
      </c>
      <c r="F19">
        <v>15</v>
      </c>
      <c r="G19">
        <v>24.7</v>
      </c>
      <c r="H19">
        <v>22</v>
      </c>
      <c r="I19">
        <v>8083</v>
      </c>
      <c r="J19">
        <v>78</v>
      </c>
      <c r="K19">
        <v>78</v>
      </c>
      <c r="L19">
        <v>78</v>
      </c>
      <c r="M19">
        <v>4.5</v>
      </c>
      <c r="N19" t="s">
        <v>46</v>
      </c>
      <c r="O19" s="40">
        <v>0.4667</v>
      </c>
      <c r="P19">
        <v>1.98</v>
      </c>
    </row>
    <row r="20" spans="1:16" x14ac:dyDescent="0.25">
      <c r="A20" t="s">
        <v>50</v>
      </c>
      <c r="B20" t="s">
        <v>26</v>
      </c>
      <c r="C20">
        <v>565.79999999999995</v>
      </c>
      <c r="D20">
        <v>33</v>
      </c>
      <c r="E20">
        <v>18</v>
      </c>
      <c r="F20">
        <v>17</v>
      </c>
      <c r="G20">
        <v>24.7</v>
      </c>
      <c r="H20">
        <v>36</v>
      </c>
      <c r="I20">
        <v>7276</v>
      </c>
      <c r="J20">
        <v>87</v>
      </c>
      <c r="K20">
        <v>81</v>
      </c>
      <c r="L20">
        <v>81</v>
      </c>
      <c r="M20">
        <v>4.5</v>
      </c>
      <c r="N20" t="s">
        <v>29</v>
      </c>
      <c r="O20" s="40">
        <v>0.60780000000000001</v>
      </c>
      <c r="P20">
        <v>2.27</v>
      </c>
    </row>
    <row r="21" spans="1:16" x14ac:dyDescent="0.25">
      <c r="A21" t="s">
        <v>51</v>
      </c>
      <c r="B21" t="s">
        <v>26</v>
      </c>
      <c r="C21">
        <v>231.25</v>
      </c>
      <c r="D21">
        <v>32</v>
      </c>
      <c r="E21">
        <v>21</v>
      </c>
      <c r="F21">
        <v>12</v>
      </c>
      <c r="G21">
        <v>25.4</v>
      </c>
      <c r="H21">
        <v>45</v>
      </c>
      <c r="I21">
        <v>6714</v>
      </c>
      <c r="J21">
        <v>79</v>
      </c>
      <c r="K21">
        <v>77</v>
      </c>
      <c r="L21">
        <v>75</v>
      </c>
      <c r="M21">
        <v>4</v>
      </c>
      <c r="N21" t="s">
        <v>46</v>
      </c>
      <c r="O21" s="40">
        <v>0.47220000000000001</v>
      </c>
      <c r="P21">
        <v>2</v>
      </c>
    </row>
    <row r="22" spans="1:16" x14ac:dyDescent="0.25">
      <c r="A22" t="s">
        <v>274</v>
      </c>
      <c r="B22" t="s">
        <v>26</v>
      </c>
      <c r="C22">
        <v>287.75</v>
      </c>
      <c r="D22">
        <v>31</v>
      </c>
      <c r="E22">
        <v>20</v>
      </c>
      <c r="F22">
        <v>11</v>
      </c>
      <c r="G22">
        <v>25.4</v>
      </c>
      <c r="H22">
        <v>65</v>
      </c>
      <c r="I22">
        <v>5919</v>
      </c>
      <c r="J22">
        <v>78</v>
      </c>
      <c r="K22">
        <v>78</v>
      </c>
      <c r="L22">
        <v>77</v>
      </c>
      <c r="M22">
        <v>4</v>
      </c>
      <c r="N22" t="s">
        <v>46</v>
      </c>
      <c r="O22" s="40">
        <v>0.53659999999999997</v>
      </c>
      <c r="P22">
        <v>1.88</v>
      </c>
    </row>
    <row r="23" spans="1:16" x14ac:dyDescent="0.25">
      <c r="A23" t="s">
        <v>52</v>
      </c>
      <c r="B23" t="s">
        <v>26</v>
      </c>
      <c r="C23">
        <v>300</v>
      </c>
      <c r="D23">
        <v>28</v>
      </c>
      <c r="E23">
        <v>15</v>
      </c>
      <c r="F23">
        <v>11</v>
      </c>
      <c r="G23">
        <v>25.4</v>
      </c>
      <c r="H23">
        <v>76</v>
      </c>
      <c r="I23">
        <v>5412</v>
      </c>
      <c r="J23">
        <v>78</v>
      </c>
      <c r="K23">
        <v>79</v>
      </c>
      <c r="L23">
        <v>80</v>
      </c>
      <c r="M23">
        <v>4.5</v>
      </c>
      <c r="N23" t="s">
        <v>29</v>
      </c>
      <c r="O23" s="40">
        <v>0.60780000000000001</v>
      </c>
      <c r="P23">
        <v>2.27</v>
      </c>
    </row>
    <row r="24" spans="1:16" x14ac:dyDescent="0.25">
      <c r="A24" t="s">
        <v>53</v>
      </c>
      <c r="B24" t="s">
        <v>26</v>
      </c>
      <c r="C24">
        <v>31.88</v>
      </c>
      <c r="D24">
        <v>25</v>
      </c>
      <c r="E24">
        <v>14</v>
      </c>
      <c r="F24">
        <v>6</v>
      </c>
      <c r="G24">
        <v>26</v>
      </c>
      <c r="H24">
        <v>152</v>
      </c>
      <c r="I24">
        <v>3938</v>
      </c>
      <c r="J24">
        <v>74</v>
      </c>
      <c r="K24">
        <v>75</v>
      </c>
      <c r="L24">
        <v>72</v>
      </c>
      <c r="M24">
        <v>74</v>
      </c>
      <c r="N24" t="s">
        <v>29</v>
      </c>
      <c r="O24" s="40">
        <v>0.1351</v>
      </c>
      <c r="P24">
        <v>0.86</v>
      </c>
    </row>
    <row r="25" spans="1:16" x14ac:dyDescent="0.25">
      <c r="A25" t="s">
        <v>54</v>
      </c>
      <c r="B25" t="s">
        <v>26</v>
      </c>
      <c r="C25">
        <v>207.65</v>
      </c>
      <c r="D25">
        <v>32</v>
      </c>
      <c r="E25">
        <v>20</v>
      </c>
      <c r="F25">
        <v>16</v>
      </c>
      <c r="G25">
        <v>25.8</v>
      </c>
      <c r="H25">
        <v>194</v>
      </c>
      <c r="I25">
        <v>3438</v>
      </c>
      <c r="J25">
        <v>75</v>
      </c>
      <c r="K25">
        <v>77</v>
      </c>
      <c r="L25">
        <v>76</v>
      </c>
      <c r="M25">
        <v>4</v>
      </c>
      <c r="N25" t="s">
        <v>29</v>
      </c>
      <c r="O25" s="40">
        <v>0.36359999999999998</v>
      </c>
      <c r="P25">
        <v>1.73</v>
      </c>
    </row>
    <row r="26" spans="1:16" x14ac:dyDescent="0.25">
      <c r="A26" t="s">
        <v>55</v>
      </c>
      <c r="B26" t="s">
        <v>26</v>
      </c>
      <c r="C26">
        <v>125.15</v>
      </c>
      <c r="D26">
        <v>26</v>
      </c>
      <c r="E26">
        <v>9</v>
      </c>
      <c r="F26">
        <v>7</v>
      </c>
      <c r="G26">
        <v>25.4</v>
      </c>
      <c r="H26">
        <v>213</v>
      </c>
      <c r="I26">
        <v>3138</v>
      </c>
      <c r="J26">
        <v>75</v>
      </c>
      <c r="K26">
        <v>75</v>
      </c>
      <c r="L26">
        <v>73</v>
      </c>
      <c r="M26">
        <v>3.5</v>
      </c>
      <c r="N26" t="s">
        <v>29</v>
      </c>
      <c r="O26" s="40">
        <v>0.36109999999999998</v>
      </c>
      <c r="P26">
        <v>1.5</v>
      </c>
    </row>
    <row r="27" spans="1:16" x14ac:dyDescent="0.25">
      <c r="A27" t="s">
        <v>56</v>
      </c>
      <c r="B27" t="s">
        <v>26</v>
      </c>
      <c r="C27">
        <v>53.85</v>
      </c>
      <c r="D27">
        <v>25</v>
      </c>
      <c r="E27">
        <v>8</v>
      </c>
      <c r="F27">
        <v>3</v>
      </c>
      <c r="G27">
        <v>24.6</v>
      </c>
      <c r="H27">
        <v>216</v>
      </c>
      <c r="I27">
        <v>3121</v>
      </c>
      <c r="J27">
        <v>73</v>
      </c>
      <c r="K27">
        <v>74</v>
      </c>
      <c r="L27">
        <v>75</v>
      </c>
      <c r="M27">
        <v>3.5</v>
      </c>
      <c r="N27" t="s">
        <v>29</v>
      </c>
      <c r="O27" s="40">
        <v>0.28210000000000002</v>
      </c>
      <c r="P27">
        <v>1.1499999999999999</v>
      </c>
    </row>
    <row r="28" spans="1:16" x14ac:dyDescent="0.25">
      <c r="A28" t="s">
        <v>57</v>
      </c>
      <c r="B28" t="s">
        <v>26</v>
      </c>
      <c r="C28">
        <v>100.5</v>
      </c>
      <c r="D28">
        <v>25</v>
      </c>
      <c r="E28">
        <v>13</v>
      </c>
      <c r="F28">
        <v>6</v>
      </c>
      <c r="G28">
        <v>25.5</v>
      </c>
      <c r="H28">
        <v>234</v>
      </c>
      <c r="I28">
        <v>2973</v>
      </c>
      <c r="J28">
        <v>72</v>
      </c>
      <c r="K28">
        <v>73</v>
      </c>
      <c r="L28">
        <v>73</v>
      </c>
      <c r="M28">
        <v>3.5</v>
      </c>
      <c r="N28" t="s">
        <v>46</v>
      </c>
      <c r="O28" s="40">
        <v>0.30559999999999998</v>
      </c>
      <c r="P28">
        <v>1.28</v>
      </c>
    </row>
    <row r="29" spans="1:16" x14ac:dyDescent="0.25">
      <c r="A29" t="s">
        <v>58</v>
      </c>
      <c r="B29" t="s">
        <v>26</v>
      </c>
      <c r="C29">
        <v>77.8</v>
      </c>
      <c r="D29">
        <v>31</v>
      </c>
      <c r="E29">
        <v>13</v>
      </c>
      <c r="F29">
        <v>7</v>
      </c>
      <c r="G29">
        <v>26.9</v>
      </c>
      <c r="H29">
        <v>243</v>
      </c>
      <c r="I29">
        <v>2873</v>
      </c>
      <c r="J29">
        <v>75</v>
      </c>
      <c r="K29">
        <v>72</v>
      </c>
      <c r="L29">
        <v>73</v>
      </c>
      <c r="M29">
        <v>3.5</v>
      </c>
      <c r="N29" t="s">
        <v>46</v>
      </c>
      <c r="O29" s="40">
        <v>0.36109999999999998</v>
      </c>
      <c r="P29">
        <v>1.47</v>
      </c>
    </row>
    <row r="30" spans="1:16" x14ac:dyDescent="0.25">
      <c r="A30" t="s">
        <v>59</v>
      </c>
      <c r="B30" t="s">
        <v>26</v>
      </c>
      <c r="C30">
        <v>137.05000000000001</v>
      </c>
      <c r="D30">
        <v>28</v>
      </c>
      <c r="E30">
        <v>15</v>
      </c>
      <c r="F30">
        <v>8</v>
      </c>
      <c r="G30">
        <v>26.3</v>
      </c>
      <c r="H30">
        <v>258</v>
      </c>
      <c r="I30">
        <v>2751</v>
      </c>
      <c r="J30">
        <v>77</v>
      </c>
      <c r="K30">
        <v>76</v>
      </c>
      <c r="L30">
        <v>75</v>
      </c>
      <c r="M30">
        <v>4</v>
      </c>
      <c r="N30" t="s">
        <v>29</v>
      </c>
      <c r="O30" s="40">
        <v>0.2286</v>
      </c>
      <c r="P30">
        <v>1.29</v>
      </c>
    </row>
    <row r="31" spans="1:16" x14ac:dyDescent="0.25">
      <c r="A31" t="s">
        <v>275</v>
      </c>
      <c r="B31" t="s">
        <v>26</v>
      </c>
      <c r="C31">
        <v>97.1</v>
      </c>
      <c r="D31">
        <v>28</v>
      </c>
      <c r="E31">
        <v>18</v>
      </c>
      <c r="F31">
        <v>10</v>
      </c>
      <c r="G31">
        <v>26</v>
      </c>
      <c r="H31">
        <v>276</v>
      </c>
      <c r="I31">
        <v>2599</v>
      </c>
      <c r="J31">
        <v>73</v>
      </c>
      <c r="K31">
        <v>74</v>
      </c>
      <c r="L31">
        <v>74</v>
      </c>
      <c r="M31">
        <v>3.5</v>
      </c>
      <c r="N31" t="s">
        <v>46</v>
      </c>
      <c r="O31" s="40">
        <v>0.30559999999999998</v>
      </c>
      <c r="P31">
        <v>1.19</v>
      </c>
    </row>
    <row r="32" spans="1:16" x14ac:dyDescent="0.25">
      <c r="A32" t="s">
        <v>60</v>
      </c>
      <c r="B32" t="s">
        <v>26</v>
      </c>
      <c r="C32">
        <v>76.66</v>
      </c>
      <c r="D32">
        <v>30</v>
      </c>
      <c r="E32">
        <v>11</v>
      </c>
      <c r="F32">
        <v>6</v>
      </c>
      <c r="G32">
        <v>25.1</v>
      </c>
      <c r="H32">
        <v>299</v>
      </c>
      <c r="I32">
        <v>2454</v>
      </c>
      <c r="J32">
        <v>74</v>
      </c>
      <c r="K32">
        <v>74</v>
      </c>
      <c r="L32">
        <v>72</v>
      </c>
      <c r="M32">
        <v>3.5</v>
      </c>
      <c r="N32" t="s">
        <v>46</v>
      </c>
      <c r="O32" s="40">
        <v>0.28210000000000002</v>
      </c>
      <c r="P32">
        <v>1.23</v>
      </c>
    </row>
    <row r="33" spans="1:16" x14ac:dyDescent="0.25">
      <c r="A33" t="s">
        <v>61</v>
      </c>
      <c r="B33" t="s">
        <v>26</v>
      </c>
      <c r="C33">
        <v>169.63</v>
      </c>
      <c r="D33">
        <v>33</v>
      </c>
      <c r="E33">
        <v>18</v>
      </c>
      <c r="F33">
        <v>4</v>
      </c>
      <c r="G33">
        <v>23.3</v>
      </c>
      <c r="H33">
        <v>671</v>
      </c>
      <c r="I33">
        <v>828</v>
      </c>
      <c r="J33">
        <v>74</v>
      </c>
      <c r="K33">
        <v>73</v>
      </c>
      <c r="L33">
        <v>72</v>
      </c>
      <c r="M33">
        <v>3.5</v>
      </c>
      <c r="N33" t="s">
        <v>29</v>
      </c>
      <c r="O33" s="40">
        <v>0.37840000000000001</v>
      </c>
      <c r="P33">
        <v>1.59</v>
      </c>
    </row>
    <row r="34" spans="1:16" x14ac:dyDescent="0.25">
      <c r="A34" t="s">
        <v>62</v>
      </c>
      <c r="B34" t="s">
        <v>63</v>
      </c>
      <c r="C34">
        <v>18.350000000000001</v>
      </c>
      <c r="D34">
        <v>29</v>
      </c>
      <c r="E34">
        <v>3</v>
      </c>
      <c r="F34">
        <v>1</v>
      </c>
      <c r="G34">
        <v>27.4</v>
      </c>
      <c r="H34">
        <v>66</v>
      </c>
      <c r="I34">
        <v>5865</v>
      </c>
      <c r="J34">
        <v>67</v>
      </c>
      <c r="K34">
        <v>68</v>
      </c>
      <c r="L34">
        <v>66</v>
      </c>
      <c r="M34">
        <v>2.5</v>
      </c>
      <c r="N34" t="s">
        <v>29</v>
      </c>
      <c r="O34" s="40">
        <v>0.4375</v>
      </c>
      <c r="P34">
        <v>1.25</v>
      </c>
    </row>
    <row r="35" spans="1:16" x14ac:dyDescent="0.25">
      <c r="A35" t="s">
        <v>64</v>
      </c>
      <c r="B35" t="s">
        <v>63</v>
      </c>
      <c r="C35">
        <v>13.1</v>
      </c>
      <c r="D35">
        <v>30</v>
      </c>
      <c r="E35">
        <v>4</v>
      </c>
      <c r="F35">
        <v>0</v>
      </c>
      <c r="G35">
        <v>25.1</v>
      </c>
      <c r="H35">
        <v>71</v>
      </c>
      <c r="I35">
        <v>5560</v>
      </c>
      <c r="J35">
        <v>71</v>
      </c>
      <c r="K35">
        <v>64</v>
      </c>
      <c r="L35">
        <v>67</v>
      </c>
      <c r="M35">
        <v>2</v>
      </c>
      <c r="N35" t="s">
        <v>29</v>
      </c>
      <c r="O35" s="40">
        <v>0.37930000000000003</v>
      </c>
      <c r="P35">
        <v>1.48</v>
      </c>
    </row>
    <row r="36" spans="1:16" x14ac:dyDescent="0.25">
      <c r="A36" t="s">
        <v>65</v>
      </c>
      <c r="B36" t="s">
        <v>63</v>
      </c>
      <c r="C36">
        <v>14.58</v>
      </c>
      <c r="D36">
        <v>35</v>
      </c>
      <c r="E36">
        <v>3</v>
      </c>
      <c r="F36">
        <v>1</v>
      </c>
      <c r="G36">
        <v>25.9</v>
      </c>
      <c r="H36">
        <v>91</v>
      </c>
      <c r="I36">
        <v>5087</v>
      </c>
      <c r="J36">
        <v>68</v>
      </c>
      <c r="K36">
        <v>61</v>
      </c>
      <c r="L36">
        <v>64</v>
      </c>
      <c r="M36">
        <v>1.5</v>
      </c>
      <c r="N36" t="s">
        <v>29</v>
      </c>
      <c r="O36" s="40">
        <v>0.35289999999999999</v>
      </c>
      <c r="P36">
        <v>1.24</v>
      </c>
    </row>
    <row r="37" spans="1:16" x14ac:dyDescent="0.25">
      <c r="A37" t="s">
        <v>66</v>
      </c>
      <c r="B37" t="s">
        <v>63</v>
      </c>
      <c r="C37">
        <v>22.13</v>
      </c>
      <c r="D37">
        <v>32</v>
      </c>
      <c r="E37">
        <v>3</v>
      </c>
      <c r="F37">
        <v>0</v>
      </c>
      <c r="G37">
        <v>27.7</v>
      </c>
      <c r="H37">
        <v>93</v>
      </c>
      <c r="I37">
        <v>5011</v>
      </c>
      <c r="J37">
        <v>70</v>
      </c>
      <c r="K37">
        <v>70</v>
      </c>
      <c r="L37">
        <v>67</v>
      </c>
      <c r="M37">
        <v>3</v>
      </c>
      <c r="N37" t="s">
        <v>28</v>
      </c>
      <c r="O37" s="40">
        <v>0.4</v>
      </c>
      <c r="P37">
        <v>1.28</v>
      </c>
    </row>
    <row r="38" spans="1:16" x14ac:dyDescent="0.25">
      <c r="A38" t="s">
        <v>67</v>
      </c>
      <c r="B38" t="s">
        <v>63</v>
      </c>
      <c r="C38">
        <v>21.85</v>
      </c>
      <c r="D38">
        <v>29</v>
      </c>
      <c r="E38">
        <v>2</v>
      </c>
      <c r="F38">
        <v>4</v>
      </c>
      <c r="G38">
        <v>25.7</v>
      </c>
      <c r="H38">
        <v>104</v>
      </c>
      <c r="I38">
        <v>4793</v>
      </c>
      <c r="J38">
        <v>67</v>
      </c>
      <c r="K38">
        <v>70</v>
      </c>
      <c r="L38">
        <v>67</v>
      </c>
      <c r="M38">
        <v>2.5</v>
      </c>
      <c r="N38" t="s">
        <v>29</v>
      </c>
      <c r="O38" s="40">
        <v>0.42859999999999998</v>
      </c>
      <c r="P38">
        <v>1.75</v>
      </c>
    </row>
    <row r="39" spans="1:16" x14ac:dyDescent="0.25">
      <c r="A39" t="s">
        <v>68</v>
      </c>
      <c r="B39" t="s">
        <v>63</v>
      </c>
      <c r="C39">
        <v>16.600000000000001</v>
      </c>
      <c r="D39">
        <v>36</v>
      </c>
      <c r="E39">
        <v>2</v>
      </c>
      <c r="F39">
        <v>1</v>
      </c>
      <c r="G39">
        <v>25.1</v>
      </c>
      <c r="H39">
        <v>129</v>
      </c>
      <c r="I39">
        <v>4227</v>
      </c>
      <c r="J39">
        <v>62</v>
      </c>
      <c r="K39">
        <v>66</v>
      </c>
      <c r="L39">
        <v>64</v>
      </c>
      <c r="M39">
        <v>2</v>
      </c>
      <c r="N39" t="s">
        <v>46</v>
      </c>
      <c r="O39" s="40">
        <v>0.38890000000000002</v>
      </c>
      <c r="P39">
        <v>1.39</v>
      </c>
    </row>
    <row r="40" spans="1:16" x14ac:dyDescent="0.25">
      <c r="A40" t="s">
        <v>69</v>
      </c>
      <c r="B40" t="s">
        <v>63</v>
      </c>
      <c r="C40">
        <v>8.83</v>
      </c>
      <c r="D40">
        <v>30</v>
      </c>
      <c r="E40">
        <v>1</v>
      </c>
      <c r="F40">
        <v>0</v>
      </c>
      <c r="G40">
        <v>27</v>
      </c>
      <c r="H40">
        <v>181</v>
      </c>
      <c r="I40">
        <v>3617</v>
      </c>
      <c r="J40">
        <v>63</v>
      </c>
      <c r="K40">
        <v>64</v>
      </c>
      <c r="L40">
        <v>64</v>
      </c>
      <c r="M40">
        <v>1.5</v>
      </c>
      <c r="N40" t="s">
        <v>29</v>
      </c>
      <c r="O40" s="40">
        <v>0.37040000000000001</v>
      </c>
      <c r="P40">
        <v>1.1499999999999999</v>
      </c>
    </row>
    <row r="41" spans="1:16" x14ac:dyDescent="0.25">
      <c r="A41" t="s">
        <v>70</v>
      </c>
      <c r="B41" t="s">
        <v>63</v>
      </c>
      <c r="C41">
        <v>16.38</v>
      </c>
      <c r="D41">
        <v>28</v>
      </c>
      <c r="E41">
        <v>1</v>
      </c>
      <c r="F41">
        <v>3</v>
      </c>
      <c r="G41">
        <v>25.3</v>
      </c>
      <c r="H41">
        <v>200</v>
      </c>
      <c r="I41">
        <v>3276</v>
      </c>
      <c r="J41">
        <v>69</v>
      </c>
      <c r="K41">
        <v>63</v>
      </c>
      <c r="L41">
        <v>65</v>
      </c>
      <c r="M41">
        <v>2</v>
      </c>
      <c r="N41" t="s">
        <v>29</v>
      </c>
      <c r="O41" s="40">
        <v>0.36</v>
      </c>
      <c r="P41">
        <v>1.44</v>
      </c>
    </row>
    <row r="42" spans="1:16" x14ac:dyDescent="0.25">
      <c r="A42" t="s">
        <v>71</v>
      </c>
      <c r="B42" t="s">
        <v>63</v>
      </c>
      <c r="C42">
        <v>11.5</v>
      </c>
      <c r="D42">
        <v>28</v>
      </c>
      <c r="E42">
        <v>3</v>
      </c>
      <c r="F42">
        <v>0</v>
      </c>
      <c r="G42">
        <v>27</v>
      </c>
      <c r="H42">
        <v>205</v>
      </c>
      <c r="I42">
        <v>3223</v>
      </c>
      <c r="J42">
        <v>65</v>
      </c>
      <c r="K42">
        <v>67</v>
      </c>
      <c r="L42">
        <v>63</v>
      </c>
      <c r="M42">
        <v>2</v>
      </c>
      <c r="N42" t="s">
        <v>29</v>
      </c>
      <c r="O42" s="40">
        <v>0.38479999999999998</v>
      </c>
      <c r="P42">
        <v>1.42</v>
      </c>
    </row>
    <row r="43" spans="1:16" x14ac:dyDescent="0.25">
      <c r="A43" t="s">
        <v>72</v>
      </c>
      <c r="B43" t="s">
        <v>63</v>
      </c>
      <c r="C43">
        <v>14.85</v>
      </c>
      <c r="D43">
        <v>33</v>
      </c>
      <c r="E43">
        <v>3</v>
      </c>
      <c r="F43">
        <v>2</v>
      </c>
      <c r="G43">
        <v>25.9</v>
      </c>
      <c r="H43">
        <v>209</v>
      </c>
      <c r="I43">
        <v>3175</v>
      </c>
      <c r="J43">
        <v>65</v>
      </c>
      <c r="K43">
        <v>64</v>
      </c>
      <c r="L43">
        <v>63</v>
      </c>
      <c r="M43">
        <v>1.5</v>
      </c>
      <c r="N43" t="s">
        <v>46</v>
      </c>
      <c r="O43" s="40">
        <v>0.51719999999999999</v>
      </c>
      <c r="P43">
        <v>1.55</v>
      </c>
    </row>
    <row r="44" spans="1:16" x14ac:dyDescent="0.25">
      <c r="A44" t="s">
        <v>73</v>
      </c>
      <c r="B44" t="s">
        <v>63</v>
      </c>
      <c r="C44">
        <v>11.68</v>
      </c>
      <c r="D44">
        <v>34</v>
      </c>
      <c r="E44">
        <v>4</v>
      </c>
      <c r="F44">
        <v>1</v>
      </c>
      <c r="G44">
        <v>25.7</v>
      </c>
      <c r="H44">
        <v>237</v>
      </c>
      <c r="I44">
        <v>2952</v>
      </c>
      <c r="J44">
        <v>69</v>
      </c>
      <c r="K44">
        <v>68</v>
      </c>
      <c r="L44">
        <v>68</v>
      </c>
      <c r="M44">
        <v>2.5</v>
      </c>
      <c r="N44" t="s">
        <v>29</v>
      </c>
      <c r="O44" s="40">
        <v>0.31819999999999998</v>
      </c>
      <c r="P44">
        <v>1.23</v>
      </c>
    </row>
    <row r="45" spans="1:16" x14ac:dyDescent="0.25">
      <c r="A45" t="s">
        <v>74</v>
      </c>
      <c r="B45" t="s">
        <v>63</v>
      </c>
      <c r="C45">
        <v>9.73</v>
      </c>
      <c r="D45">
        <v>33</v>
      </c>
      <c r="E45">
        <v>1</v>
      </c>
      <c r="F45">
        <v>0</v>
      </c>
      <c r="G45">
        <v>26.2</v>
      </c>
      <c r="H45">
        <v>254</v>
      </c>
      <c r="I45">
        <v>2813</v>
      </c>
      <c r="J45">
        <v>67</v>
      </c>
      <c r="K45">
        <v>64</v>
      </c>
      <c r="L45">
        <v>65</v>
      </c>
      <c r="M45">
        <v>2</v>
      </c>
      <c r="N45" t="s">
        <v>46</v>
      </c>
      <c r="O45" s="40">
        <v>0.25</v>
      </c>
      <c r="P45">
        <v>1.17</v>
      </c>
    </row>
    <row r="46" spans="1:16" x14ac:dyDescent="0.25">
      <c r="A46" t="s">
        <v>75</v>
      </c>
      <c r="B46" t="s">
        <v>63</v>
      </c>
      <c r="C46">
        <v>9.3000000000000007</v>
      </c>
      <c r="D46">
        <v>29</v>
      </c>
      <c r="E46">
        <v>4</v>
      </c>
      <c r="F46">
        <v>0</v>
      </c>
      <c r="G46">
        <v>25.6</v>
      </c>
      <c r="H46">
        <v>317</v>
      </c>
      <c r="I46">
        <v>2374</v>
      </c>
      <c r="J46">
        <v>69</v>
      </c>
      <c r="K46">
        <v>66</v>
      </c>
      <c r="L46">
        <v>64</v>
      </c>
      <c r="M46">
        <v>2.5</v>
      </c>
      <c r="N46" t="s">
        <v>46</v>
      </c>
      <c r="O46" s="40">
        <v>0.43480000000000002</v>
      </c>
      <c r="P46">
        <v>1.43</v>
      </c>
    </row>
    <row r="47" spans="1:16" x14ac:dyDescent="0.25">
      <c r="A47" t="s">
        <v>76</v>
      </c>
      <c r="B47" t="s">
        <v>63</v>
      </c>
      <c r="C47">
        <v>10.15</v>
      </c>
      <c r="D47">
        <v>30</v>
      </c>
      <c r="E47">
        <v>3</v>
      </c>
      <c r="F47">
        <v>0</v>
      </c>
      <c r="G47">
        <v>27.4</v>
      </c>
      <c r="H47">
        <v>349</v>
      </c>
      <c r="I47">
        <v>2119</v>
      </c>
      <c r="J47">
        <v>59</v>
      </c>
      <c r="K47">
        <v>64</v>
      </c>
      <c r="L47">
        <v>65</v>
      </c>
      <c r="M47">
        <v>2</v>
      </c>
      <c r="N47" t="s">
        <v>29</v>
      </c>
      <c r="O47" s="40">
        <v>0.2727</v>
      </c>
      <c r="P47">
        <v>0.82</v>
      </c>
    </row>
    <row r="48" spans="1:16" x14ac:dyDescent="0.25">
      <c r="A48" t="s">
        <v>77</v>
      </c>
      <c r="B48" t="s">
        <v>63</v>
      </c>
      <c r="C48">
        <v>8.4</v>
      </c>
      <c r="D48">
        <v>32</v>
      </c>
      <c r="E48">
        <v>3</v>
      </c>
      <c r="F48">
        <v>0</v>
      </c>
      <c r="G48">
        <v>23.6</v>
      </c>
      <c r="H48">
        <v>362</v>
      </c>
      <c r="I48">
        <v>2071</v>
      </c>
      <c r="J48">
        <v>65</v>
      </c>
      <c r="K48">
        <v>66</v>
      </c>
      <c r="L48">
        <v>61</v>
      </c>
      <c r="M48">
        <v>2</v>
      </c>
      <c r="N48" t="s">
        <v>46</v>
      </c>
      <c r="O48" s="40">
        <v>0.26090000000000002</v>
      </c>
      <c r="P48">
        <v>1.22</v>
      </c>
    </row>
    <row r="49" spans="1:16" x14ac:dyDescent="0.25">
      <c r="A49" t="s">
        <v>78</v>
      </c>
      <c r="B49" t="s">
        <v>63</v>
      </c>
      <c r="C49">
        <v>8.07</v>
      </c>
      <c r="D49">
        <v>31</v>
      </c>
      <c r="E49">
        <v>4</v>
      </c>
      <c r="F49">
        <v>0</v>
      </c>
      <c r="G49">
        <v>25.2</v>
      </c>
      <c r="H49">
        <v>433</v>
      </c>
      <c r="I49">
        <v>1716</v>
      </c>
      <c r="J49">
        <v>63</v>
      </c>
      <c r="K49">
        <v>64</v>
      </c>
      <c r="L49">
        <v>64</v>
      </c>
      <c r="M49">
        <v>2</v>
      </c>
      <c r="N49" t="s">
        <v>29</v>
      </c>
      <c r="O49" s="40">
        <v>0.18179999999999999</v>
      </c>
      <c r="P49">
        <v>0.59</v>
      </c>
    </row>
    <row r="50" spans="1:16" x14ac:dyDescent="0.25">
      <c r="A50" t="s">
        <v>84</v>
      </c>
      <c r="B50" t="s">
        <v>85</v>
      </c>
      <c r="C50">
        <v>103.93</v>
      </c>
      <c r="D50">
        <v>29</v>
      </c>
      <c r="E50">
        <v>5</v>
      </c>
      <c r="F50">
        <v>6</v>
      </c>
      <c r="G50">
        <v>27.7</v>
      </c>
      <c r="H50">
        <v>4</v>
      </c>
      <c r="I50">
        <v>11425</v>
      </c>
      <c r="J50">
        <v>76</v>
      </c>
      <c r="K50">
        <v>76</v>
      </c>
      <c r="L50">
        <v>75</v>
      </c>
      <c r="M50">
        <v>4</v>
      </c>
      <c r="N50" t="s">
        <v>29</v>
      </c>
      <c r="O50" s="40">
        <v>0.64</v>
      </c>
      <c r="P50">
        <v>2.08</v>
      </c>
    </row>
    <row r="51" spans="1:16" x14ac:dyDescent="0.25">
      <c r="A51" t="s">
        <v>86</v>
      </c>
      <c r="B51" t="s">
        <v>85</v>
      </c>
      <c r="C51">
        <v>86.53</v>
      </c>
      <c r="D51">
        <v>28</v>
      </c>
      <c r="E51">
        <v>7</v>
      </c>
      <c r="F51">
        <v>8</v>
      </c>
      <c r="G51">
        <v>26.1</v>
      </c>
      <c r="H51">
        <v>10</v>
      </c>
      <c r="I51">
        <v>9954</v>
      </c>
      <c r="J51">
        <v>76</v>
      </c>
      <c r="K51">
        <v>73</v>
      </c>
      <c r="L51">
        <v>75</v>
      </c>
      <c r="M51">
        <v>4</v>
      </c>
      <c r="N51" t="s">
        <v>46</v>
      </c>
      <c r="O51" s="40">
        <v>0.54900000000000004</v>
      </c>
      <c r="P51">
        <v>1.47</v>
      </c>
    </row>
    <row r="52" spans="1:16" x14ac:dyDescent="0.25">
      <c r="A52" t="s">
        <v>87</v>
      </c>
      <c r="B52" t="s">
        <v>85</v>
      </c>
      <c r="C52">
        <v>41.68</v>
      </c>
      <c r="D52">
        <v>25</v>
      </c>
      <c r="E52">
        <v>4</v>
      </c>
      <c r="F52">
        <v>0</v>
      </c>
      <c r="G52">
        <v>26.2</v>
      </c>
      <c r="H52">
        <v>67</v>
      </c>
      <c r="I52">
        <v>5744</v>
      </c>
      <c r="J52">
        <v>73</v>
      </c>
      <c r="K52">
        <v>74</v>
      </c>
      <c r="L52">
        <v>71</v>
      </c>
      <c r="M52">
        <v>3.5</v>
      </c>
      <c r="N52" t="s">
        <v>29</v>
      </c>
      <c r="O52" s="40">
        <v>0.42220000000000002</v>
      </c>
      <c r="P52">
        <v>1.22</v>
      </c>
    </row>
    <row r="53" spans="1:16" x14ac:dyDescent="0.25">
      <c r="A53" t="s">
        <v>88</v>
      </c>
      <c r="B53" t="s">
        <v>85</v>
      </c>
      <c r="C53">
        <v>44.55</v>
      </c>
      <c r="D53">
        <v>22</v>
      </c>
      <c r="E53">
        <v>1</v>
      </c>
      <c r="F53">
        <v>1</v>
      </c>
      <c r="G53">
        <v>25.7</v>
      </c>
      <c r="H53">
        <v>69</v>
      </c>
      <c r="I53">
        <v>5669</v>
      </c>
      <c r="J53">
        <v>74</v>
      </c>
      <c r="K53">
        <v>71</v>
      </c>
      <c r="L53">
        <v>69</v>
      </c>
      <c r="M53">
        <v>3</v>
      </c>
      <c r="N53" t="s">
        <v>29</v>
      </c>
      <c r="O53" s="40">
        <v>0.41670000000000001</v>
      </c>
      <c r="P53">
        <v>1.54</v>
      </c>
    </row>
    <row r="54" spans="1:16" x14ac:dyDescent="0.25">
      <c r="A54" t="s">
        <v>89</v>
      </c>
      <c r="B54" t="s">
        <v>85</v>
      </c>
      <c r="C54">
        <v>31.6</v>
      </c>
      <c r="D54">
        <v>27</v>
      </c>
      <c r="E54">
        <v>3</v>
      </c>
      <c r="F54">
        <v>1</v>
      </c>
      <c r="G54">
        <v>27.6</v>
      </c>
      <c r="H54">
        <v>78</v>
      </c>
      <c r="I54">
        <v>5364</v>
      </c>
      <c r="J54">
        <v>71</v>
      </c>
      <c r="K54">
        <v>71</v>
      </c>
      <c r="L54">
        <v>72</v>
      </c>
      <c r="M54">
        <v>3.5</v>
      </c>
      <c r="N54" t="s">
        <v>29</v>
      </c>
      <c r="O54" s="40">
        <v>0.47499999999999998</v>
      </c>
      <c r="P54">
        <v>1</v>
      </c>
    </row>
    <row r="55" spans="1:16" x14ac:dyDescent="0.25">
      <c r="A55" t="s">
        <v>90</v>
      </c>
      <c r="B55" t="s">
        <v>85</v>
      </c>
      <c r="C55">
        <v>29.75</v>
      </c>
      <c r="D55">
        <v>24</v>
      </c>
      <c r="E55">
        <v>3</v>
      </c>
      <c r="F55">
        <v>0</v>
      </c>
      <c r="G55">
        <v>26.6</v>
      </c>
      <c r="H55">
        <v>88</v>
      </c>
      <c r="I55">
        <v>5121</v>
      </c>
      <c r="J55">
        <v>73</v>
      </c>
      <c r="K55">
        <v>71</v>
      </c>
      <c r="L55">
        <v>71</v>
      </c>
      <c r="M55">
        <v>3.5</v>
      </c>
      <c r="N55" t="s">
        <v>29</v>
      </c>
      <c r="O55" s="40">
        <v>0.45950000000000002</v>
      </c>
      <c r="P55">
        <v>1.43</v>
      </c>
    </row>
    <row r="56" spans="1:16" x14ac:dyDescent="0.25">
      <c r="A56" t="s">
        <v>91</v>
      </c>
      <c r="B56" t="s">
        <v>85</v>
      </c>
      <c r="C56">
        <v>41.05</v>
      </c>
      <c r="D56">
        <v>29</v>
      </c>
      <c r="E56">
        <v>5</v>
      </c>
      <c r="F56">
        <v>3</v>
      </c>
      <c r="G56">
        <v>27.6</v>
      </c>
      <c r="H56">
        <v>97</v>
      </c>
      <c r="I56">
        <v>4926</v>
      </c>
      <c r="J56">
        <v>71</v>
      </c>
      <c r="K56">
        <v>74</v>
      </c>
      <c r="L56">
        <v>73</v>
      </c>
      <c r="M56">
        <v>3.5</v>
      </c>
      <c r="N56" t="s">
        <v>29</v>
      </c>
      <c r="O56" s="40">
        <v>0.42859999999999998</v>
      </c>
      <c r="P56">
        <v>1.35</v>
      </c>
    </row>
    <row r="57" spans="1:16" x14ac:dyDescent="0.25">
      <c r="A57" t="s">
        <v>92</v>
      </c>
      <c r="B57" t="s">
        <v>85</v>
      </c>
      <c r="C57">
        <v>64.430000000000007</v>
      </c>
      <c r="D57">
        <v>26</v>
      </c>
      <c r="E57">
        <v>3</v>
      </c>
      <c r="F57">
        <v>1</v>
      </c>
      <c r="G57">
        <v>26.8</v>
      </c>
      <c r="H57">
        <v>98</v>
      </c>
      <c r="I57">
        <v>4872</v>
      </c>
      <c r="J57">
        <v>74</v>
      </c>
      <c r="K57">
        <v>73</v>
      </c>
      <c r="L57">
        <v>73</v>
      </c>
      <c r="M57">
        <v>3.5</v>
      </c>
      <c r="N57" t="s">
        <v>28</v>
      </c>
      <c r="O57" s="40">
        <v>0.46810000000000002</v>
      </c>
      <c r="P57">
        <v>1.3</v>
      </c>
    </row>
    <row r="58" spans="1:16" x14ac:dyDescent="0.25">
      <c r="A58" t="s">
        <v>93</v>
      </c>
      <c r="B58" t="s">
        <v>85</v>
      </c>
      <c r="C58">
        <v>19.079999999999998</v>
      </c>
      <c r="D58">
        <v>33</v>
      </c>
      <c r="E58">
        <v>5</v>
      </c>
      <c r="F58">
        <v>0</v>
      </c>
      <c r="G58">
        <v>25.7</v>
      </c>
      <c r="H58">
        <v>100</v>
      </c>
      <c r="I58">
        <v>4829</v>
      </c>
      <c r="J58">
        <v>72</v>
      </c>
      <c r="K58">
        <v>70</v>
      </c>
      <c r="L58">
        <v>67</v>
      </c>
      <c r="M58">
        <v>3</v>
      </c>
      <c r="N58" t="s">
        <v>29</v>
      </c>
      <c r="O58" s="40">
        <v>0.38890000000000002</v>
      </c>
      <c r="P58">
        <v>1.36</v>
      </c>
    </row>
    <row r="59" spans="1:16" x14ac:dyDescent="0.25">
      <c r="A59" t="s">
        <v>94</v>
      </c>
      <c r="B59" t="s">
        <v>85</v>
      </c>
      <c r="C59">
        <v>28.25</v>
      </c>
      <c r="D59">
        <v>30</v>
      </c>
      <c r="E59">
        <v>5</v>
      </c>
      <c r="F59">
        <v>0</v>
      </c>
      <c r="G59">
        <v>26.1</v>
      </c>
      <c r="H59">
        <v>126</v>
      </c>
      <c r="I59">
        <v>4236</v>
      </c>
      <c r="J59">
        <v>74</v>
      </c>
      <c r="K59">
        <v>71</v>
      </c>
      <c r="L59">
        <v>71</v>
      </c>
      <c r="M59">
        <v>3.5</v>
      </c>
      <c r="N59" t="s">
        <v>28</v>
      </c>
      <c r="O59" s="40">
        <v>0.4239</v>
      </c>
      <c r="P59">
        <v>1.29</v>
      </c>
    </row>
    <row r="60" spans="1:16" x14ac:dyDescent="0.25">
      <c r="A60" t="s">
        <v>95</v>
      </c>
      <c r="B60" t="s">
        <v>85</v>
      </c>
      <c r="C60">
        <v>36.68</v>
      </c>
      <c r="D60">
        <v>24</v>
      </c>
      <c r="E60">
        <v>3</v>
      </c>
      <c r="F60">
        <v>0</v>
      </c>
      <c r="G60">
        <v>26.8</v>
      </c>
      <c r="H60">
        <v>130</v>
      </c>
      <c r="I60">
        <v>4218</v>
      </c>
      <c r="J60">
        <v>71</v>
      </c>
      <c r="K60">
        <v>71</v>
      </c>
      <c r="L60">
        <v>70</v>
      </c>
      <c r="M60">
        <v>3.5</v>
      </c>
      <c r="N60" t="s">
        <v>46</v>
      </c>
      <c r="O60" s="40">
        <v>0.32429999999999998</v>
      </c>
      <c r="P60">
        <v>1.03</v>
      </c>
    </row>
    <row r="61" spans="1:16" x14ac:dyDescent="0.25">
      <c r="A61" t="s">
        <v>96</v>
      </c>
      <c r="B61" t="s">
        <v>85</v>
      </c>
      <c r="C61">
        <v>21.6</v>
      </c>
      <c r="D61">
        <v>31</v>
      </c>
      <c r="E61">
        <v>2</v>
      </c>
      <c r="F61">
        <v>0</v>
      </c>
      <c r="G61">
        <v>26.5</v>
      </c>
      <c r="H61">
        <v>146</v>
      </c>
      <c r="I61">
        <v>4001</v>
      </c>
      <c r="J61">
        <v>70</v>
      </c>
      <c r="K61">
        <v>69</v>
      </c>
      <c r="L61">
        <v>71</v>
      </c>
      <c r="M61">
        <v>3.5</v>
      </c>
      <c r="N61" t="s">
        <v>29</v>
      </c>
      <c r="O61" s="40">
        <v>0.43240000000000001</v>
      </c>
      <c r="P61">
        <v>1.46</v>
      </c>
    </row>
    <row r="62" spans="1:16" x14ac:dyDescent="0.25">
      <c r="A62" t="s">
        <v>97</v>
      </c>
      <c r="B62" t="s">
        <v>85</v>
      </c>
      <c r="C62">
        <v>28.93</v>
      </c>
      <c r="D62">
        <v>23</v>
      </c>
      <c r="E62">
        <v>4</v>
      </c>
      <c r="F62">
        <v>0</v>
      </c>
      <c r="G62">
        <v>26.5</v>
      </c>
      <c r="H62">
        <v>151</v>
      </c>
      <c r="I62">
        <v>3948</v>
      </c>
      <c r="J62">
        <v>69</v>
      </c>
      <c r="K62">
        <v>72</v>
      </c>
      <c r="L62">
        <v>69</v>
      </c>
      <c r="M62">
        <v>3</v>
      </c>
      <c r="N62" t="s">
        <v>29</v>
      </c>
      <c r="O62" s="40">
        <v>0.2571</v>
      </c>
      <c r="P62">
        <v>0.83</v>
      </c>
    </row>
    <row r="63" spans="1:16" x14ac:dyDescent="0.25">
      <c r="A63" t="s">
        <v>99</v>
      </c>
      <c r="B63" t="s">
        <v>85</v>
      </c>
      <c r="C63">
        <v>14.2</v>
      </c>
      <c r="D63">
        <v>31</v>
      </c>
      <c r="E63">
        <v>1</v>
      </c>
      <c r="F63">
        <v>0</v>
      </c>
      <c r="G63">
        <v>26.5</v>
      </c>
      <c r="H63">
        <v>173</v>
      </c>
      <c r="I63">
        <v>3707</v>
      </c>
      <c r="J63">
        <v>70</v>
      </c>
      <c r="K63">
        <v>69</v>
      </c>
      <c r="L63">
        <v>68</v>
      </c>
      <c r="M63">
        <v>3</v>
      </c>
      <c r="N63" t="s">
        <v>46</v>
      </c>
      <c r="O63" s="40">
        <v>0.40479999999999999</v>
      </c>
      <c r="P63">
        <v>1.24</v>
      </c>
    </row>
    <row r="64" spans="1:16" x14ac:dyDescent="0.25">
      <c r="A64" t="s">
        <v>100</v>
      </c>
      <c r="B64" t="s">
        <v>85</v>
      </c>
      <c r="C64">
        <v>15.1</v>
      </c>
      <c r="D64">
        <v>31</v>
      </c>
      <c r="E64">
        <v>4</v>
      </c>
      <c r="F64">
        <v>0</v>
      </c>
      <c r="G64">
        <v>26.5</v>
      </c>
      <c r="H64">
        <v>224</v>
      </c>
      <c r="I64">
        <v>3048</v>
      </c>
      <c r="J64">
        <v>69</v>
      </c>
      <c r="K64">
        <v>68</v>
      </c>
      <c r="L64">
        <v>68</v>
      </c>
      <c r="M64">
        <v>2.5</v>
      </c>
      <c r="N64" t="s">
        <v>46</v>
      </c>
      <c r="O64" s="40">
        <v>0.31580000000000003</v>
      </c>
      <c r="P64">
        <v>1.21</v>
      </c>
    </row>
    <row r="65" spans="1:16" x14ac:dyDescent="0.25">
      <c r="A65" t="s">
        <v>101</v>
      </c>
      <c r="B65" t="s">
        <v>85</v>
      </c>
      <c r="C65">
        <v>16.600000000000001</v>
      </c>
      <c r="D65">
        <v>31</v>
      </c>
      <c r="E65">
        <v>4</v>
      </c>
      <c r="F65">
        <v>0</v>
      </c>
      <c r="G65">
        <v>26</v>
      </c>
      <c r="H65">
        <v>225</v>
      </c>
      <c r="I65">
        <v>3041</v>
      </c>
      <c r="J65">
        <v>68</v>
      </c>
      <c r="K65">
        <v>68</v>
      </c>
      <c r="L65">
        <v>68</v>
      </c>
      <c r="M65">
        <v>2.5</v>
      </c>
      <c r="N65" t="s">
        <v>46</v>
      </c>
      <c r="O65" s="40">
        <v>0.23680000000000001</v>
      </c>
      <c r="P65">
        <v>0.82</v>
      </c>
    </row>
    <row r="66" spans="1:16" x14ac:dyDescent="0.25">
      <c r="A66" t="s">
        <v>102</v>
      </c>
      <c r="B66" t="s">
        <v>85</v>
      </c>
      <c r="C66">
        <v>27.13</v>
      </c>
      <c r="D66">
        <v>27</v>
      </c>
      <c r="E66">
        <v>2</v>
      </c>
      <c r="F66">
        <v>0</v>
      </c>
      <c r="G66">
        <v>25.3</v>
      </c>
      <c r="H66">
        <v>232</v>
      </c>
      <c r="I66">
        <v>3005</v>
      </c>
      <c r="J66">
        <v>65</v>
      </c>
      <c r="K66">
        <v>70</v>
      </c>
      <c r="L66">
        <v>65</v>
      </c>
      <c r="M66">
        <v>3</v>
      </c>
      <c r="N66" t="s">
        <v>46</v>
      </c>
      <c r="O66" s="40">
        <v>0.3846</v>
      </c>
      <c r="P66">
        <v>1.1299999999999999</v>
      </c>
    </row>
    <row r="67" spans="1:16" x14ac:dyDescent="0.25">
      <c r="A67" t="s">
        <v>103</v>
      </c>
      <c r="B67" t="s">
        <v>85</v>
      </c>
      <c r="C67">
        <v>15.98</v>
      </c>
      <c r="D67">
        <v>29</v>
      </c>
      <c r="E67">
        <v>3</v>
      </c>
      <c r="F67">
        <v>0</v>
      </c>
      <c r="G67">
        <v>25.8</v>
      </c>
      <c r="H67">
        <v>235</v>
      </c>
      <c r="I67">
        <v>2968</v>
      </c>
      <c r="J67">
        <v>67</v>
      </c>
      <c r="K67">
        <v>68</v>
      </c>
      <c r="L67">
        <v>67</v>
      </c>
      <c r="M67">
        <v>2.5</v>
      </c>
      <c r="N67" t="s">
        <v>43</v>
      </c>
      <c r="O67" s="40">
        <v>0.22220000000000001</v>
      </c>
      <c r="P67">
        <v>0.92</v>
      </c>
    </row>
    <row r="68" spans="1:16" x14ac:dyDescent="0.25">
      <c r="A68" t="s">
        <v>104</v>
      </c>
      <c r="B68" t="s">
        <v>85</v>
      </c>
      <c r="C68">
        <v>8.68</v>
      </c>
      <c r="D68">
        <v>32</v>
      </c>
      <c r="E68">
        <v>5</v>
      </c>
      <c r="F68">
        <v>0</v>
      </c>
      <c r="G68">
        <v>27.6</v>
      </c>
      <c r="H68">
        <v>277</v>
      </c>
      <c r="I68">
        <v>2592</v>
      </c>
      <c r="J68">
        <v>65</v>
      </c>
      <c r="K68">
        <v>66</v>
      </c>
      <c r="L68">
        <v>66</v>
      </c>
      <c r="M68">
        <v>2.5</v>
      </c>
      <c r="N68" t="s">
        <v>43</v>
      </c>
      <c r="O68" s="40">
        <v>0.1842</v>
      </c>
      <c r="P68">
        <v>0.84</v>
      </c>
    </row>
    <row r="69" spans="1:16" x14ac:dyDescent="0.25">
      <c r="A69" t="s">
        <v>105</v>
      </c>
      <c r="B69" t="s">
        <v>85</v>
      </c>
      <c r="C69">
        <v>11.18</v>
      </c>
      <c r="D69">
        <v>31</v>
      </c>
      <c r="E69">
        <v>31</v>
      </c>
      <c r="F69">
        <v>5</v>
      </c>
      <c r="G69">
        <v>0</v>
      </c>
      <c r="H69">
        <v>280</v>
      </c>
      <c r="I69">
        <v>2561</v>
      </c>
      <c r="J69">
        <v>66</v>
      </c>
      <c r="K69">
        <v>67</v>
      </c>
      <c r="L69">
        <v>69</v>
      </c>
      <c r="M69">
        <v>2.5</v>
      </c>
      <c r="N69" t="s">
        <v>46</v>
      </c>
      <c r="O69" s="40">
        <v>0.25</v>
      </c>
      <c r="P69">
        <v>0.97</v>
      </c>
    </row>
    <row r="70" spans="1:16" x14ac:dyDescent="0.25">
      <c r="A70" t="s">
        <v>106</v>
      </c>
      <c r="B70" t="s">
        <v>85</v>
      </c>
      <c r="C70">
        <v>9.24</v>
      </c>
      <c r="D70">
        <v>25</v>
      </c>
      <c r="E70">
        <v>0</v>
      </c>
      <c r="F70">
        <v>0</v>
      </c>
      <c r="G70">
        <v>27</v>
      </c>
      <c r="H70">
        <v>751</v>
      </c>
      <c r="I70">
        <v>501</v>
      </c>
      <c r="J70">
        <v>61</v>
      </c>
      <c r="K70">
        <v>64</v>
      </c>
      <c r="L70">
        <v>63</v>
      </c>
      <c r="M70">
        <v>1.5</v>
      </c>
      <c r="N70" t="s">
        <v>46</v>
      </c>
      <c r="O70" s="40">
        <v>0.3</v>
      </c>
      <c r="P70">
        <v>1</v>
      </c>
    </row>
    <row r="71" spans="1:16" x14ac:dyDescent="0.25">
      <c r="A71" t="s">
        <v>107</v>
      </c>
      <c r="B71" t="s">
        <v>108</v>
      </c>
      <c r="C71">
        <v>148.6</v>
      </c>
      <c r="D71">
        <v>32</v>
      </c>
      <c r="E71">
        <v>2</v>
      </c>
      <c r="F71">
        <v>7</v>
      </c>
      <c r="G71">
        <v>27.2</v>
      </c>
      <c r="H71">
        <v>2</v>
      </c>
      <c r="I71">
        <v>13486</v>
      </c>
      <c r="J71">
        <v>77</v>
      </c>
      <c r="K71">
        <v>75</v>
      </c>
      <c r="L71">
        <v>75</v>
      </c>
      <c r="M71">
        <v>4</v>
      </c>
      <c r="N71" t="s">
        <v>29</v>
      </c>
      <c r="O71" s="40">
        <v>0.62860000000000005</v>
      </c>
      <c r="P71">
        <v>1.87</v>
      </c>
    </row>
    <row r="72" spans="1:16" x14ac:dyDescent="0.25">
      <c r="A72" t="s">
        <v>109</v>
      </c>
      <c r="B72" t="s">
        <v>108</v>
      </c>
      <c r="C72">
        <v>143.19999999999999</v>
      </c>
      <c r="D72">
        <v>31</v>
      </c>
      <c r="E72">
        <v>3</v>
      </c>
      <c r="F72">
        <v>4</v>
      </c>
      <c r="G72">
        <v>27</v>
      </c>
      <c r="H72">
        <v>5</v>
      </c>
      <c r="I72">
        <v>11026</v>
      </c>
      <c r="J72">
        <v>74</v>
      </c>
      <c r="K72">
        <v>76</v>
      </c>
      <c r="L72">
        <v>74</v>
      </c>
      <c r="M72">
        <v>3.5</v>
      </c>
      <c r="N72" t="s">
        <v>29</v>
      </c>
      <c r="O72" s="40">
        <v>0.50649999999999995</v>
      </c>
      <c r="P72">
        <v>1.65</v>
      </c>
    </row>
    <row r="73" spans="1:16" x14ac:dyDescent="0.25">
      <c r="A73" t="s">
        <v>110</v>
      </c>
      <c r="B73" t="s">
        <v>108</v>
      </c>
      <c r="C73">
        <v>84.95</v>
      </c>
      <c r="D73">
        <v>33</v>
      </c>
      <c r="E73">
        <v>5</v>
      </c>
      <c r="F73">
        <v>4</v>
      </c>
      <c r="G73">
        <v>26.9</v>
      </c>
      <c r="H73">
        <v>9</v>
      </c>
      <c r="I73">
        <v>10366</v>
      </c>
      <c r="J73">
        <v>75</v>
      </c>
      <c r="K73">
        <v>72</v>
      </c>
      <c r="L73">
        <v>75</v>
      </c>
      <c r="M73">
        <v>3.5</v>
      </c>
      <c r="N73" t="s">
        <v>29</v>
      </c>
      <c r="O73" s="40">
        <v>0.47299999999999998</v>
      </c>
      <c r="P73">
        <v>1.36</v>
      </c>
    </row>
    <row r="74" spans="1:16" x14ac:dyDescent="0.25">
      <c r="A74" t="s">
        <v>111</v>
      </c>
      <c r="B74" t="s">
        <v>108</v>
      </c>
      <c r="C74">
        <v>56.2</v>
      </c>
      <c r="D74">
        <v>28</v>
      </c>
      <c r="E74">
        <v>2</v>
      </c>
      <c r="F74">
        <v>2</v>
      </c>
      <c r="G74">
        <v>25.9</v>
      </c>
      <c r="H74">
        <v>15</v>
      </c>
      <c r="I74">
        <v>9286</v>
      </c>
      <c r="J74">
        <v>74</v>
      </c>
      <c r="K74">
        <v>71</v>
      </c>
      <c r="L74">
        <v>72</v>
      </c>
      <c r="M74">
        <v>3.5</v>
      </c>
      <c r="N74" t="s">
        <v>29</v>
      </c>
      <c r="O74" s="40">
        <v>0.43940000000000001</v>
      </c>
      <c r="P74">
        <v>1.29</v>
      </c>
    </row>
    <row r="75" spans="1:16" x14ac:dyDescent="0.25">
      <c r="A75" t="s">
        <v>112</v>
      </c>
      <c r="B75" t="s">
        <v>108</v>
      </c>
      <c r="C75">
        <v>59.75</v>
      </c>
      <c r="D75">
        <v>28</v>
      </c>
      <c r="E75">
        <v>8</v>
      </c>
      <c r="F75">
        <v>4</v>
      </c>
      <c r="G75">
        <v>26</v>
      </c>
      <c r="H75">
        <v>17</v>
      </c>
      <c r="I75">
        <v>9035</v>
      </c>
      <c r="J75">
        <v>71</v>
      </c>
      <c r="K75">
        <v>75</v>
      </c>
      <c r="L75">
        <v>75</v>
      </c>
      <c r="M75">
        <v>3.5</v>
      </c>
      <c r="N75" t="s">
        <v>29</v>
      </c>
      <c r="O75" s="40">
        <v>0.52939999999999998</v>
      </c>
      <c r="P75">
        <v>1.5</v>
      </c>
    </row>
    <row r="76" spans="1:16" x14ac:dyDescent="0.25">
      <c r="A76" t="s">
        <v>113</v>
      </c>
      <c r="B76" t="s">
        <v>108</v>
      </c>
      <c r="C76">
        <v>98.45</v>
      </c>
      <c r="D76">
        <v>29</v>
      </c>
      <c r="E76">
        <v>8</v>
      </c>
      <c r="F76">
        <v>7</v>
      </c>
      <c r="G76">
        <v>27.3</v>
      </c>
      <c r="H76">
        <v>33</v>
      </c>
      <c r="I76">
        <v>7418</v>
      </c>
      <c r="J76">
        <v>81</v>
      </c>
      <c r="K76">
        <v>75</v>
      </c>
      <c r="L76">
        <v>75</v>
      </c>
      <c r="M76">
        <v>4</v>
      </c>
      <c r="N76" t="s">
        <v>29</v>
      </c>
      <c r="O76" s="40">
        <v>0.54390000000000005</v>
      </c>
      <c r="P76">
        <v>1.68</v>
      </c>
    </row>
    <row r="77" spans="1:16" x14ac:dyDescent="0.25">
      <c r="A77" t="s">
        <v>114</v>
      </c>
      <c r="B77" t="s">
        <v>108</v>
      </c>
      <c r="C77">
        <v>59.75</v>
      </c>
      <c r="D77">
        <v>40</v>
      </c>
      <c r="E77">
        <v>3</v>
      </c>
      <c r="F77">
        <v>0</v>
      </c>
      <c r="G77">
        <v>24.7</v>
      </c>
      <c r="H77">
        <v>40</v>
      </c>
      <c r="I77">
        <v>7098</v>
      </c>
      <c r="J77">
        <v>74</v>
      </c>
      <c r="K77">
        <v>72</v>
      </c>
      <c r="L77">
        <v>73</v>
      </c>
      <c r="M77">
        <v>3.5</v>
      </c>
      <c r="N77" t="s">
        <v>29</v>
      </c>
      <c r="O77" s="40">
        <v>0.39389999999999997</v>
      </c>
      <c r="P77">
        <v>1.3</v>
      </c>
    </row>
    <row r="78" spans="1:16" x14ac:dyDescent="0.25">
      <c r="A78" t="s">
        <v>115</v>
      </c>
      <c r="B78" t="s">
        <v>108</v>
      </c>
      <c r="C78">
        <v>71.75</v>
      </c>
      <c r="D78">
        <v>32</v>
      </c>
      <c r="E78">
        <v>2</v>
      </c>
      <c r="F78">
        <v>2</v>
      </c>
      <c r="G78">
        <v>25.8</v>
      </c>
      <c r="H78">
        <v>64</v>
      </c>
      <c r="I78">
        <v>6079</v>
      </c>
      <c r="J78">
        <v>72</v>
      </c>
      <c r="K78">
        <v>72</v>
      </c>
      <c r="L78">
        <v>74</v>
      </c>
      <c r="M78">
        <v>3.5</v>
      </c>
      <c r="N78" t="s">
        <v>29</v>
      </c>
      <c r="O78" s="40">
        <v>0.3448</v>
      </c>
      <c r="P78">
        <v>1.1599999999999999</v>
      </c>
    </row>
    <row r="79" spans="1:16" x14ac:dyDescent="0.25">
      <c r="A79" t="s">
        <v>116</v>
      </c>
      <c r="B79" t="s">
        <v>108</v>
      </c>
      <c r="C79">
        <v>83.05</v>
      </c>
      <c r="D79">
        <v>34</v>
      </c>
      <c r="E79">
        <v>9</v>
      </c>
      <c r="F79">
        <v>5</v>
      </c>
      <c r="G79">
        <v>26.4</v>
      </c>
      <c r="H79">
        <v>75</v>
      </c>
      <c r="I79">
        <v>5476</v>
      </c>
      <c r="J79">
        <v>78</v>
      </c>
      <c r="K79">
        <v>75</v>
      </c>
      <c r="L79">
        <v>76</v>
      </c>
      <c r="M79">
        <v>4</v>
      </c>
      <c r="N79" t="s">
        <v>29</v>
      </c>
      <c r="O79" s="40">
        <v>0.44619999999999999</v>
      </c>
      <c r="P79">
        <v>1.69</v>
      </c>
    </row>
    <row r="80" spans="1:16" x14ac:dyDescent="0.25">
      <c r="A80" t="s">
        <v>117</v>
      </c>
      <c r="B80" t="s">
        <v>108</v>
      </c>
      <c r="C80">
        <v>24.33</v>
      </c>
      <c r="D80">
        <v>30</v>
      </c>
      <c r="E80">
        <v>6</v>
      </c>
      <c r="F80">
        <v>0</v>
      </c>
      <c r="G80">
        <v>27.8</v>
      </c>
      <c r="H80">
        <v>84</v>
      </c>
      <c r="I80">
        <v>5249</v>
      </c>
      <c r="J80">
        <v>69</v>
      </c>
      <c r="K80">
        <v>71</v>
      </c>
      <c r="L80">
        <v>71</v>
      </c>
      <c r="M80">
        <v>3.5</v>
      </c>
      <c r="N80" t="s">
        <v>28</v>
      </c>
      <c r="O80" s="40">
        <v>0.40279999999999999</v>
      </c>
      <c r="P80">
        <v>1.33</v>
      </c>
    </row>
    <row r="81" spans="1:16" x14ac:dyDescent="0.25">
      <c r="A81" t="s">
        <v>118</v>
      </c>
      <c r="B81" t="s">
        <v>108</v>
      </c>
      <c r="C81">
        <v>65.8</v>
      </c>
      <c r="D81">
        <v>34</v>
      </c>
      <c r="E81">
        <v>4</v>
      </c>
      <c r="F81">
        <v>2</v>
      </c>
      <c r="G81">
        <v>27.6</v>
      </c>
      <c r="H81">
        <v>89</v>
      </c>
      <c r="I81">
        <v>5108</v>
      </c>
      <c r="J81">
        <v>70</v>
      </c>
      <c r="K81">
        <v>73</v>
      </c>
      <c r="L81">
        <v>72</v>
      </c>
      <c r="M81">
        <v>3.5</v>
      </c>
      <c r="N81" t="s">
        <v>29</v>
      </c>
      <c r="O81" s="40">
        <v>0.4839</v>
      </c>
      <c r="P81">
        <v>1.52</v>
      </c>
    </row>
    <row r="82" spans="1:16" x14ac:dyDescent="0.25">
      <c r="A82" t="s">
        <v>119</v>
      </c>
      <c r="B82" t="s">
        <v>108</v>
      </c>
      <c r="C82">
        <v>12.7</v>
      </c>
      <c r="D82">
        <v>35</v>
      </c>
      <c r="E82">
        <v>4</v>
      </c>
      <c r="F82">
        <v>1</v>
      </c>
      <c r="G82">
        <v>26.9</v>
      </c>
      <c r="H82">
        <v>95</v>
      </c>
      <c r="I82">
        <v>5001</v>
      </c>
      <c r="J82">
        <v>76</v>
      </c>
      <c r="K82">
        <v>75</v>
      </c>
      <c r="L82">
        <v>71</v>
      </c>
      <c r="M82">
        <v>3.5</v>
      </c>
      <c r="N82" t="s">
        <v>29</v>
      </c>
      <c r="O82" s="40">
        <v>0.38890000000000002</v>
      </c>
      <c r="P82">
        <v>1.1499999999999999</v>
      </c>
    </row>
    <row r="83" spans="1:16" x14ac:dyDescent="0.25">
      <c r="A83" t="s">
        <v>120</v>
      </c>
      <c r="B83" t="s">
        <v>108</v>
      </c>
      <c r="C83">
        <v>22.38</v>
      </c>
      <c r="D83">
        <v>31</v>
      </c>
      <c r="E83">
        <v>2</v>
      </c>
      <c r="F83">
        <v>1</v>
      </c>
      <c r="G83">
        <v>27.8</v>
      </c>
      <c r="H83">
        <v>106</v>
      </c>
      <c r="I83">
        <v>4727</v>
      </c>
      <c r="J83">
        <v>70</v>
      </c>
      <c r="K83">
        <v>71</v>
      </c>
      <c r="L83">
        <v>72</v>
      </c>
      <c r="M83">
        <v>3.5</v>
      </c>
      <c r="N83" t="s">
        <v>28</v>
      </c>
      <c r="O83" s="40">
        <v>0.4032</v>
      </c>
      <c r="P83">
        <v>1.26</v>
      </c>
    </row>
    <row r="84" spans="1:16" x14ac:dyDescent="0.25">
      <c r="A84" t="s">
        <v>121</v>
      </c>
      <c r="B84" t="s">
        <v>108</v>
      </c>
      <c r="C84">
        <v>15.23</v>
      </c>
      <c r="D84">
        <v>32</v>
      </c>
      <c r="E84">
        <v>0</v>
      </c>
      <c r="F84">
        <v>0</v>
      </c>
      <c r="G84">
        <v>26.2</v>
      </c>
      <c r="H84">
        <v>128</v>
      </c>
      <c r="I84">
        <v>4227</v>
      </c>
      <c r="J84">
        <v>70</v>
      </c>
      <c r="K84">
        <v>69</v>
      </c>
      <c r="L84">
        <v>69</v>
      </c>
      <c r="M84">
        <v>3</v>
      </c>
      <c r="N84" t="s">
        <v>29</v>
      </c>
      <c r="O84" s="40">
        <v>0.31580000000000003</v>
      </c>
      <c r="P84">
        <v>1.1399999999999999</v>
      </c>
    </row>
    <row r="85" spans="1:16" x14ac:dyDescent="0.25">
      <c r="A85" t="s">
        <v>122</v>
      </c>
      <c r="B85" t="s">
        <v>108</v>
      </c>
      <c r="C85">
        <v>28.4</v>
      </c>
      <c r="D85">
        <v>33</v>
      </c>
      <c r="E85">
        <v>4</v>
      </c>
      <c r="F85">
        <v>0</v>
      </c>
      <c r="G85">
        <v>25.4</v>
      </c>
      <c r="H85">
        <v>136</v>
      </c>
      <c r="I85">
        <v>4140</v>
      </c>
      <c r="J85">
        <v>70</v>
      </c>
      <c r="K85">
        <v>70</v>
      </c>
      <c r="L85">
        <v>70</v>
      </c>
      <c r="M85">
        <v>3</v>
      </c>
      <c r="N85" t="s">
        <v>29</v>
      </c>
      <c r="O85" s="40">
        <v>0.29509999999999997</v>
      </c>
      <c r="P85">
        <v>0.87</v>
      </c>
    </row>
    <row r="86" spans="1:16" x14ac:dyDescent="0.25">
      <c r="A86" t="s">
        <v>123</v>
      </c>
      <c r="B86" t="s">
        <v>108</v>
      </c>
      <c r="C86">
        <v>23.05</v>
      </c>
      <c r="D86">
        <v>35</v>
      </c>
      <c r="E86">
        <v>5</v>
      </c>
      <c r="F86">
        <v>1</v>
      </c>
      <c r="G86">
        <v>27.1</v>
      </c>
      <c r="H86">
        <v>155</v>
      </c>
      <c r="I86">
        <v>3912</v>
      </c>
      <c r="J86">
        <v>67</v>
      </c>
      <c r="K86">
        <v>69</v>
      </c>
      <c r="L86">
        <v>71</v>
      </c>
      <c r="M86">
        <v>3</v>
      </c>
      <c r="N86" t="s">
        <v>29</v>
      </c>
      <c r="O86" s="40">
        <v>0.22409999999999999</v>
      </c>
      <c r="P86">
        <v>0.91</v>
      </c>
    </row>
    <row r="87" spans="1:16" x14ac:dyDescent="0.25">
      <c r="A87" t="s">
        <v>124</v>
      </c>
      <c r="B87" t="s">
        <v>108</v>
      </c>
      <c r="C87">
        <v>150.30000000000001</v>
      </c>
      <c r="D87">
        <v>36</v>
      </c>
      <c r="E87">
        <v>0</v>
      </c>
      <c r="F87">
        <v>0</v>
      </c>
      <c r="G87">
        <v>26.5</v>
      </c>
      <c r="H87">
        <v>318</v>
      </c>
      <c r="I87">
        <v>2355</v>
      </c>
      <c r="J87">
        <v>69</v>
      </c>
      <c r="K87">
        <v>71</v>
      </c>
      <c r="L87">
        <v>71</v>
      </c>
      <c r="M87">
        <v>3.5</v>
      </c>
      <c r="N87" t="s">
        <v>46</v>
      </c>
      <c r="O87" s="40">
        <v>0.4909</v>
      </c>
      <c r="P87">
        <v>1.07</v>
      </c>
    </row>
    <row r="88" spans="1:16" x14ac:dyDescent="0.25">
      <c r="A88" t="s">
        <v>125</v>
      </c>
      <c r="B88" t="s">
        <v>126</v>
      </c>
      <c r="C88">
        <v>20.18</v>
      </c>
      <c r="D88">
        <v>33</v>
      </c>
      <c r="E88">
        <v>5</v>
      </c>
      <c r="F88">
        <v>7</v>
      </c>
      <c r="G88">
        <v>26.4</v>
      </c>
      <c r="H88">
        <v>648</v>
      </c>
      <c r="I88">
        <v>911</v>
      </c>
      <c r="J88">
        <v>72</v>
      </c>
      <c r="K88">
        <v>69</v>
      </c>
      <c r="L88">
        <v>70</v>
      </c>
      <c r="M88">
        <v>3.5</v>
      </c>
      <c r="N88" t="s">
        <v>28</v>
      </c>
      <c r="O88" s="40">
        <v>0.51060000000000005</v>
      </c>
      <c r="P88">
        <v>1.74</v>
      </c>
    </row>
    <row r="89" spans="1:16" x14ac:dyDescent="0.25">
      <c r="A89" t="s">
        <v>127</v>
      </c>
      <c r="B89" t="s">
        <v>126</v>
      </c>
      <c r="C89">
        <v>11.33</v>
      </c>
      <c r="D89">
        <v>31</v>
      </c>
      <c r="E89">
        <v>7</v>
      </c>
      <c r="F89">
        <v>2</v>
      </c>
      <c r="G89">
        <v>28.2</v>
      </c>
      <c r="H89">
        <v>705</v>
      </c>
      <c r="I89">
        <v>653</v>
      </c>
      <c r="J89">
        <v>70</v>
      </c>
      <c r="K89">
        <v>67</v>
      </c>
      <c r="L89">
        <v>68</v>
      </c>
      <c r="M89">
        <v>3</v>
      </c>
      <c r="N89" t="s">
        <v>46</v>
      </c>
      <c r="O89" s="40">
        <v>0.38469999999999999</v>
      </c>
      <c r="P89">
        <v>1.47</v>
      </c>
    </row>
    <row r="90" spans="1:16" x14ac:dyDescent="0.25">
      <c r="A90" t="s">
        <v>128</v>
      </c>
      <c r="B90" t="s">
        <v>126</v>
      </c>
      <c r="C90">
        <v>10.1</v>
      </c>
      <c r="D90">
        <v>33</v>
      </c>
      <c r="E90">
        <v>8</v>
      </c>
      <c r="F90">
        <v>1</v>
      </c>
      <c r="G90">
        <v>23.7</v>
      </c>
      <c r="H90">
        <v>759</v>
      </c>
      <c r="I90">
        <v>476</v>
      </c>
      <c r="J90">
        <v>59</v>
      </c>
      <c r="K90">
        <v>65</v>
      </c>
      <c r="L90">
        <v>65</v>
      </c>
      <c r="M90">
        <v>1.5</v>
      </c>
      <c r="N90" t="s">
        <v>29</v>
      </c>
      <c r="O90" s="40">
        <v>0.3947</v>
      </c>
      <c r="P90">
        <v>1.24</v>
      </c>
    </row>
    <row r="91" spans="1:16" x14ac:dyDescent="0.25">
      <c r="A91" t="s">
        <v>130</v>
      </c>
      <c r="B91" t="s">
        <v>126</v>
      </c>
      <c r="C91">
        <v>4.3</v>
      </c>
      <c r="D91">
        <v>31</v>
      </c>
      <c r="E91">
        <v>10</v>
      </c>
      <c r="F91">
        <v>0</v>
      </c>
      <c r="G91">
        <v>25</v>
      </c>
      <c r="H91">
        <v>803</v>
      </c>
      <c r="I91">
        <v>337</v>
      </c>
      <c r="J91">
        <v>62</v>
      </c>
      <c r="K91">
        <v>65</v>
      </c>
      <c r="L91">
        <v>61</v>
      </c>
      <c r="M91">
        <v>1.5</v>
      </c>
      <c r="N91" t="s">
        <v>29</v>
      </c>
      <c r="O91" s="40">
        <v>0.2571</v>
      </c>
      <c r="P91">
        <v>1.0900000000000001</v>
      </c>
    </row>
    <row r="92" spans="1:16" x14ac:dyDescent="0.25">
      <c r="A92" t="s">
        <v>131</v>
      </c>
      <c r="B92" t="s">
        <v>126</v>
      </c>
      <c r="C92">
        <v>13.48</v>
      </c>
      <c r="D92">
        <v>30</v>
      </c>
      <c r="E92">
        <v>6</v>
      </c>
      <c r="F92">
        <v>3</v>
      </c>
      <c r="G92">
        <v>25.5</v>
      </c>
      <c r="H92">
        <v>936</v>
      </c>
      <c r="I92">
        <v>134</v>
      </c>
      <c r="J92">
        <v>70</v>
      </c>
      <c r="K92">
        <v>68</v>
      </c>
      <c r="L92">
        <v>68</v>
      </c>
      <c r="M92">
        <v>2.5</v>
      </c>
      <c r="N92" t="s">
        <v>29</v>
      </c>
      <c r="O92" s="40">
        <v>0.36109999999999998</v>
      </c>
      <c r="P92">
        <v>1.36</v>
      </c>
    </row>
    <row r="93" spans="1:16" x14ac:dyDescent="0.25">
      <c r="A93" t="s">
        <v>132</v>
      </c>
      <c r="B93" t="s">
        <v>126</v>
      </c>
      <c r="C93">
        <v>10.63</v>
      </c>
      <c r="D93">
        <v>30</v>
      </c>
      <c r="E93">
        <v>8</v>
      </c>
      <c r="F93">
        <v>1</v>
      </c>
      <c r="G93">
        <v>27</v>
      </c>
      <c r="H93">
        <v>957</v>
      </c>
      <c r="I93">
        <v>119</v>
      </c>
      <c r="J93">
        <v>65</v>
      </c>
      <c r="K93">
        <v>65</v>
      </c>
      <c r="L93">
        <v>66</v>
      </c>
      <c r="M93">
        <v>2</v>
      </c>
      <c r="N93" t="s">
        <v>29</v>
      </c>
      <c r="O93" s="40">
        <v>0.4118</v>
      </c>
      <c r="P93">
        <v>1.62</v>
      </c>
    </row>
    <row r="94" spans="1:16" x14ac:dyDescent="0.25">
      <c r="A94" t="s">
        <v>133</v>
      </c>
      <c r="B94" t="s">
        <v>134</v>
      </c>
      <c r="C94">
        <v>17.95</v>
      </c>
      <c r="D94">
        <v>24</v>
      </c>
      <c r="E94">
        <v>7</v>
      </c>
      <c r="F94">
        <v>8</v>
      </c>
      <c r="G94">
        <v>25.9</v>
      </c>
      <c r="H94">
        <v>192</v>
      </c>
      <c r="I94">
        <v>3470</v>
      </c>
      <c r="J94">
        <v>67</v>
      </c>
      <c r="K94">
        <v>71</v>
      </c>
      <c r="L94">
        <v>65</v>
      </c>
      <c r="M94">
        <v>2.5</v>
      </c>
      <c r="N94" t="s">
        <v>29</v>
      </c>
      <c r="O94" s="40">
        <v>0.5</v>
      </c>
      <c r="P94">
        <v>1.95</v>
      </c>
    </row>
    <row r="95" spans="1:16" x14ac:dyDescent="0.25">
      <c r="A95" t="s">
        <v>135</v>
      </c>
      <c r="B95" t="s">
        <v>134</v>
      </c>
      <c r="C95">
        <v>16.5</v>
      </c>
      <c r="D95">
        <v>25</v>
      </c>
      <c r="E95">
        <v>6</v>
      </c>
      <c r="F95">
        <v>7</v>
      </c>
      <c r="G95">
        <v>26.5</v>
      </c>
      <c r="H95">
        <v>314</v>
      </c>
      <c r="I95">
        <v>2387</v>
      </c>
      <c r="J95">
        <v>69</v>
      </c>
      <c r="K95">
        <v>68</v>
      </c>
      <c r="L95">
        <v>67</v>
      </c>
      <c r="M95">
        <v>3</v>
      </c>
      <c r="N95" t="s">
        <v>28</v>
      </c>
      <c r="O95" s="40">
        <v>0.56100000000000005</v>
      </c>
      <c r="P95">
        <v>1.85</v>
      </c>
    </row>
    <row r="96" spans="1:16" x14ac:dyDescent="0.25">
      <c r="A96" t="s">
        <v>136</v>
      </c>
      <c r="B96" t="s">
        <v>134</v>
      </c>
      <c r="C96">
        <v>14.35</v>
      </c>
      <c r="D96">
        <v>25</v>
      </c>
      <c r="E96">
        <v>7</v>
      </c>
      <c r="F96">
        <v>4</v>
      </c>
      <c r="G96">
        <v>28.1</v>
      </c>
      <c r="H96">
        <v>359</v>
      </c>
      <c r="I96">
        <v>2085</v>
      </c>
      <c r="J96">
        <v>67</v>
      </c>
      <c r="K96">
        <v>67</v>
      </c>
      <c r="L96">
        <v>66</v>
      </c>
      <c r="M96">
        <v>2.5</v>
      </c>
      <c r="N96" t="s">
        <v>46</v>
      </c>
      <c r="O96" s="40">
        <v>0.44119999999999998</v>
      </c>
      <c r="P96">
        <v>1.62</v>
      </c>
    </row>
    <row r="97" spans="1:16" x14ac:dyDescent="0.25">
      <c r="A97" t="s">
        <v>272</v>
      </c>
      <c r="B97" t="s">
        <v>134</v>
      </c>
      <c r="C97">
        <v>15.95</v>
      </c>
      <c r="D97">
        <v>27</v>
      </c>
      <c r="E97">
        <v>8</v>
      </c>
      <c r="F97">
        <v>6</v>
      </c>
      <c r="G97">
        <v>27.9</v>
      </c>
      <c r="H97">
        <v>546</v>
      </c>
      <c r="I97">
        <v>1204</v>
      </c>
      <c r="J97">
        <v>66</v>
      </c>
      <c r="K97">
        <v>68</v>
      </c>
      <c r="L97">
        <v>70</v>
      </c>
      <c r="M97">
        <v>3</v>
      </c>
      <c r="N97" t="s">
        <v>29</v>
      </c>
      <c r="O97" s="40">
        <v>0.5</v>
      </c>
      <c r="P97">
        <v>1.48</v>
      </c>
    </row>
    <row r="98" spans="1:16" x14ac:dyDescent="0.25">
      <c r="A98" t="s">
        <v>138</v>
      </c>
      <c r="B98" t="s">
        <v>134</v>
      </c>
      <c r="C98">
        <v>7.95</v>
      </c>
      <c r="D98">
        <v>26</v>
      </c>
      <c r="E98">
        <v>7</v>
      </c>
      <c r="F98">
        <v>1</v>
      </c>
      <c r="G98">
        <v>25.3</v>
      </c>
      <c r="H98">
        <v>817</v>
      </c>
      <c r="I98">
        <v>297</v>
      </c>
      <c r="J98">
        <v>66</v>
      </c>
      <c r="K98">
        <v>60</v>
      </c>
      <c r="L98">
        <v>63</v>
      </c>
      <c r="M98">
        <v>1.5</v>
      </c>
      <c r="N98" t="s">
        <v>29</v>
      </c>
      <c r="O98" s="40">
        <v>0.375</v>
      </c>
      <c r="P98">
        <v>1.91</v>
      </c>
    </row>
    <row r="99" spans="1:16" x14ac:dyDescent="0.25">
      <c r="A99" t="s">
        <v>139</v>
      </c>
      <c r="B99" t="s">
        <v>134</v>
      </c>
      <c r="C99">
        <v>9.6</v>
      </c>
      <c r="D99">
        <v>25</v>
      </c>
      <c r="E99">
        <v>5</v>
      </c>
      <c r="F99">
        <v>1</v>
      </c>
      <c r="G99">
        <v>27.4</v>
      </c>
      <c r="H99">
        <v>931</v>
      </c>
      <c r="I99">
        <v>139</v>
      </c>
      <c r="J99">
        <v>60</v>
      </c>
      <c r="K99">
        <v>64</v>
      </c>
      <c r="L99">
        <v>62</v>
      </c>
      <c r="M99">
        <v>1.5</v>
      </c>
      <c r="N99" t="s">
        <v>29</v>
      </c>
      <c r="O99" s="40">
        <v>0.30769999999999997</v>
      </c>
      <c r="P99">
        <v>1.21</v>
      </c>
    </row>
    <row r="100" spans="1:16" x14ac:dyDescent="0.25">
      <c r="A100" t="s">
        <v>140</v>
      </c>
      <c r="B100" t="s">
        <v>134</v>
      </c>
      <c r="C100">
        <v>7.55</v>
      </c>
      <c r="D100">
        <v>25</v>
      </c>
      <c r="E100">
        <v>6</v>
      </c>
      <c r="F100">
        <v>0</v>
      </c>
      <c r="G100">
        <v>27.2</v>
      </c>
      <c r="H100">
        <v>956</v>
      </c>
      <c r="I100">
        <v>119</v>
      </c>
      <c r="J100">
        <v>64</v>
      </c>
      <c r="K100">
        <v>63</v>
      </c>
      <c r="L100">
        <v>63</v>
      </c>
      <c r="M100">
        <v>1.5</v>
      </c>
      <c r="N100" t="s">
        <v>29</v>
      </c>
      <c r="O100" s="40">
        <v>0.375</v>
      </c>
      <c r="P100">
        <v>1.1599999999999999</v>
      </c>
    </row>
    <row r="101" spans="1:16" x14ac:dyDescent="0.25">
      <c r="A101" t="s">
        <v>137</v>
      </c>
      <c r="B101" t="s">
        <v>141</v>
      </c>
      <c r="C101">
        <v>676</v>
      </c>
      <c r="D101">
        <v>26</v>
      </c>
      <c r="E101">
        <v>15</v>
      </c>
      <c r="F101">
        <v>21</v>
      </c>
      <c r="G101">
        <v>26.1</v>
      </c>
      <c r="H101">
        <v>3</v>
      </c>
      <c r="I101">
        <v>13105</v>
      </c>
      <c r="J101">
        <v>84</v>
      </c>
      <c r="K101">
        <v>82</v>
      </c>
      <c r="L101">
        <v>81</v>
      </c>
      <c r="M101">
        <v>5</v>
      </c>
      <c r="N101" t="s">
        <v>28</v>
      </c>
      <c r="O101" s="40">
        <v>0.62960000000000005</v>
      </c>
      <c r="P101">
        <v>2.2599999999999998</v>
      </c>
    </row>
    <row r="102" spans="1:16" x14ac:dyDescent="0.25">
      <c r="A102" t="s">
        <v>142</v>
      </c>
      <c r="B102" t="s">
        <v>141</v>
      </c>
      <c r="C102">
        <v>251.9</v>
      </c>
      <c r="D102">
        <v>27</v>
      </c>
      <c r="E102">
        <v>17</v>
      </c>
      <c r="F102">
        <v>12</v>
      </c>
      <c r="G102">
        <v>25.5</v>
      </c>
      <c r="H102">
        <v>11</v>
      </c>
      <c r="I102">
        <v>9770</v>
      </c>
      <c r="J102">
        <v>77</v>
      </c>
      <c r="K102">
        <v>78</v>
      </c>
      <c r="L102">
        <v>77</v>
      </c>
      <c r="M102">
        <v>4</v>
      </c>
      <c r="N102" t="s">
        <v>29</v>
      </c>
      <c r="O102" s="40">
        <v>0.3095</v>
      </c>
      <c r="P102">
        <v>1.43</v>
      </c>
    </row>
    <row r="103" spans="1:16" x14ac:dyDescent="0.25">
      <c r="A103" t="s">
        <v>143</v>
      </c>
      <c r="B103" t="s">
        <v>141</v>
      </c>
      <c r="C103">
        <v>755.2</v>
      </c>
      <c r="D103">
        <v>22</v>
      </c>
      <c r="E103">
        <v>19</v>
      </c>
      <c r="F103">
        <v>19</v>
      </c>
      <c r="G103">
        <v>28</v>
      </c>
      <c r="H103">
        <v>13</v>
      </c>
      <c r="I103">
        <v>9329</v>
      </c>
      <c r="J103">
        <v>85</v>
      </c>
      <c r="K103">
        <v>82</v>
      </c>
      <c r="L103">
        <v>83</v>
      </c>
      <c r="M103">
        <v>5</v>
      </c>
      <c r="N103" t="s">
        <v>29</v>
      </c>
      <c r="O103" s="40">
        <v>0.60419999999999996</v>
      </c>
      <c r="P103">
        <v>1.6</v>
      </c>
    </row>
    <row r="104" spans="1:16" x14ac:dyDescent="0.25">
      <c r="A104" t="s">
        <v>144</v>
      </c>
      <c r="B104" t="s">
        <v>141</v>
      </c>
      <c r="C104">
        <v>783.5</v>
      </c>
      <c r="D104">
        <v>25</v>
      </c>
      <c r="E104">
        <v>18</v>
      </c>
      <c r="F104">
        <v>17</v>
      </c>
      <c r="G104">
        <v>27.6</v>
      </c>
      <c r="H104">
        <v>18</v>
      </c>
      <c r="I104">
        <v>8949</v>
      </c>
      <c r="J104">
        <v>84</v>
      </c>
      <c r="K104">
        <v>86</v>
      </c>
      <c r="L104">
        <v>84</v>
      </c>
      <c r="M104">
        <v>5</v>
      </c>
      <c r="N104" t="s">
        <v>28</v>
      </c>
      <c r="O104" s="40">
        <v>0.59619999999999995</v>
      </c>
      <c r="P104">
        <v>1.69</v>
      </c>
    </row>
    <row r="105" spans="1:16" x14ac:dyDescent="0.25">
      <c r="A105" t="s">
        <v>145</v>
      </c>
      <c r="B105" t="s">
        <v>141</v>
      </c>
      <c r="C105">
        <v>159.44999999999999</v>
      </c>
      <c r="D105">
        <v>25</v>
      </c>
      <c r="E105">
        <v>13</v>
      </c>
      <c r="F105">
        <v>9</v>
      </c>
      <c r="G105">
        <v>27.1</v>
      </c>
      <c r="H105">
        <v>27</v>
      </c>
      <c r="I105">
        <v>7881</v>
      </c>
      <c r="J105">
        <v>77</v>
      </c>
      <c r="K105">
        <v>78</v>
      </c>
      <c r="L105">
        <v>77</v>
      </c>
      <c r="M105">
        <v>4</v>
      </c>
      <c r="N105" t="s">
        <v>46</v>
      </c>
      <c r="O105" s="40">
        <v>0.25</v>
      </c>
      <c r="P105">
        <v>0.75</v>
      </c>
    </row>
    <row r="106" spans="1:16" x14ac:dyDescent="0.25">
      <c r="A106" t="s">
        <v>146</v>
      </c>
      <c r="B106" t="s">
        <v>141</v>
      </c>
      <c r="C106">
        <v>430.9</v>
      </c>
      <c r="D106">
        <v>27</v>
      </c>
      <c r="E106">
        <v>20</v>
      </c>
      <c r="F106">
        <v>14</v>
      </c>
      <c r="G106">
        <v>28</v>
      </c>
      <c r="H106">
        <v>31</v>
      </c>
      <c r="I106">
        <v>7447</v>
      </c>
      <c r="J106">
        <v>80</v>
      </c>
      <c r="K106">
        <v>81</v>
      </c>
      <c r="L106">
        <v>82</v>
      </c>
      <c r="M106">
        <v>4.5</v>
      </c>
      <c r="N106" t="s">
        <v>29</v>
      </c>
      <c r="O106" s="40">
        <v>0.62960000000000005</v>
      </c>
      <c r="P106">
        <v>1.46</v>
      </c>
    </row>
    <row r="107" spans="1:16" x14ac:dyDescent="0.25">
      <c r="A107" t="s">
        <v>147</v>
      </c>
      <c r="B107" t="s">
        <v>141</v>
      </c>
      <c r="C107">
        <v>373.5</v>
      </c>
      <c r="D107">
        <v>25</v>
      </c>
      <c r="E107">
        <v>5</v>
      </c>
      <c r="F107">
        <v>7</v>
      </c>
      <c r="G107">
        <v>26.2</v>
      </c>
      <c r="H107">
        <v>32</v>
      </c>
      <c r="I107">
        <v>7427</v>
      </c>
      <c r="J107">
        <v>81</v>
      </c>
      <c r="K107">
        <v>81</v>
      </c>
      <c r="L107">
        <v>77</v>
      </c>
      <c r="M107">
        <v>4.5</v>
      </c>
      <c r="N107" t="s">
        <v>28</v>
      </c>
      <c r="O107" s="40">
        <v>0.40820000000000001</v>
      </c>
      <c r="P107">
        <v>1.39</v>
      </c>
    </row>
    <row r="108" spans="1:16" x14ac:dyDescent="0.25">
      <c r="A108" t="s">
        <v>148</v>
      </c>
      <c r="B108" t="s">
        <v>141</v>
      </c>
      <c r="C108">
        <v>188.3</v>
      </c>
      <c r="D108">
        <v>26</v>
      </c>
      <c r="E108">
        <v>0</v>
      </c>
      <c r="F108">
        <v>2</v>
      </c>
      <c r="G108">
        <v>26.4</v>
      </c>
      <c r="H108">
        <v>61</v>
      </c>
      <c r="I108">
        <v>6139</v>
      </c>
      <c r="J108">
        <v>80</v>
      </c>
      <c r="K108">
        <v>78</v>
      </c>
      <c r="L108">
        <v>79</v>
      </c>
      <c r="M108">
        <v>4.5</v>
      </c>
      <c r="N108" t="s">
        <v>29</v>
      </c>
      <c r="O108" s="40">
        <v>0.3478</v>
      </c>
      <c r="P108">
        <v>1.28</v>
      </c>
    </row>
    <row r="109" spans="1:16" x14ac:dyDescent="0.25">
      <c r="A109" t="s">
        <v>149</v>
      </c>
      <c r="B109" t="s">
        <v>141</v>
      </c>
      <c r="C109">
        <v>298.89999999999998</v>
      </c>
      <c r="D109">
        <v>24</v>
      </c>
      <c r="E109">
        <v>9</v>
      </c>
      <c r="F109">
        <v>10</v>
      </c>
      <c r="G109">
        <v>28.2</v>
      </c>
      <c r="H109">
        <v>77</v>
      </c>
      <c r="I109">
        <v>5396</v>
      </c>
      <c r="J109">
        <v>82</v>
      </c>
      <c r="K109">
        <v>79</v>
      </c>
      <c r="L109">
        <v>79</v>
      </c>
      <c r="M109">
        <v>4.5</v>
      </c>
      <c r="N109" t="s">
        <v>29</v>
      </c>
      <c r="O109" s="40">
        <v>0.53449999999999998</v>
      </c>
      <c r="P109">
        <v>1.78</v>
      </c>
    </row>
    <row r="110" spans="1:16" x14ac:dyDescent="0.25">
      <c r="A110" t="s">
        <v>150</v>
      </c>
      <c r="B110" t="s">
        <v>141</v>
      </c>
      <c r="C110">
        <v>88.35</v>
      </c>
      <c r="D110">
        <v>25</v>
      </c>
      <c r="E110">
        <v>11</v>
      </c>
      <c r="F110">
        <v>6</v>
      </c>
      <c r="G110">
        <v>28.4</v>
      </c>
      <c r="H110">
        <v>103</v>
      </c>
      <c r="I110">
        <v>4803</v>
      </c>
      <c r="J110">
        <v>77</v>
      </c>
      <c r="K110">
        <v>78</v>
      </c>
      <c r="L110">
        <v>77</v>
      </c>
      <c r="M110">
        <v>4</v>
      </c>
      <c r="N110" t="s">
        <v>46</v>
      </c>
      <c r="O110" s="40">
        <v>0.43099999999999999</v>
      </c>
      <c r="P110">
        <v>1.43</v>
      </c>
    </row>
    <row r="111" spans="1:16" x14ac:dyDescent="0.25">
      <c r="A111" t="s">
        <v>151</v>
      </c>
      <c r="B111" t="s">
        <v>141</v>
      </c>
      <c r="C111">
        <v>111.8</v>
      </c>
      <c r="D111">
        <v>27</v>
      </c>
      <c r="E111">
        <v>8</v>
      </c>
      <c r="F111">
        <v>4</v>
      </c>
      <c r="G111">
        <v>28.3</v>
      </c>
      <c r="H111">
        <v>116</v>
      </c>
      <c r="I111">
        <v>4556</v>
      </c>
      <c r="J111">
        <v>79</v>
      </c>
      <c r="K111">
        <v>76</v>
      </c>
      <c r="L111">
        <v>75</v>
      </c>
      <c r="M111">
        <v>4</v>
      </c>
      <c r="N111" t="s">
        <v>29</v>
      </c>
      <c r="O111" s="40">
        <v>0.28889999999999999</v>
      </c>
      <c r="P111">
        <v>1.36</v>
      </c>
    </row>
    <row r="112" spans="1:16" x14ac:dyDescent="0.25">
      <c r="A112" t="s">
        <v>152</v>
      </c>
      <c r="B112" t="s">
        <v>141</v>
      </c>
      <c r="C112">
        <v>223.4</v>
      </c>
      <c r="D112">
        <v>28</v>
      </c>
      <c r="E112">
        <v>11</v>
      </c>
      <c r="F112">
        <v>11</v>
      </c>
      <c r="G112">
        <v>28.5</v>
      </c>
      <c r="H112">
        <v>125</v>
      </c>
      <c r="I112">
        <v>4257</v>
      </c>
      <c r="J112">
        <v>79</v>
      </c>
      <c r="K112">
        <v>79</v>
      </c>
      <c r="L112">
        <v>78</v>
      </c>
      <c r="M112">
        <v>4</v>
      </c>
      <c r="N112" t="s">
        <v>29</v>
      </c>
      <c r="O112" s="40">
        <v>0.4884</v>
      </c>
      <c r="P112">
        <v>1.42</v>
      </c>
    </row>
    <row r="113" spans="1:16" x14ac:dyDescent="0.25">
      <c r="A113" t="s">
        <v>153</v>
      </c>
      <c r="B113" t="s">
        <v>141</v>
      </c>
      <c r="C113">
        <v>143.80000000000001</v>
      </c>
      <c r="D113">
        <v>21</v>
      </c>
      <c r="E113">
        <v>9</v>
      </c>
      <c r="F113">
        <v>8</v>
      </c>
      <c r="G113">
        <v>28</v>
      </c>
      <c r="H113">
        <v>138</v>
      </c>
      <c r="I113">
        <v>4059</v>
      </c>
      <c r="J113">
        <v>80</v>
      </c>
      <c r="K113">
        <v>75</v>
      </c>
      <c r="L113">
        <v>75</v>
      </c>
      <c r="M113">
        <v>4</v>
      </c>
      <c r="N113" t="s">
        <v>29</v>
      </c>
      <c r="O113" s="40">
        <v>0.375</v>
      </c>
      <c r="P113">
        <v>1.55</v>
      </c>
    </row>
    <row r="114" spans="1:16" x14ac:dyDescent="0.25">
      <c r="A114" t="s">
        <v>154</v>
      </c>
      <c r="B114" t="s">
        <v>141</v>
      </c>
      <c r="C114">
        <v>58</v>
      </c>
      <c r="D114">
        <v>27</v>
      </c>
      <c r="E114">
        <v>8</v>
      </c>
      <c r="F114">
        <v>4</v>
      </c>
      <c r="G114">
        <v>27.6</v>
      </c>
      <c r="H114">
        <v>139</v>
      </c>
      <c r="I114">
        <v>4059</v>
      </c>
      <c r="J114">
        <v>76</v>
      </c>
      <c r="K114">
        <v>76</v>
      </c>
      <c r="L114">
        <v>74</v>
      </c>
      <c r="M114">
        <v>4</v>
      </c>
      <c r="N114" t="s">
        <v>43</v>
      </c>
      <c r="O114" s="40">
        <v>0.1905</v>
      </c>
      <c r="P114">
        <v>1.1399999999999999</v>
      </c>
    </row>
    <row r="115" spans="1:16" x14ac:dyDescent="0.25">
      <c r="A115" t="s">
        <v>156</v>
      </c>
      <c r="B115" t="s">
        <v>141</v>
      </c>
      <c r="C115">
        <v>66.099999999999994</v>
      </c>
      <c r="D115">
        <v>24</v>
      </c>
      <c r="E115">
        <v>6</v>
      </c>
      <c r="F115">
        <v>3</v>
      </c>
      <c r="G115">
        <v>26.8</v>
      </c>
      <c r="H115">
        <v>177</v>
      </c>
      <c r="I115">
        <v>3663</v>
      </c>
      <c r="J115">
        <v>77</v>
      </c>
      <c r="K115">
        <v>74</v>
      </c>
      <c r="L115">
        <v>76</v>
      </c>
      <c r="M115">
        <v>4</v>
      </c>
      <c r="N115" t="s">
        <v>43</v>
      </c>
      <c r="O115" s="40">
        <v>0.26829999999999998</v>
      </c>
      <c r="P115">
        <v>0.95</v>
      </c>
    </row>
    <row r="116" spans="1:16" x14ac:dyDescent="0.25">
      <c r="A116" t="s">
        <v>157</v>
      </c>
      <c r="B116" t="s">
        <v>141</v>
      </c>
      <c r="C116">
        <v>93.5</v>
      </c>
      <c r="D116">
        <v>27</v>
      </c>
      <c r="E116">
        <v>4</v>
      </c>
      <c r="F116">
        <v>1</v>
      </c>
      <c r="G116">
        <v>27.7</v>
      </c>
      <c r="H116">
        <v>202</v>
      </c>
      <c r="I116">
        <v>3267</v>
      </c>
      <c r="J116">
        <v>76</v>
      </c>
      <c r="K116">
        <v>77</v>
      </c>
      <c r="L116">
        <v>75</v>
      </c>
      <c r="M116">
        <v>4</v>
      </c>
      <c r="N116" t="s">
        <v>46</v>
      </c>
      <c r="O116" s="40">
        <v>0.33329999999999999</v>
      </c>
      <c r="P116">
        <v>1.1399999999999999</v>
      </c>
    </row>
    <row r="117" spans="1:16" x14ac:dyDescent="0.25">
      <c r="A117" t="s">
        <v>159</v>
      </c>
      <c r="B117" t="s">
        <v>160</v>
      </c>
      <c r="C117">
        <v>69.349999999999994</v>
      </c>
      <c r="D117">
        <v>30</v>
      </c>
      <c r="E117">
        <v>16</v>
      </c>
      <c r="F117">
        <v>5</v>
      </c>
      <c r="G117">
        <v>24.9</v>
      </c>
      <c r="H117">
        <v>87</v>
      </c>
      <c r="I117">
        <v>5184</v>
      </c>
      <c r="J117">
        <v>72</v>
      </c>
      <c r="K117">
        <v>69</v>
      </c>
      <c r="L117">
        <v>68</v>
      </c>
      <c r="M117">
        <v>3</v>
      </c>
      <c r="N117" t="s">
        <v>29</v>
      </c>
      <c r="O117" s="40">
        <v>0.32140000000000002</v>
      </c>
      <c r="P117">
        <v>1.1100000000000001</v>
      </c>
    </row>
    <row r="118" spans="1:16" x14ac:dyDescent="0.25">
      <c r="A118" t="s">
        <v>161</v>
      </c>
      <c r="B118" t="s">
        <v>160</v>
      </c>
      <c r="C118">
        <v>47.3</v>
      </c>
      <c r="D118">
        <v>26</v>
      </c>
      <c r="E118">
        <v>15</v>
      </c>
      <c r="F118">
        <v>5</v>
      </c>
      <c r="G118">
        <v>25.7</v>
      </c>
      <c r="H118">
        <v>114</v>
      </c>
      <c r="I118">
        <v>4579</v>
      </c>
      <c r="J118">
        <v>71</v>
      </c>
      <c r="K118">
        <v>69</v>
      </c>
      <c r="L118">
        <v>70</v>
      </c>
      <c r="M118">
        <v>3</v>
      </c>
      <c r="N118" t="s">
        <v>29</v>
      </c>
      <c r="O118" s="40">
        <v>0.5</v>
      </c>
      <c r="P118">
        <v>1.6</v>
      </c>
    </row>
    <row r="119" spans="1:16" x14ac:dyDescent="0.25">
      <c r="A119" t="s">
        <v>162</v>
      </c>
      <c r="B119" t="s">
        <v>160</v>
      </c>
      <c r="C119">
        <v>42.95</v>
      </c>
      <c r="D119">
        <v>26</v>
      </c>
      <c r="E119">
        <v>15</v>
      </c>
      <c r="F119">
        <v>6</v>
      </c>
      <c r="G119">
        <v>27.5</v>
      </c>
      <c r="H119">
        <v>185</v>
      </c>
      <c r="I119">
        <v>3516</v>
      </c>
      <c r="J119">
        <v>74</v>
      </c>
      <c r="K119">
        <v>70</v>
      </c>
      <c r="L119">
        <v>70</v>
      </c>
      <c r="M119">
        <v>3.5</v>
      </c>
      <c r="N119" t="s">
        <v>29</v>
      </c>
      <c r="O119" s="40">
        <v>0.44440000000000002</v>
      </c>
      <c r="P119">
        <v>1.85</v>
      </c>
    </row>
    <row r="120" spans="1:16" x14ac:dyDescent="0.25">
      <c r="A120" t="s">
        <v>163</v>
      </c>
      <c r="B120" t="s">
        <v>160</v>
      </c>
      <c r="C120">
        <v>41.2</v>
      </c>
      <c r="D120">
        <v>27</v>
      </c>
      <c r="E120">
        <v>14</v>
      </c>
      <c r="F120">
        <v>6</v>
      </c>
      <c r="G120">
        <v>26.8</v>
      </c>
      <c r="H120">
        <v>199</v>
      </c>
      <c r="I120">
        <v>3295</v>
      </c>
      <c r="J120">
        <v>72</v>
      </c>
      <c r="K120">
        <v>73</v>
      </c>
      <c r="L120">
        <v>67</v>
      </c>
      <c r="M120">
        <v>3.5</v>
      </c>
      <c r="N120" t="s">
        <v>29</v>
      </c>
      <c r="O120" s="40">
        <v>0.48980000000000001</v>
      </c>
      <c r="P120">
        <v>1.93</v>
      </c>
    </row>
    <row r="121" spans="1:16" x14ac:dyDescent="0.25">
      <c r="A121" t="s">
        <v>164</v>
      </c>
      <c r="B121" t="s">
        <v>160</v>
      </c>
      <c r="C121">
        <v>32.299999999999997</v>
      </c>
      <c r="D121">
        <v>27</v>
      </c>
      <c r="E121">
        <v>20</v>
      </c>
      <c r="F121">
        <v>5</v>
      </c>
      <c r="G121">
        <v>27.8</v>
      </c>
      <c r="H121">
        <v>208</v>
      </c>
      <c r="I121">
        <v>3187</v>
      </c>
      <c r="J121">
        <v>72</v>
      </c>
      <c r="K121">
        <v>71</v>
      </c>
      <c r="L121">
        <v>69</v>
      </c>
      <c r="M121">
        <v>3.5</v>
      </c>
      <c r="N121" t="s">
        <v>46</v>
      </c>
      <c r="O121" s="40">
        <v>0.5</v>
      </c>
      <c r="P121">
        <v>1.96</v>
      </c>
    </row>
    <row r="122" spans="1:16" x14ac:dyDescent="0.25">
      <c r="A122" t="s">
        <v>165</v>
      </c>
      <c r="B122" t="s">
        <v>160</v>
      </c>
      <c r="C122">
        <v>27.63</v>
      </c>
      <c r="D122">
        <v>29</v>
      </c>
      <c r="E122">
        <v>17</v>
      </c>
      <c r="F122">
        <v>8</v>
      </c>
      <c r="G122">
        <v>25.3</v>
      </c>
      <c r="H122">
        <v>263</v>
      </c>
      <c r="I122">
        <v>2715</v>
      </c>
      <c r="J122">
        <v>70</v>
      </c>
      <c r="K122">
        <v>70</v>
      </c>
      <c r="L122">
        <v>69</v>
      </c>
      <c r="M122">
        <v>3</v>
      </c>
      <c r="N122" t="s">
        <v>29</v>
      </c>
      <c r="O122" s="40">
        <v>0.59260000000000002</v>
      </c>
      <c r="P122">
        <v>1.81</v>
      </c>
    </row>
    <row r="123" spans="1:16" x14ac:dyDescent="0.25">
      <c r="A123" t="s">
        <v>166</v>
      </c>
      <c r="B123" t="s">
        <v>160</v>
      </c>
      <c r="C123">
        <v>20.45</v>
      </c>
      <c r="D123">
        <v>30</v>
      </c>
      <c r="E123">
        <v>14</v>
      </c>
      <c r="F123">
        <v>5</v>
      </c>
      <c r="G123">
        <v>26.2</v>
      </c>
      <c r="H123">
        <v>270</v>
      </c>
      <c r="I123">
        <v>2670</v>
      </c>
      <c r="J123">
        <v>67</v>
      </c>
      <c r="K123">
        <v>68</v>
      </c>
      <c r="L123">
        <v>67</v>
      </c>
      <c r="M123">
        <v>2.5</v>
      </c>
      <c r="N123" t="s">
        <v>29</v>
      </c>
      <c r="O123" s="40">
        <v>0.20830000000000001</v>
      </c>
      <c r="P123">
        <v>1.1299999999999999</v>
      </c>
    </row>
    <row r="124" spans="1:16" x14ac:dyDescent="0.25">
      <c r="A124" t="s">
        <v>167</v>
      </c>
      <c r="B124" t="s">
        <v>160</v>
      </c>
      <c r="C124">
        <v>29.83</v>
      </c>
      <c r="D124">
        <v>29</v>
      </c>
      <c r="E124">
        <v>13</v>
      </c>
      <c r="F124">
        <v>6</v>
      </c>
      <c r="G124">
        <v>24.7</v>
      </c>
      <c r="H124">
        <v>300</v>
      </c>
      <c r="I124">
        <v>2452</v>
      </c>
      <c r="J124">
        <v>67</v>
      </c>
      <c r="K124">
        <v>70</v>
      </c>
      <c r="L124">
        <v>68</v>
      </c>
      <c r="M124">
        <v>3</v>
      </c>
      <c r="N124" t="s">
        <v>29</v>
      </c>
      <c r="O124" s="40">
        <v>0.375</v>
      </c>
      <c r="P124">
        <v>1.21</v>
      </c>
    </row>
    <row r="125" spans="1:16" x14ac:dyDescent="0.25">
      <c r="A125" t="s">
        <v>168</v>
      </c>
      <c r="B125" t="s">
        <v>160</v>
      </c>
      <c r="C125">
        <v>38.229999999999997</v>
      </c>
      <c r="D125">
        <v>26</v>
      </c>
      <c r="E125">
        <v>12</v>
      </c>
      <c r="F125">
        <v>5</v>
      </c>
      <c r="G125">
        <v>26.9</v>
      </c>
      <c r="H125">
        <v>302</v>
      </c>
      <c r="I125">
        <v>2441</v>
      </c>
      <c r="J125">
        <v>72</v>
      </c>
      <c r="K125">
        <v>67</v>
      </c>
      <c r="L125">
        <v>66</v>
      </c>
      <c r="M125">
        <v>2.5</v>
      </c>
      <c r="N125" t="s">
        <v>29</v>
      </c>
      <c r="O125" s="40">
        <v>0.39389999999999997</v>
      </c>
      <c r="P125">
        <v>1.18</v>
      </c>
    </row>
    <row r="126" spans="1:16" x14ac:dyDescent="0.25">
      <c r="A126" t="s">
        <v>169</v>
      </c>
      <c r="B126" t="s">
        <v>160</v>
      </c>
      <c r="C126">
        <v>33</v>
      </c>
      <c r="D126">
        <v>32</v>
      </c>
      <c r="E126">
        <v>17</v>
      </c>
      <c r="F126">
        <v>11</v>
      </c>
      <c r="G126">
        <v>25.1</v>
      </c>
      <c r="H126">
        <v>308</v>
      </c>
      <c r="I126">
        <v>2420</v>
      </c>
      <c r="J126">
        <v>77</v>
      </c>
      <c r="K126">
        <v>70</v>
      </c>
      <c r="L126">
        <v>67</v>
      </c>
      <c r="M126">
        <v>3</v>
      </c>
      <c r="N126" t="s">
        <v>29</v>
      </c>
      <c r="O126" s="40">
        <v>0.25</v>
      </c>
      <c r="P126">
        <v>1.25</v>
      </c>
    </row>
    <row r="127" spans="1:16" x14ac:dyDescent="0.25">
      <c r="A127" t="s">
        <v>170</v>
      </c>
      <c r="B127" t="s">
        <v>160</v>
      </c>
      <c r="C127">
        <v>30.15</v>
      </c>
      <c r="D127">
        <v>29</v>
      </c>
      <c r="E127">
        <v>17</v>
      </c>
      <c r="F127">
        <v>3</v>
      </c>
      <c r="G127">
        <v>23.4</v>
      </c>
      <c r="H127">
        <v>315</v>
      </c>
      <c r="I127">
        <v>2380</v>
      </c>
      <c r="J127">
        <v>69</v>
      </c>
      <c r="K127">
        <v>68</v>
      </c>
      <c r="L127">
        <v>67</v>
      </c>
      <c r="M127">
        <v>2.5</v>
      </c>
      <c r="N127" t="s">
        <v>29</v>
      </c>
      <c r="O127" s="40">
        <v>0.375</v>
      </c>
      <c r="P127">
        <v>1.29</v>
      </c>
    </row>
    <row r="128" spans="1:16" x14ac:dyDescent="0.25">
      <c r="A128" t="s">
        <v>171</v>
      </c>
      <c r="B128" t="s">
        <v>160</v>
      </c>
      <c r="C128">
        <v>36.479999999999997</v>
      </c>
      <c r="D128">
        <v>32</v>
      </c>
      <c r="E128">
        <v>14</v>
      </c>
      <c r="F128">
        <v>4</v>
      </c>
      <c r="G128">
        <v>25.7</v>
      </c>
      <c r="H128">
        <v>332</v>
      </c>
      <c r="I128">
        <v>2288</v>
      </c>
      <c r="J128">
        <v>70</v>
      </c>
      <c r="K128">
        <v>71</v>
      </c>
      <c r="L128">
        <v>68</v>
      </c>
      <c r="M128">
        <v>3</v>
      </c>
      <c r="N128" t="s">
        <v>46</v>
      </c>
      <c r="O128" s="40">
        <v>0.42109999999999997</v>
      </c>
      <c r="P128">
        <v>1.68</v>
      </c>
    </row>
    <row r="129" spans="1:16" x14ac:dyDescent="0.25">
      <c r="A129" t="s">
        <v>172</v>
      </c>
      <c r="B129" t="s">
        <v>160</v>
      </c>
      <c r="C129">
        <v>43.7</v>
      </c>
      <c r="D129">
        <v>29</v>
      </c>
      <c r="E129">
        <v>18</v>
      </c>
      <c r="F129">
        <v>8</v>
      </c>
      <c r="G129">
        <v>26</v>
      </c>
      <c r="H129">
        <v>342</v>
      </c>
      <c r="I129">
        <v>2219</v>
      </c>
      <c r="J129">
        <v>69</v>
      </c>
      <c r="K129">
        <v>71</v>
      </c>
      <c r="L129">
        <v>67</v>
      </c>
      <c r="M129">
        <v>3.5</v>
      </c>
      <c r="N129" t="s">
        <v>29</v>
      </c>
      <c r="O129" s="40">
        <v>0.44829999999999998</v>
      </c>
      <c r="P129">
        <v>1.66</v>
      </c>
    </row>
    <row r="130" spans="1:16" x14ac:dyDescent="0.25">
      <c r="A130" t="s">
        <v>174</v>
      </c>
      <c r="B130" t="s">
        <v>160</v>
      </c>
      <c r="C130">
        <v>30.15</v>
      </c>
      <c r="D130">
        <v>29</v>
      </c>
      <c r="E130">
        <v>12</v>
      </c>
      <c r="F130">
        <v>3</v>
      </c>
      <c r="G130">
        <v>26.1</v>
      </c>
      <c r="H130">
        <v>374</v>
      </c>
      <c r="I130">
        <v>1991</v>
      </c>
      <c r="J130">
        <v>71</v>
      </c>
      <c r="K130">
        <v>67</v>
      </c>
      <c r="L130">
        <v>69</v>
      </c>
      <c r="M130">
        <v>3</v>
      </c>
      <c r="N130" t="s">
        <v>29</v>
      </c>
      <c r="O130" s="40">
        <v>0.48</v>
      </c>
      <c r="P130">
        <v>1.68</v>
      </c>
    </row>
    <row r="131" spans="1:16" x14ac:dyDescent="0.25">
      <c r="A131" t="s">
        <v>175</v>
      </c>
      <c r="B131" t="s">
        <v>160</v>
      </c>
      <c r="C131">
        <v>39.6</v>
      </c>
      <c r="D131">
        <v>29</v>
      </c>
      <c r="E131">
        <v>17</v>
      </c>
      <c r="F131">
        <v>7</v>
      </c>
      <c r="G131">
        <v>28.4</v>
      </c>
      <c r="H131">
        <v>380</v>
      </c>
      <c r="I131">
        <v>1959</v>
      </c>
      <c r="J131">
        <v>72</v>
      </c>
      <c r="K131">
        <v>72</v>
      </c>
      <c r="L131">
        <v>70</v>
      </c>
      <c r="M131">
        <v>3.5</v>
      </c>
      <c r="N131" t="s">
        <v>29</v>
      </c>
      <c r="O131" s="40">
        <v>0.57140000000000002</v>
      </c>
      <c r="P131">
        <v>1.64</v>
      </c>
    </row>
    <row r="132" spans="1:16" x14ac:dyDescent="0.25">
      <c r="A132" t="s">
        <v>176</v>
      </c>
      <c r="B132" t="s">
        <v>160</v>
      </c>
      <c r="C132">
        <v>20.53</v>
      </c>
      <c r="D132">
        <v>29</v>
      </c>
      <c r="E132">
        <v>16</v>
      </c>
      <c r="F132">
        <v>9</v>
      </c>
      <c r="G132">
        <v>26.6</v>
      </c>
      <c r="H132">
        <v>388</v>
      </c>
      <c r="I132">
        <v>1901</v>
      </c>
      <c r="J132">
        <v>65</v>
      </c>
      <c r="K132">
        <v>69</v>
      </c>
      <c r="L132">
        <v>68</v>
      </c>
      <c r="M132">
        <v>2.5</v>
      </c>
      <c r="N132" t="s">
        <v>46</v>
      </c>
      <c r="O132" s="40">
        <v>0.16669999999999999</v>
      </c>
      <c r="P132">
        <v>1.29</v>
      </c>
    </row>
    <row r="133" spans="1:16" x14ac:dyDescent="0.25">
      <c r="A133" t="s">
        <v>177</v>
      </c>
      <c r="B133" t="s">
        <v>160</v>
      </c>
      <c r="C133">
        <v>31.08</v>
      </c>
      <c r="D133">
        <v>30</v>
      </c>
      <c r="E133">
        <v>17</v>
      </c>
      <c r="F133">
        <v>3</v>
      </c>
      <c r="G133">
        <v>26.8</v>
      </c>
      <c r="H133">
        <v>596</v>
      </c>
      <c r="I133">
        <v>1058</v>
      </c>
      <c r="J133">
        <v>71</v>
      </c>
      <c r="K133">
        <v>68</v>
      </c>
      <c r="L133">
        <v>67</v>
      </c>
      <c r="M133">
        <v>2.5</v>
      </c>
      <c r="N133" t="s">
        <v>29</v>
      </c>
      <c r="O133" s="40">
        <v>0.16669999999999999</v>
      </c>
      <c r="P133">
        <v>0.54</v>
      </c>
    </row>
    <row r="134" spans="1:16" x14ac:dyDescent="0.25">
      <c r="A134" t="s">
        <v>237</v>
      </c>
      <c r="B134" t="s">
        <v>238</v>
      </c>
      <c r="C134">
        <v>19.899999999999999</v>
      </c>
      <c r="D134">
        <v>26</v>
      </c>
      <c r="E134">
        <v>5</v>
      </c>
      <c r="F134">
        <v>2</v>
      </c>
      <c r="G134">
        <v>28.6</v>
      </c>
      <c r="H134">
        <v>109</v>
      </c>
      <c r="I134">
        <v>4640</v>
      </c>
      <c r="J134">
        <v>70</v>
      </c>
      <c r="K134">
        <v>70</v>
      </c>
      <c r="L134">
        <v>69</v>
      </c>
      <c r="M134">
        <v>3.5</v>
      </c>
      <c r="N134" t="s">
        <v>29</v>
      </c>
      <c r="O134" s="40">
        <v>0.47620000000000001</v>
      </c>
      <c r="P134">
        <v>2.0699999999999998</v>
      </c>
    </row>
    <row r="135" spans="1:16" x14ac:dyDescent="0.25">
      <c r="A135" t="s">
        <v>239</v>
      </c>
      <c r="B135" t="s">
        <v>238</v>
      </c>
      <c r="C135">
        <v>36.700000000000003</v>
      </c>
      <c r="D135">
        <v>29</v>
      </c>
      <c r="E135">
        <v>8</v>
      </c>
      <c r="F135">
        <v>7</v>
      </c>
      <c r="G135">
        <v>28.8</v>
      </c>
      <c r="H135">
        <v>129</v>
      </c>
      <c r="I135">
        <v>4117</v>
      </c>
      <c r="J135">
        <v>69</v>
      </c>
      <c r="K135">
        <v>72</v>
      </c>
      <c r="L135">
        <v>72</v>
      </c>
      <c r="M135">
        <v>3.5</v>
      </c>
      <c r="N135" t="s">
        <v>29</v>
      </c>
      <c r="O135" s="40">
        <v>0.5</v>
      </c>
      <c r="P135">
        <v>1.77</v>
      </c>
    </row>
    <row r="136" spans="1:16" x14ac:dyDescent="0.25">
      <c r="A136" t="s">
        <v>240</v>
      </c>
      <c r="B136" t="s">
        <v>238</v>
      </c>
      <c r="C136">
        <v>12.7</v>
      </c>
      <c r="D136">
        <v>25</v>
      </c>
      <c r="E136">
        <v>7</v>
      </c>
      <c r="F136">
        <v>2</v>
      </c>
      <c r="G136">
        <v>26.3</v>
      </c>
      <c r="H136">
        <v>199</v>
      </c>
      <c r="I136">
        <v>3306</v>
      </c>
      <c r="J136">
        <v>61</v>
      </c>
      <c r="K136">
        <v>66</v>
      </c>
      <c r="L136">
        <v>62</v>
      </c>
      <c r="M136">
        <v>1.5</v>
      </c>
      <c r="N136" t="s">
        <v>46</v>
      </c>
      <c r="O136" s="40">
        <v>0.54</v>
      </c>
      <c r="P136">
        <v>1.4</v>
      </c>
    </row>
    <row r="137" spans="1:16" x14ac:dyDescent="0.25">
      <c r="A137" t="s">
        <v>241</v>
      </c>
      <c r="B137" t="s">
        <v>238</v>
      </c>
      <c r="C137">
        <v>9.48</v>
      </c>
      <c r="D137">
        <v>26</v>
      </c>
      <c r="E137">
        <v>9</v>
      </c>
      <c r="F137">
        <v>2</v>
      </c>
      <c r="G137">
        <v>28.5</v>
      </c>
      <c r="H137">
        <v>341</v>
      </c>
      <c r="I137">
        <v>2185</v>
      </c>
      <c r="J137">
        <v>67</v>
      </c>
      <c r="K137">
        <v>65</v>
      </c>
      <c r="L137">
        <v>62</v>
      </c>
      <c r="M137">
        <v>2</v>
      </c>
      <c r="N137" t="s">
        <v>46</v>
      </c>
      <c r="O137" s="40">
        <v>0.28210000000000002</v>
      </c>
      <c r="P137">
        <v>1.23</v>
      </c>
    </row>
    <row r="138" spans="1:16" x14ac:dyDescent="0.25">
      <c r="A138" t="s">
        <v>242</v>
      </c>
      <c r="B138" t="s">
        <v>238</v>
      </c>
      <c r="C138">
        <v>8.85</v>
      </c>
      <c r="D138">
        <v>25</v>
      </c>
      <c r="E138">
        <v>4</v>
      </c>
      <c r="F138">
        <v>0</v>
      </c>
      <c r="G138">
        <v>26.9</v>
      </c>
      <c r="H138">
        <v>415</v>
      </c>
      <c r="I138">
        <v>1769</v>
      </c>
      <c r="J138">
        <v>74</v>
      </c>
      <c r="K138">
        <v>70</v>
      </c>
      <c r="L138">
        <v>68</v>
      </c>
      <c r="M138">
        <v>3.5</v>
      </c>
      <c r="N138" t="s">
        <v>29</v>
      </c>
      <c r="O138" s="40">
        <v>0.27779999999999999</v>
      </c>
      <c r="P138">
        <v>1.1399999999999999</v>
      </c>
    </row>
    <row r="139" spans="1:16" x14ac:dyDescent="0.25">
      <c r="A139" t="s">
        <v>243</v>
      </c>
      <c r="B139" t="s">
        <v>238</v>
      </c>
      <c r="C139">
        <v>5.68</v>
      </c>
      <c r="D139">
        <v>25</v>
      </c>
      <c r="E139">
        <v>6</v>
      </c>
      <c r="F139">
        <v>0</v>
      </c>
      <c r="G139">
        <v>27.9</v>
      </c>
      <c r="H139">
        <v>419</v>
      </c>
      <c r="I139">
        <v>1470</v>
      </c>
      <c r="J139">
        <v>62</v>
      </c>
      <c r="K139">
        <v>61</v>
      </c>
      <c r="L139">
        <v>59</v>
      </c>
      <c r="M139">
        <v>1</v>
      </c>
      <c r="N139" t="s">
        <v>46</v>
      </c>
      <c r="O139" s="40">
        <v>0.27029999999999998</v>
      </c>
      <c r="P139">
        <v>1.1399999999999999</v>
      </c>
    </row>
    <row r="140" spans="1:16" x14ac:dyDescent="0.25">
      <c r="A140" t="s">
        <v>244</v>
      </c>
      <c r="B140" t="s">
        <v>238</v>
      </c>
      <c r="C140">
        <v>4.38</v>
      </c>
      <c r="D140">
        <v>33</v>
      </c>
      <c r="E140">
        <v>6</v>
      </c>
      <c r="F140">
        <v>0</v>
      </c>
      <c r="G140">
        <v>29.3</v>
      </c>
      <c r="H140">
        <v>491</v>
      </c>
      <c r="I140">
        <v>1407</v>
      </c>
      <c r="J140">
        <v>63</v>
      </c>
      <c r="K140">
        <v>61</v>
      </c>
      <c r="L140">
        <v>64</v>
      </c>
      <c r="M140">
        <v>1.5</v>
      </c>
      <c r="N140" t="s">
        <v>29</v>
      </c>
      <c r="O140" s="40">
        <v>0.28570000000000001</v>
      </c>
      <c r="P140">
        <v>1</v>
      </c>
    </row>
    <row r="141" spans="1:16" x14ac:dyDescent="0.25">
      <c r="A141" t="s">
        <v>245</v>
      </c>
      <c r="B141" t="s">
        <v>246</v>
      </c>
      <c r="C141">
        <v>23.33</v>
      </c>
      <c r="D141">
        <v>31</v>
      </c>
      <c r="E141">
        <v>4</v>
      </c>
      <c r="F141">
        <v>3</v>
      </c>
      <c r="G141">
        <v>25.6</v>
      </c>
      <c r="H141">
        <v>203</v>
      </c>
      <c r="I141">
        <v>3267</v>
      </c>
      <c r="J141">
        <v>68</v>
      </c>
      <c r="K141">
        <v>69</v>
      </c>
      <c r="L141">
        <v>65</v>
      </c>
      <c r="M141">
        <v>2.5</v>
      </c>
      <c r="N141" t="s">
        <v>29</v>
      </c>
      <c r="O141" s="40">
        <v>0.4667</v>
      </c>
      <c r="P141">
        <v>1.42</v>
      </c>
    </row>
    <row r="142" spans="1:16" x14ac:dyDescent="0.25">
      <c r="A142" t="s">
        <v>247</v>
      </c>
      <c r="B142" t="s">
        <v>246</v>
      </c>
      <c r="C142">
        <v>18.600000000000001</v>
      </c>
      <c r="D142">
        <v>31</v>
      </c>
      <c r="E142">
        <v>3</v>
      </c>
      <c r="F142">
        <v>3</v>
      </c>
      <c r="G142">
        <v>26.6</v>
      </c>
      <c r="H142">
        <v>215</v>
      </c>
      <c r="I142">
        <v>3127</v>
      </c>
      <c r="J142">
        <v>74</v>
      </c>
      <c r="K142">
        <v>70</v>
      </c>
      <c r="L142">
        <v>68</v>
      </c>
      <c r="M142">
        <v>3.5</v>
      </c>
      <c r="N142" t="s">
        <v>46</v>
      </c>
      <c r="O142" s="40">
        <v>0.5</v>
      </c>
      <c r="P142">
        <v>1.42</v>
      </c>
    </row>
    <row r="143" spans="1:16" x14ac:dyDescent="0.25">
      <c r="A143" t="s">
        <v>248</v>
      </c>
      <c r="B143" t="s">
        <v>246</v>
      </c>
      <c r="C143">
        <v>9.93</v>
      </c>
      <c r="D143">
        <v>30</v>
      </c>
      <c r="E143">
        <v>1</v>
      </c>
      <c r="F143">
        <v>1</v>
      </c>
      <c r="G143">
        <v>24.2</v>
      </c>
      <c r="H143">
        <v>411</v>
      </c>
      <c r="I143">
        <v>1794</v>
      </c>
      <c r="J143">
        <v>62</v>
      </c>
      <c r="K143">
        <v>63</v>
      </c>
      <c r="L143">
        <v>62</v>
      </c>
      <c r="M143">
        <v>1.5</v>
      </c>
      <c r="N143" t="s">
        <v>29</v>
      </c>
      <c r="O143" s="40">
        <v>0.4884</v>
      </c>
      <c r="P143">
        <v>1.95</v>
      </c>
    </row>
    <row r="144" spans="1:16" x14ac:dyDescent="0.25">
      <c r="A144" t="s">
        <v>249</v>
      </c>
      <c r="B144" t="s">
        <v>246</v>
      </c>
      <c r="C144">
        <v>7.23</v>
      </c>
      <c r="D144">
        <v>27</v>
      </c>
      <c r="E144">
        <v>5</v>
      </c>
      <c r="F144">
        <v>0</v>
      </c>
      <c r="G144">
        <v>25.6</v>
      </c>
      <c r="H144">
        <v>485</v>
      </c>
      <c r="I144">
        <v>1429</v>
      </c>
      <c r="J144">
        <v>63</v>
      </c>
      <c r="K144">
        <v>64</v>
      </c>
      <c r="L144">
        <v>61</v>
      </c>
      <c r="M144">
        <v>1.5</v>
      </c>
      <c r="N144" t="s">
        <v>46</v>
      </c>
      <c r="O144" s="40">
        <v>0.29270000000000002</v>
      </c>
      <c r="P144">
        <v>1.29</v>
      </c>
    </row>
    <row r="145" spans="1:16" x14ac:dyDescent="0.25">
      <c r="A145" t="s">
        <v>250</v>
      </c>
      <c r="B145" t="s">
        <v>246</v>
      </c>
      <c r="C145">
        <v>15.23</v>
      </c>
      <c r="D145">
        <v>28</v>
      </c>
      <c r="E145">
        <v>1</v>
      </c>
      <c r="F145">
        <v>0</v>
      </c>
      <c r="G145">
        <v>24.5</v>
      </c>
      <c r="H145">
        <v>528</v>
      </c>
      <c r="I145">
        <v>1260</v>
      </c>
      <c r="J145">
        <v>63</v>
      </c>
      <c r="K145">
        <v>59</v>
      </c>
      <c r="L145">
        <v>62</v>
      </c>
      <c r="M145">
        <v>1</v>
      </c>
      <c r="N145" t="s">
        <v>29</v>
      </c>
      <c r="O145" s="40">
        <v>0.37209999999999999</v>
      </c>
      <c r="P145">
        <v>1.37</v>
      </c>
    </row>
    <row r="146" spans="1:16" x14ac:dyDescent="0.25">
      <c r="A146" t="s">
        <v>251</v>
      </c>
      <c r="B146" t="s">
        <v>246</v>
      </c>
      <c r="C146">
        <v>5.98</v>
      </c>
      <c r="D146">
        <v>30</v>
      </c>
      <c r="E146">
        <v>2</v>
      </c>
      <c r="F146">
        <v>1</v>
      </c>
      <c r="G146">
        <v>25.5</v>
      </c>
      <c r="H146">
        <v>579</v>
      </c>
      <c r="I146">
        <v>1095</v>
      </c>
      <c r="J146">
        <v>61</v>
      </c>
      <c r="K146">
        <v>63</v>
      </c>
      <c r="L146">
        <v>62</v>
      </c>
      <c r="M146">
        <v>1.5</v>
      </c>
      <c r="N146" t="s">
        <v>29</v>
      </c>
      <c r="O146" s="40">
        <v>0.30230000000000001</v>
      </c>
      <c r="P146">
        <v>1.37</v>
      </c>
    </row>
    <row r="147" spans="1:16" x14ac:dyDescent="0.25">
      <c r="A147" t="s">
        <v>252</v>
      </c>
      <c r="B147" t="s">
        <v>253</v>
      </c>
      <c r="C147">
        <v>879.5</v>
      </c>
      <c r="D147">
        <v>27</v>
      </c>
      <c r="E147">
        <v>19</v>
      </c>
      <c r="F147">
        <v>18</v>
      </c>
      <c r="G147">
        <v>27</v>
      </c>
      <c r="H147">
        <v>1</v>
      </c>
      <c r="I147">
        <v>14695</v>
      </c>
      <c r="J147">
        <v>86</v>
      </c>
      <c r="K147">
        <v>83</v>
      </c>
      <c r="L147">
        <v>80</v>
      </c>
      <c r="M147">
        <v>5</v>
      </c>
      <c r="N147" t="s">
        <v>29</v>
      </c>
      <c r="O147" s="40">
        <v>0.52829999999999999</v>
      </c>
      <c r="P147">
        <v>1.83</v>
      </c>
    </row>
    <row r="148" spans="1:16" x14ac:dyDescent="0.25">
      <c r="A148" t="s">
        <v>254</v>
      </c>
      <c r="B148" t="s">
        <v>253</v>
      </c>
      <c r="C148">
        <v>1040</v>
      </c>
      <c r="D148">
        <v>22</v>
      </c>
      <c r="E148">
        <v>16</v>
      </c>
      <c r="F148">
        <v>19</v>
      </c>
      <c r="G148">
        <v>27.6</v>
      </c>
      <c r="H148">
        <v>8</v>
      </c>
      <c r="I148">
        <v>10390</v>
      </c>
      <c r="J148">
        <v>85</v>
      </c>
      <c r="K148">
        <v>86</v>
      </c>
      <c r="L148">
        <v>83</v>
      </c>
      <c r="M148">
        <v>5</v>
      </c>
      <c r="N148" t="s">
        <v>28</v>
      </c>
      <c r="O148" s="40">
        <v>0.77049999999999996</v>
      </c>
      <c r="P148">
        <v>2.15</v>
      </c>
    </row>
    <row r="149" spans="1:16" x14ac:dyDescent="0.25">
      <c r="A149" t="s">
        <v>255</v>
      </c>
      <c r="B149" t="s">
        <v>253</v>
      </c>
      <c r="C149">
        <v>882.5</v>
      </c>
      <c r="D149">
        <v>27</v>
      </c>
      <c r="E149">
        <v>18</v>
      </c>
      <c r="F149">
        <v>17</v>
      </c>
      <c r="G149">
        <v>26.7</v>
      </c>
      <c r="H149">
        <v>19</v>
      </c>
      <c r="I149">
        <v>8832</v>
      </c>
      <c r="J149">
        <v>82</v>
      </c>
      <c r="K149">
        <v>84</v>
      </c>
      <c r="L149">
        <v>82</v>
      </c>
      <c r="M149">
        <v>4.5</v>
      </c>
      <c r="N149" t="s">
        <v>28</v>
      </c>
      <c r="O149" s="40">
        <v>0.57630000000000003</v>
      </c>
      <c r="P149">
        <v>1.68</v>
      </c>
    </row>
    <row r="150" spans="1:16" x14ac:dyDescent="0.25">
      <c r="A150" t="s">
        <v>256</v>
      </c>
      <c r="B150" t="s">
        <v>253</v>
      </c>
      <c r="C150">
        <v>548.5</v>
      </c>
      <c r="D150">
        <v>26</v>
      </c>
      <c r="E150">
        <v>17</v>
      </c>
      <c r="F150">
        <v>16</v>
      </c>
      <c r="G150">
        <v>25.2</v>
      </c>
      <c r="H150">
        <v>25</v>
      </c>
      <c r="I150">
        <v>7938</v>
      </c>
      <c r="J150">
        <v>83</v>
      </c>
      <c r="K150">
        <v>79</v>
      </c>
      <c r="L150">
        <v>79</v>
      </c>
      <c r="M150">
        <v>4.5</v>
      </c>
      <c r="N150" t="s">
        <v>29</v>
      </c>
      <c r="O150" s="40">
        <v>0.5</v>
      </c>
      <c r="P150">
        <v>1.62</v>
      </c>
    </row>
    <row r="151" spans="1:16" x14ac:dyDescent="0.25">
      <c r="A151" t="s">
        <v>257</v>
      </c>
      <c r="B151" t="s">
        <v>253</v>
      </c>
      <c r="C151">
        <v>391.1</v>
      </c>
      <c r="D151">
        <v>24</v>
      </c>
      <c r="E151">
        <v>21</v>
      </c>
      <c r="F151">
        <v>14</v>
      </c>
      <c r="G151">
        <v>26.2</v>
      </c>
      <c r="H151">
        <v>35</v>
      </c>
      <c r="I151">
        <v>7311</v>
      </c>
      <c r="J151">
        <v>77</v>
      </c>
      <c r="K151">
        <v>81</v>
      </c>
      <c r="L151">
        <v>78</v>
      </c>
      <c r="M151">
        <v>4.5</v>
      </c>
      <c r="N151" t="s">
        <v>29</v>
      </c>
      <c r="O151" s="40">
        <v>0.33329999999999999</v>
      </c>
      <c r="P151">
        <v>0.9</v>
      </c>
    </row>
    <row r="152" spans="1:16" x14ac:dyDescent="0.25">
      <c r="A152" t="s">
        <v>258</v>
      </c>
      <c r="B152" t="s">
        <v>253</v>
      </c>
      <c r="C152">
        <v>937.25</v>
      </c>
      <c r="D152">
        <v>28</v>
      </c>
      <c r="E152">
        <v>17</v>
      </c>
      <c r="F152">
        <v>21</v>
      </c>
      <c r="G152">
        <v>27.9</v>
      </c>
      <c r="H152">
        <v>39</v>
      </c>
      <c r="I152">
        <v>7151</v>
      </c>
      <c r="J152">
        <v>83</v>
      </c>
      <c r="K152">
        <v>82</v>
      </c>
      <c r="L152">
        <v>82</v>
      </c>
      <c r="M152">
        <v>4.5</v>
      </c>
      <c r="N152" t="s">
        <v>29</v>
      </c>
      <c r="O152" s="40">
        <v>0.57379999999999998</v>
      </c>
      <c r="P152">
        <v>1.98</v>
      </c>
    </row>
    <row r="153" spans="1:16" x14ac:dyDescent="0.25">
      <c r="A153" t="s">
        <v>259</v>
      </c>
      <c r="B153" t="s">
        <v>253</v>
      </c>
      <c r="C153">
        <v>692</v>
      </c>
      <c r="D153">
        <v>33</v>
      </c>
      <c r="E153">
        <v>16</v>
      </c>
      <c r="F153">
        <v>18</v>
      </c>
      <c r="G153">
        <v>25.7</v>
      </c>
      <c r="H153">
        <v>42</v>
      </c>
      <c r="I153">
        <v>6821</v>
      </c>
      <c r="J153">
        <v>89</v>
      </c>
      <c r="K153">
        <v>82</v>
      </c>
      <c r="L153">
        <v>81</v>
      </c>
      <c r="M153">
        <v>4.5</v>
      </c>
      <c r="N153" t="s">
        <v>29</v>
      </c>
      <c r="O153" s="40">
        <v>0.54239999999999999</v>
      </c>
      <c r="P153">
        <v>2.1</v>
      </c>
    </row>
    <row r="154" spans="1:16" x14ac:dyDescent="0.25">
      <c r="A154" t="s">
        <v>260</v>
      </c>
      <c r="B154" t="s">
        <v>253</v>
      </c>
      <c r="C154">
        <v>550.1</v>
      </c>
      <c r="D154">
        <v>28</v>
      </c>
      <c r="E154">
        <v>18</v>
      </c>
      <c r="F154">
        <v>13</v>
      </c>
      <c r="G154">
        <v>26.9</v>
      </c>
      <c r="H154">
        <v>85</v>
      </c>
      <c r="I154">
        <v>5188</v>
      </c>
      <c r="J154">
        <v>80</v>
      </c>
      <c r="K154">
        <v>81</v>
      </c>
      <c r="L154">
        <v>79</v>
      </c>
      <c r="M154">
        <v>4.5</v>
      </c>
      <c r="N154" t="s">
        <v>29</v>
      </c>
      <c r="O154" s="40">
        <v>0.56599999999999995</v>
      </c>
      <c r="P154">
        <v>1.79</v>
      </c>
    </row>
    <row r="155" spans="1:16" x14ac:dyDescent="0.25">
      <c r="A155" t="s">
        <v>261</v>
      </c>
      <c r="B155" t="s">
        <v>253</v>
      </c>
      <c r="C155">
        <v>239.45</v>
      </c>
      <c r="D155">
        <v>26</v>
      </c>
      <c r="E155">
        <v>14</v>
      </c>
      <c r="F155">
        <v>7</v>
      </c>
      <c r="G155">
        <v>27.4</v>
      </c>
      <c r="H155">
        <v>135</v>
      </c>
      <c r="I155">
        <v>4146</v>
      </c>
      <c r="J155">
        <v>77</v>
      </c>
      <c r="K155">
        <v>75</v>
      </c>
      <c r="L155">
        <v>75</v>
      </c>
      <c r="M155">
        <v>4</v>
      </c>
      <c r="N155" t="s">
        <v>29</v>
      </c>
      <c r="O155" s="40">
        <v>0.3</v>
      </c>
      <c r="P155">
        <v>1.03</v>
      </c>
    </row>
    <row r="156" spans="1:16" x14ac:dyDescent="0.25">
      <c r="A156" t="s">
        <v>262</v>
      </c>
      <c r="B156" t="s">
        <v>253</v>
      </c>
      <c r="C156">
        <v>461.75</v>
      </c>
      <c r="D156">
        <v>27</v>
      </c>
      <c r="E156">
        <v>14</v>
      </c>
      <c r="F156">
        <v>15</v>
      </c>
      <c r="G156">
        <v>27.9</v>
      </c>
      <c r="H156">
        <v>149</v>
      </c>
      <c r="I156">
        <v>3982</v>
      </c>
      <c r="J156">
        <v>81</v>
      </c>
      <c r="K156">
        <v>79</v>
      </c>
      <c r="L156">
        <v>80</v>
      </c>
      <c r="M156">
        <v>4.5</v>
      </c>
      <c r="N156" t="s">
        <v>29</v>
      </c>
      <c r="O156" s="40">
        <v>0.5</v>
      </c>
      <c r="P156">
        <v>1.5</v>
      </c>
    </row>
    <row r="157" spans="1:16" x14ac:dyDescent="0.25">
      <c r="A157" t="s">
        <v>263</v>
      </c>
      <c r="B157" t="s">
        <v>253</v>
      </c>
      <c r="C157">
        <v>242.9</v>
      </c>
      <c r="D157">
        <v>26</v>
      </c>
      <c r="E157">
        <v>15</v>
      </c>
      <c r="F157">
        <v>8</v>
      </c>
      <c r="G157">
        <v>27.8</v>
      </c>
      <c r="H157">
        <v>156</v>
      </c>
      <c r="I157">
        <v>3890</v>
      </c>
      <c r="J157">
        <v>77</v>
      </c>
      <c r="K157">
        <v>75</v>
      </c>
      <c r="L157">
        <v>74</v>
      </c>
      <c r="M157">
        <v>4</v>
      </c>
      <c r="N157" t="s">
        <v>46</v>
      </c>
      <c r="O157" s="40">
        <v>0.3256</v>
      </c>
      <c r="P157">
        <v>1.28</v>
      </c>
    </row>
    <row r="158" spans="1:16" x14ac:dyDescent="0.25">
      <c r="A158" t="s">
        <v>306</v>
      </c>
      <c r="B158" t="s">
        <v>307</v>
      </c>
      <c r="C158">
        <v>640.4</v>
      </c>
      <c r="D158">
        <v>25</v>
      </c>
      <c r="E158">
        <v>14</v>
      </c>
      <c r="F158">
        <v>20</v>
      </c>
      <c r="G158">
        <v>27.3</v>
      </c>
      <c r="H158">
        <v>14</v>
      </c>
      <c r="I158">
        <v>9319</v>
      </c>
      <c r="J158">
        <v>87</v>
      </c>
      <c r="K158">
        <v>81</v>
      </c>
      <c r="L158">
        <v>83</v>
      </c>
      <c r="M158">
        <v>5</v>
      </c>
      <c r="N158" t="s">
        <v>28</v>
      </c>
      <c r="O158" s="40">
        <v>0.65380000000000005</v>
      </c>
      <c r="P158">
        <v>2.08</v>
      </c>
    </row>
    <row r="159" spans="1:16" x14ac:dyDescent="0.25">
      <c r="A159" t="s">
        <v>308</v>
      </c>
      <c r="B159" t="s">
        <v>307</v>
      </c>
      <c r="C159">
        <v>415.35</v>
      </c>
      <c r="D159">
        <v>26</v>
      </c>
      <c r="E159">
        <v>16</v>
      </c>
      <c r="F159">
        <v>17</v>
      </c>
      <c r="G159">
        <v>27.1</v>
      </c>
      <c r="H159">
        <v>26</v>
      </c>
      <c r="I159">
        <v>7928</v>
      </c>
      <c r="J159">
        <v>82</v>
      </c>
      <c r="K159">
        <v>79</v>
      </c>
      <c r="L159">
        <v>78</v>
      </c>
      <c r="M159">
        <v>4.5</v>
      </c>
      <c r="N159" t="s">
        <v>29</v>
      </c>
      <c r="O159" s="40">
        <v>0.56859999999999999</v>
      </c>
      <c r="P159">
        <v>2.1800000000000002</v>
      </c>
    </row>
    <row r="160" spans="1:16" x14ac:dyDescent="0.25">
      <c r="A160" t="s">
        <v>309</v>
      </c>
      <c r="B160" t="s">
        <v>307</v>
      </c>
      <c r="C160">
        <v>573.29999999999995</v>
      </c>
      <c r="D160">
        <v>28</v>
      </c>
      <c r="E160">
        <v>19</v>
      </c>
      <c r="F160">
        <v>20</v>
      </c>
      <c r="G160">
        <v>28.8</v>
      </c>
      <c r="H160">
        <v>37</v>
      </c>
      <c r="I160">
        <v>7235</v>
      </c>
      <c r="J160">
        <v>83</v>
      </c>
      <c r="K160">
        <v>81</v>
      </c>
      <c r="L160">
        <v>83</v>
      </c>
      <c r="M160">
        <v>4.5</v>
      </c>
      <c r="N160" t="s">
        <v>29</v>
      </c>
      <c r="O160" s="40">
        <v>0.64580000000000004</v>
      </c>
      <c r="P160">
        <v>2.1</v>
      </c>
    </row>
    <row r="161" spans="1:16" x14ac:dyDescent="0.25">
      <c r="A161" t="s">
        <v>310</v>
      </c>
      <c r="B161" t="s">
        <v>307</v>
      </c>
      <c r="C161">
        <v>517.75</v>
      </c>
      <c r="D161">
        <v>25</v>
      </c>
      <c r="E161">
        <v>18</v>
      </c>
      <c r="F161">
        <v>17</v>
      </c>
      <c r="G161">
        <v>27.6</v>
      </c>
      <c r="H161">
        <v>38</v>
      </c>
      <c r="I161">
        <v>7165</v>
      </c>
      <c r="J161">
        <v>82</v>
      </c>
      <c r="K161">
        <v>80</v>
      </c>
      <c r="L161">
        <v>80</v>
      </c>
      <c r="M161">
        <v>4.5</v>
      </c>
      <c r="N161" t="s">
        <v>29</v>
      </c>
      <c r="O161" s="40">
        <v>0.58819999999999995</v>
      </c>
      <c r="P161">
        <v>2.02</v>
      </c>
    </row>
    <row r="162" spans="1:16" x14ac:dyDescent="0.25">
      <c r="A162" t="s">
        <v>311</v>
      </c>
      <c r="B162" t="s">
        <v>307</v>
      </c>
      <c r="C162">
        <v>326.60000000000002</v>
      </c>
      <c r="D162">
        <v>33</v>
      </c>
      <c r="E162">
        <v>26</v>
      </c>
      <c r="F162">
        <v>12</v>
      </c>
      <c r="G162">
        <v>27.4</v>
      </c>
      <c r="H162">
        <v>41</v>
      </c>
      <c r="I162">
        <v>6846</v>
      </c>
      <c r="J162">
        <v>82</v>
      </c>
      <c r="K162">
        <v>80</v>
      </c>
      <c r="L162">
        <v>79</v>
      </c>
      <c r="M162">
        <v>4.5</v>
      </c>
      <c r="N162" t="s">
        <v>46</v>
      </c>
      <c r="O162" s="40">
        <v>0.5</v>
      </c>
      <c r="P162">
        <v>1.63</v>
      </c>
    </row>
    <row r="163" spans="1:16" x14ac:dyDescent="0.25">
      <c r="A163" t="s">
        <v>312</v>
      </c>
      <c r="B163" t="s">
        <v>307</v>
      </c>
      <c r="C163">
        <v>418.35</v>
      </c>
      <c r="D163">
        <v>31</v>
      </c>
      <c r="E163">
        <v>20</v>
      </c>
      <c r="F163">
        <v>19</v>
      </c>
      <c r="G163">
        <v>25.4</v>
      </c>
      <c r="H163">
        <v>44</v>
      </c>
      <c r="I163">
        <v>6735</v>
      </c>
      <c r="J163">
        <v>79</v>
      </c>
      <c r="K163">
        <v>77</v>
      </c>
      <c r="L163">
        <v>76</v>
      </c>
      <c r="M163">
        <v>4</v>
      </c>
      <c r="N163" t="s">
        <v>29</v>
      </c>
      <c r="O163" s="40">
        <v>0.52829999999999999</v>
      </c>
      <c r="P163">
        <v>1.87</v>
      </c>
    </row>
    <row r="164" spans="1:16" x14ac:dyDescent="0.25">
      <c r="A164" t="s">
        <v>313</v>
      </c>
      <c r="B164" t="s">
        <v>307</v>
      </c>
      <c r="C164">
        <v>466.9</v>
      </c>
      <c r="D164">
        <v>28</v>
      </c>
      <c r="E164">
        <v>19</v>
      </c>
      <c r="F164">
        <v>17</v>
      </c>
      <c r="G164">
        <v>26.2</v>
      </c>
      <c r="H164">
        <v>121</v>
      </c>
      <c r="I164">
        <v>4490</v>
      </c>
      <c r="J164">
        <v>84</v>
      </c>
      <c r="K164">
        <v>78</v>
      </c>
      <c r="L164">
        <v>80</v>
      </c>
      <c r="M164">
        <v>4.5</v>
      </c>
      <c r="N164" t="s">
        <v>29</v>
      </c>
      <c r="O164" s="40">
        <v>0.56599999999999995</v>
      </c>
      <c r="P164">
        <v>1.85</v>
      </c>
    </row>
    <row r="165" spans="1:16" x14ac:dyDescent="0.25">
      <c r="A165" t="s">
        <v>314</v>
      </c>
      <c r="B165" t="s">
        <v>307</v>
      </c>
      <c r="C165">
        <v>142.47999999999999</v>
      </c>
      <c r="D165">
        <v>28</v>
      </c>
      <c r="E165">
        <v>18</v>
      </c>
      <c r="F165">
        <v>11</v>
      </c>
      <c r="G165">
        <v>25.6</v>
      </c>
      <c r="H165">
        <v>161</v>
      </c>
      <c r="I165">
        <v>3818</v>
      </c>
      <c r="J165">
        <v>75</v>
      </c>
      <c r="K165">
        <v>75</v>
      </c>
      <c r="L165">
        <v>73</v>
      </c>
      <c r="M165">
        <v>3.5</v>
      </c>
      <c r="N165" t="s">
        <v>46</v>
      </c>
      <c r="O165" s="40">
        <v>0.27500000000000002</v>
      </c>
      <c r="P165">
        <v>1.38</v>
      </c>
    </row>
    <row r="166" spans="1:16" x14ac:dyDescent="0.25">
      <c r="A166" t="s">
        <v>315</v>
      </c>
      <c r="B166" t="s">
        <v>307</v>
      </c>
      <c r="C166">
        <v>184.13</v>
      </c>
      <c r="D166">
        <v>30</v>
      </c>
      <c r="E166">
        <v>20</v>
      </c>
      <c r="F166">
        <v>13</v>
      </c>
      <c r="G166">
        <v>26</v>
      </c>
      <c r="H166">
        <v>162</v>
      </c>
      <c r="I166">
        <v>3817</v>
      </c>
      <c r="J166">
        <v>76</v>
      </c>
      <c r="K166">
        <v>74</v>
      </c>
      <c r="L166">
        <v>77</v>
      </c>
      <c r="M166">
        <v>4</v>
      </c>
      <c r="N166" t="s">
        <v>46</v>
      </c>
      <c r="O166" s="40">
        <v>0.2195</v>
      </c>
      <c r="P166">
        <v>1.34</v>
      </c>
    </row>
    <row r="167" spans="1:16" x14ac:dyDescent="0.25">
      <c r="A167" t="s">
        <v>316</v>
      </c>
      <c r="B167" t="s">
        <v>307</v>
      </c>
      <c r="C167">
        <v>101.6</v>
      </c>
      <c r="D167">
        <v>26</v>
      </c>
      <c r="E167">
        <v>22</v>
      </c>
      <c r="F167">
        <v>5</v>
      </c>
      <c r="G167">
        <v>27.4</v>
      </c>
      <c r="H167">
        <v>217</v>
      </c>
      <c r="I167">
        <v>3100</v>
      </c>
      <c r="J167">
        <v>76</v>
      </c>
      <c r="K167">
        <v>75</v>
      </c>
      <c r="L167">
        <v>72</v>
      </c>
      <c r="M167">
        <v>4</v>
      </c>
      <c r="N167" t="s">
        <v>29</v>
      </c>
      <c r="O167" s="40">
        <v>0.27500000000000002</v>
      </c>
      <c r="P167">
        <v>1.1299999999999999</v>
      </c>
    </row>
    <row r="168" spans="1:16" x14ac:dyDescent="0.25">
      <c r="A168" t="s">
        <v>317</v>
      </c>
      <c r="B168" t="s">
        <v>307</v>
      </c>
      <c r="C168">
        <v>216.9</v>
      </c>
      <c r="D168">
        <v>27</v>
      </c>
      <c r="E168">
        <v>15</v>
      </c>
      <c r="F168">
        <v>12</v>
      </c>
      <c r="G168">
        <v>27.2</v>
      </c>
      <c r="H168">
        <v>218</v>
      </c>
      <c r="I168">
        <v>3086</v>
      </c>
      <c r="J168">
        <v>79</v>
      </c>
      <c r="K168">
        <v>77</v>
      </c>
      <c r="L168">
        <v>72</v>
      </c>
      <c r="M168">
        <v>4</v>
      </c>
      <c r="N168" t="s">
        <v>29</v>
      </c>
      <c r="O168" s="40">
        <v>0.43590000000000001</v>
      </c>
      <c r="P168">
        <v>1.64</v>
      </c>
    </row>
    <row r="169" spans="1:16" x14ac:dyDescent="0.25">
      <c r="A169" t="s">
        <v>318</v>
      </c>
      <c r="B169" t="s">
        <v>307</v>
      </c>
      <c r="C169">
        <v>78.430000000000007</v>
      </c>
      <c r="D169">
        <v>34</v>
      </c>
      <c r="E169">
        <v>21</v>
      </c>
      <c r="F169">
        <v>4</v>
      </c>
      <c r="G169">
        <v>25.5</v>
      </c>
      <c r="H169">
        <v>219</v>
      </c>
      <c r="I169">
        <v>3080</v>
      </c>
      <c r="J169">
        <v>74</v>
      </c>
      <c r="K169">
        <v>74</v>
      </c>
      <c r="L169">
        <v>73</v>
      </c>
      <c r="M169">
        <v>3.5</v>
      </c>
      <c r="N169" t="s">
        <v>43</v>
      </c>
      <c r="O169" s="40">
        <v>0.122</v>
      </c>
      <c r="P169">
        <v>1.1000000000000001</v>
      </c>
    </row>
    <row r="170" spans="1:16" x14ac:dyDescent="0.25">
      <c r="A170" t="s">
        <v>319</v>
      </c>
      <c r="B170" t="s">
        <v>307</v>
      </c>
      <c r="C170">
        <v>153.53</v>
      </c>
      <c r="D170">
        <v>29</v>
      </c>
      <c r="E170">
        <v>17</v>
      </c>
      <c r="F170">
        <v>11</v>
      </c>
      <c r="G170">
        <v>26.9</v>
      </c>
      <c r="H170">
        <v>246</v>
      </c>
      <c r="I170">
        <v>2866</v>
      </c>
      <c r="J170">
        <v>76</v>
      </c>
      <c r="K170">
        <v>73</v>
      </c>
      <c r="L170">
        <v>73</v>
      </c>
      <c r="M170">
        <v>4</v>
      </c>
      <c r="N170" t="s">
        <v>29</v>
      </c>
      <c r="O170" s="40">
        <v>0.26829999999999998</v>
      </c>
      <c r="P170">
        <v>1.1499999999999999</v>
      </c>
    </row>
    <row r="171" spans="1:16" x14ac:dyDescent="0.25">
      <c r="A171" t="s">
        <v>320</v>
      </c>
      <c r="B171" t="s">
        <v>307</v>
      </c>
      <c r="C171">
        <v>248.8</v>
      </c>
      <c r="D171">
        <v>26</v>
      </c>
      <c r="E171">
        <v>16</v>
      </c>
      <c r="F171">
        <v>14</v>
      </c>
      <c r="G171">
        <v>26.8</v>
      </c>
      <c r="H171">
        <v>268</v>
      </c>
      <c r="I171">
        <v>2679</v>
      </c>
      <c r="J171">
        <v>78</v>
      </c>
      <c r="K171">
        <v>76</v>
      </c>
      <c r="L171">
        <v>75</v>
      </c>
      <c r="M171">
        <v>4</v>
      </c>
      <c r="N171" t="s">
        <v>29</v>
      </c>
      <c r="O171" s="40">
        <v>0.26829999999999998</v>
      </c>
      <c r="P171">
        <v>1.24</v>
      </c>
    </row>
    <row r="172" spans="1:16" x14ac:dyDescent="0.25">
      <c r="A172" t="s">
        <v>321</v>
      </c>
      <c r="B172" t="s">
        <v>307</v>
      </c>
      <c r="C172">
        <v>124.8</v>
      </c>
      <c r="D172">
        <v>27</v>
      </c>
      <c r="E172">
        <v>12</v>
      </c>
      <c r="F172">
        <v>8</v>
      </c>
      <c r="G172">
        <v>27.1</v>
      </c>
      <c r="H172">
        <v>279</v>
      </c>
      <c r="I172">
        <v>2588</v>
      </c>
      <c r="J172">
        <v>76</v>
      </c>
      <c r="K172">
        <v>75</v>
      </c>
      <c r="L172">
        <v>73</v>
      </c>
      <c r="M172">
        <v>4</v>
      </c>
      <c r="N172" t="s">
        <v>43</v>
      </c>
      <c r="O172" s="40">
        <v>0.4</v>
      </c>
      <c r="P172">
        <v>1.35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34E95-C2FF-486D-95E8-15F028517725}">
  <sheetPr codeName="Hoja2"/>
  <dimension ref="A1:BN881"/>
  <sheetViews>
    <sheetView tabSelected="1" workbookViewId="0">
      <pane ySplit="1" topLeftCell="A861" activePane="bottomLeft" state="frozen"/>
      <selection pane="bottomLeft" activeCell="A881" sqref="A881"/>
    </sheetView>
  </sheetViews>
  <sheetFormatPr baseColWidth="10" defaultRowHeight="15" x14ac:dyDescent="0.25"/>
  <cols>
    <col min="7" max="7" width="13.85546875" style="40" customWidth="1" collapsed="1"/>
    <col min="8" max="8" width="12.5703125" style="40" bestFit="1" customWidth="1" collapsed="1"/>
    <col min="9" max="9" width="12.5703125" style="40" customWidth="1" collapsed="1"/>
    <col min="31" max="31" width="14" customWidth="1" collapsed="1"/>
    <col min="62" max="62" width="12.85546875" customWidth="1" collapsed="1"/>
    <col min="63" max="63" width="24.140625" bestFit="1" customWidth="1" collapsed="1"/>
    <col min="64" max="64" width="27.85546875" bestFit="1" customWidth="1" collapsed="1"/>
    <col min="65" max="65" width="17.42578125" customWidth="1" collapsed="1"/>
    <col min="66" max="66" width="16.85546875" bestFit="1" customWidth="1" collapsed="1"/>
  </cols>
  <sheetData>
    <row r="1" spans="1:66" x14ac:dyDescent="0.25">
      <c r="A1" s="57" t="s">
        <v>0</v>
      </c>
      <c r="B1" s="57" t="s">
        <v>5</v>
      </c>
      <c r="C1" s="57" t="s">
        <v>336</v>
      </c>
      <c r="D1" s="58" t="s">
        <v>1</v>
      </c>
      <c r="E1" s="58" t="s">
        <v>2</v>
      </c>
      <c r="F1" s="58" t="s">
        <v>3</v>
      </c>
      <c r="G1" s="59" t="s">
        <v>296</v>
      </c>
      <c r="H1" s="59" t="s">
        <v>295</v>
      </c>
      <c r="I1" s="59" t="s">
        <v>294</v>
      </c>
      <c r="J1" s="58" t="s">
        <v>182</v>
      </c>
      <c r="K1" s="58" t="s">
        <v>183</v>
      </c>
      <c r="L1" s="58" t="s">
        <v>184</v>
      </c>
      <c r="M1" s="58" t="s">
        <v>185</v>
      </c>
      <c r="N1" s="58" t="s">
        <v>186</v>
      </c>
      <c r="O1" s="58" t="s">
        <v>187</v>
      </c>
      <c r="P1" s="58" t="s">
        <v>188</v>
      </c>
      <c r="Q1" s="58" t="s">
        <v>189</v>
      </c>
      <c r="R1" s="58" t="s">
        <v>190</v>
      </c>
      <c r="S1" s="58" t="s">
        <v>192</v>
      </c>
      <c r="T1" s="58" t="s">
        <v>193</v>
      </c>
      <c r="U1" s="58" t="s">
        <v>194</v>
      </c>
      <c r="V1" s="58" t="s">
        <v>195</v>
      </c>
      <c r="W1" s="58" t="s">
        <v>196</v>
      </c>
      <c r="X1" s="58" t="s">
        <v>197</v>
      </c>
      <c r="Y1" s="58" t="s">
        <v>198</v>
      </c>
      <c r="Z1" s="58" t="s">
        <v>199</v>
      </c>
      <c r="AA1" s="58" t="s">
        <v>200</v>
      </c>
      <c r="AB1" s="58" t="s">
        <v>201</v>
      </c>
      <c r="AC1" s="58" t="s">
        <v>202</v>
      </c>
      <c r="AD1" s="58" t="s">
        <v>203</v>
      </c>
      <c r="AE1" s="53" t="s">
        <v>81</v>
      </c>
      <c r="AF1" s="58" t="s">
        <v>207</v>
      </c>
      <c r="AG1" s="58" t="s">
        <v>208</v>
      </c>
      <c r="AH1" s="60" t="s">
        <v>209</v>
      </c>
      <c r="AI1" s="58" t="s">
        <v>210</v>
      </c>
      <c r="AJ1" s="58" t="s">
        <v>211</v>
      </c>
      <c r="AK1" s="58" t="s">
        <v>212</v>
      </c>
      <c r="AL1" s="58" t="s">
        <v>213</v>
      </c>
      <c r="AM1" s="58" t="s">
        <v>214</v>
      </c>
      <c r="AN1" s="58" t="s">
        <v>215</v>
      </c>
      <c r="AO1" s="58" t="s">
        <v>216</v>
      </c>
      <c r="AP1" s="58" t="s">
        <v>217</v>
      </c>
      <c r="AQ1" s="58" t="s">
        <v>218</v>
      </c>
      <c r="AR1" s="60" t="s">
        <v>219</v>
      </c>
      <c r="AS1" s="53" t="s">
        <v>82</v>
      </c>
      <c r="AT1" s="58" t="s">
        <v>220</v>
      </c>
      <c r="AU1" s="58" t="s">
        <v>221</v>
      </c>
      <c r="AV1" s="60" t="s">
        <v>222</v>
      </c>
      <c r="AW1" s="58" t="s">
        <v>223</v>
      </c>
      <c r="AX1" s="58" t="s">
        <v>224</v>
      </c>
      <c r="AY1" s="58" t="s">
        <v>225</v>
      </c>
      <c r="AZ1" s="58" t="s">
        <v>226</v>
      </c>
      <c r="BA1" s="58" t="s">
        <v>227</v>
      </c>
      <c r="BB1" s="58" t="s">
        <v>228</v>
      </c>
      <c r="BC1" s="58" t="s">
        <v>229</v>
      </c>
      <c r="BD1" s="58" t="s">
        <v>230</v>
      </c>
      <c r="BE1" s="58" t="s">
        <v>231</v>
      </c>
      <c r="BF1" s="60" t="s">
        <v>232</v>
      </c>
      <c r="BG1" s="58" t="s">
        <v>205</v>
      </c>
      <c r="BH1" s="58" t="s">
        <v>204</v>
      </c>
      <c r="BI1" s="58" t="s">
        <v>206</v>
      </c>
      <c r="BJ1" s="58" t="s">
        <v>233</v>
      </c>
      <c r="BK1" s="58" t="s">
        <v>289</v>
      </c>
      <c r="BL1" s="58" t="s">
        <v>290</v>
      </c>
      <c r="BM1" s="58" t="s">
        <v>291</v>
      </c>
      <c r="BN1" s="58" t="s">
        <v>292</v>
      </c>
    </row>
    <row r="2" spans="1:66" x14ac:dyDescent="0.25">
      <c r="A2">
        <v>1</v>
      </c>
      <c r="B2">
        <v>1</v>
      </c>
      <c r="D2">
        <v>2.3980000000000001</v>
      </c>
      <c r="E2">
        <v>3.37</v>
      </c>
      <c r="F2">
        <v>2.8140000000000001</v>
      </c>
      <c r="J2">
        <v>2.3199999999999998</v>
      </c>
      <c r="K2">
        <v>3.25</v>
      </c>
      <c r="L2">
        <v>2.8</v>
      </c>
      <c r="M2">
        <v>2.42</v>
      </c>
      <c r="N2">
        <v>3.45</v>
      </c>
      <c r="O2">
        <v>2.8</v>
      </c>
      <c r="P2">
        <v>2.4500000000000002</v>
      </c>
      <c r="Q2">
        <v>3.4</v>
      </c>
      <c r="R2">
        <v>2.8</v>
      </c>
      <c r="S2">
        <v>0.40258643098518332</v>
      </c>
      <c r="T2">
        <v>0.26384195476995054</v>
      </c>
      <c r="U2">
        <v>0.3335716142448662</v>
      </c>
      <c r="V2">
        <v>0.40088289685617123</v>
      </c>
      <c r="W2">
        <v>0.25263974228956626</v>
      </c>
      <c r="X2">
        <v>0.34647736085426234</v>
      </c>
      <c r="Y2">
        <v>0.39641999563414099</v>
      </c>
      <c r="Z2">
        <v>0.25671250818598562</v>
      </c>
      <c r="AA2">
        <v>0.34686749617987345</v>
      </c>
      <c r="AB2">
        <v>0.40077533339758065</v>
      </c>
      <c r="AC2">
        <v>0.25769117713671774</v>
      </c>
      <c r="AD2">
        <v>0.34153348946570167</v>
      </c>
      <c r="AE2" t="s">
        <v>165</v>
      </c>
      <c r="AF2" t="s">
        <v>160</v>
      </c>
      <c r="AG2">
        <v>14.63</v>
      </c>
      <c r="AH2">
        <v>27</v>
      </c>
      <c r="AI2">
        <v>15</v>
      </c>
      <c r="AJ2">
        <v>6</v>
      </c>
      <c r="AK2">
        <v>25.6</v>
      </c>
      <c r="AL2">
        <v>263</v>
      </c>
      <c r="AM2">
        <v>2715</v>
      </c>
      <c r="AN2">
        <v>70</v>
      </c>
      <c r="AO2">
        <v>69</v>
      </c>
      <c r="AP2">
        <v>68</v>
      </c>
      <c r="AQ2">
        <v>3</v>
      </c>
      <c r="AR2" t="s">
        <v>29</v>
      </c>
      <c r="AS2" t="s">
        <v>170</v>
      </c>
      <c r="AT2" t="s">
        <v>160</v>
      </c>
      <c r="AU2">
        <v>19.2</v>
      </c>
      <c r="AV2">
        <v>27</v>
      </c>
      <c r="AW2">
        <v>13</v>
      </c>
      <c r="AX2">
        <v>3</v>
      </c>
      <c r="AY2">
        <v>24.8</v>
      </c>
      <c r="AZ2">
        <v>315</v>
      </c>
      <c r="BA2">
        <v>2380</v>
      </c>
      <c r="BB2">
        <v>69</v>
      </c>
      <c r="BC2">
        <v>69</v>
      </c>
      <c r="BD2">
        <v>70</v>
      </c>
      <c r="BE2">
        <v>3</v>
      </c>
      <c r="BF2" t="s">
        <v>29</v>
      </c>
      <c r="BG2">
        <v>-8</v>
      </c>
      <c r="BH2">
        <v>-7</v>
      </c>
      <c r="BI2">
        <v>0.35499999999999998</v>
      </c>
      <c r="BJ2" t="s">
        <v>234</v>
      </c>
      <c r="BK2">
        <v>0.59260000000000002</v>
      </c>
      <c r="BL2">
        <v>0.375</v>
      </c>
      <c r="BM2">
        <v>1.81</v>
      </c>
      <c r="BN2">
        <v>1.29</v>
      </c>
    </row>
    <row r="3" spans="1:66" x14ac:dyDescent="0.25">
      <c r="A3">
        <v>3</v>
      </c>
      <c r="B3">
        <v>-3</v>
      </c>
      <c r="D3">
        <v>1.544</v>
      </c>
      <c r="E3">
        <v>4.1980000000000004</v>
      </c>
      <c r="F3">
        <v>5.4119999999999999</v>
      </c>
      <c r="J3">
        <v>1.49</v>
      </c>
      <c r="K3">
        <v>4.0999999999999996</v>
      </c>
      <c r="L3">
        <v>5.5</v>
      </c>
      <c r="M3">
        <v>1.56</v>
      </c>
      <c r="N3">
        <v>4.3</v>
      </c>
      <c r="O3">
        <v>5.4</v>
      </c>
      <c r="P3">
        <v>1.58</v>
      </c>
      <c r="Q3">
        <v>4.1500000000000004</v>
      </c>
      <c r="R3">
        <v>5.3</v>
      </c>
      <c r="S3">
        <v>0.64423936704652429</v>
      </c>
      <c r="T3">
        <v>0.1812303316990537</v>
      </c>
      <c r="U3">
        <v>0.17453030125442201</v>
      </c>
      <c r="V3">
        <v>0.63702331588607164</v>
      </c>
      <c r="W3">
        <v>0.17894772619128546</v>
      </c>
      <c r="X3">
        <v>0.1840289579226429</v>
      </c>
      <c r="Y3">
        <v>0.62706383029132773</v>
      </c>
      <c r="Z3">
        <v>0.18600015992371047</v>
      </c>
      <c r="AA3">
        <v>0.18693600978496189</v>
      </c>
      <c r="AB3">
        <v>0.63674212134571273</v>
      </c>
      <c r="AC3">
        <v>0.18152271948140278</v>
      </c>
      <c r="AD3">
        <v>0.18173515917288455</v>
      </c>
      <c r="AE3" t="s">
        <v>174</v>
      </c>
      <c r="AF3" t="s">
        <v>160</v>
      </c>
      <c r="AG3">
        <v>23.93</v>
      </c>
      <c r="AH3">
        <v>27</v>
      </c>
      <c r="AI3">
        <v>14</v>
      </c>
      <c r="AJ3">
        <v>4</v>
      </c>
      <c r="AK3">
        <v>27</v>
      </c>
      <c r="AL3">
        <v>374</v>
      </c>
      <c r="AM3">
        <v>1991</v>
      </c>
      <c r="AN3">
        <v>72</v>
      </c>
      <c r="AO3">
        <v>73</v>
      </c>
      <c r="AP3">
        <v>70</v>
      </c>
      <c r="AQ3">
        <v>3.5</v>
      </c>
      <c r="AR3" t="s">
        <v>29</v>
      </c>
      <c r="AS3" t="s">
        <v>176</v>
      </c>
      <c r="AT3" t="s">
        <v>160</v>
      </c>
      <c r="AU3">
        <v>18.73</v>
      </c>
      <c r="AV3">
        <v>29</v>
      </c>
      <c r="AW3">
        <v>21</v>
      </c>
      <c r="AX3">
        <v>8</v>
      </c>
      <c r="AY3">
        <v>26.5</v>
      </c>
      <c r="AZ3">
        <v>388</v>
      </c>
      <c r="BA3">
        <v>1901</v>
      </c>
      <c r="BB3">
        <v>67</v>
      </c>
      <c r="BC3">
        <v>71</v>
      </c>
      <c r="BD3">
        <v>69</v>
      </c>
      <c r="BE3">
        <v>3</v>
      </c>
      <c r="BF3" t="s">
        <v>46</v>
      </c>
      <c r="BG3">
        <v>-5</v>
      </c>
      <c r="BH3">
        <v>5</v>
      </c>
      <c r="BI3">
        <v>0.30199999999999999</v>
      </c>
      <c r="BJ3" t="s">
        <v>234</v>
      </c>
      <c r="BK3">
        <v>0.48</v>
      </c>
      <c r="BL3">
        <v>0.16669999999999999</v>
      </c>
      <c r="BM3">
        <v>1.68</v>
      </c>
      <c r="BN3">
        <v>1.29</v>
      </c>
    </row>
    <row r="4" spans="1:66" x14ac:dyDescent="0.25">
      <c r="A4">
        <v>1</v>
      </c>
      <c r="B4">
        <v>3</v>
      </c>
      <c r="D4">
        <v>1.9674999999999998</v>
      </c>
      <c r="E4">
        <v>3.3499999999999996</v>
      </c>
      <c r="F4">
        <v>3.75</v>
      </c>
      <c r="J4">
        <v>1.92</v>
      </c>
      <c r="K4">
        <v>3.2</v>
      </c>
      <c r="L4">
        <v>3.75</v>
      </c>
      <c r="M4">
        <v>1.99</v>
      </c>
      <c r="N4">
        <v>3.5</v>
      </c>
      <c r="O4">
        <v>3.65</v>
      </c>
      <c r="P4">
        <v>1.98</v>
      </c>
      <c r="Q4">
        <v>3.35</v>
      </c>
      <c r="R4">
        <v>3.75</v>
      </c>
      <c r="S4">
        <v>0.49090154045529882</v>
      </c>
      <c r="T4">
        <v>0.25775687083158805</v>
      </c>
      <c r="U4">
        <v>0.25134158871311302</v>
      </c>
      <c r="V4">
        <v>0.49092566926028225</v>
      </c>
      <c r="W4">
        <v>0.2414189658553447</v>
      </c>
      <c r="X4">
        <v>0.26765536488437303</v>
      </c>
      <c r="Y4">
        <v>0.49049709328807656</v>
      </c>
      <c r="Z4">
        <v>0.25052044145581898</v>
      </c>
      <c r="AA4">
        <v>0.25898246525610441</v>
      </c>
      <c r="AB4">
        <v>0.49180182937619921</v>
      </c>
      <c r="AC4">
        <v>0.25007549976025667</v>
      </c>
      <c r="AD4">
        <v>0.25812267086354407</v>
      </c>
      <c r="AE4" t="s">
        <v>167</v>
      </c>
      <c r="AF4" t="s">
        <v>160</v>
      </c>
      <c r="AG4">
        <v>22.3</v>
      </c>
      <c r="AH4">
        <v>29</v>
      </c>
      <c r="AI4">
        <v>11</v>
      </c>
      <c r="AJ4">
        <v>6</v>
      </c>
      <c r="AK4">
        <v>25.1</v>
      </c>
      <c r="AL4">
        <v>300</v>
      </c>
      <c r="AM4">
        <v>2452</v>
      </c>
      <c r="AN4">
        <v>70</v>
      </c>
      <c r="AO4">
        <v>69</v>
      </c>
      <c r="AP4">
        <v>70</v>
      </c>
      <c r="AQ4">
        <v>3</v>
      </c>
      <c r="AR4" t="s">
        <v>29</v>
      </c>
      <c r="AS4" t="s">
        <v>171</v>
      </c>
      <c r="AT4" t="s">
        <v>160</v>
      </c>
      <c r="AU4">
        <v>17.78</v>
      </c>
      <c r="AV4">
        <v>27</v>
      </c>
      <c r="AW4">
        <v>12</v>
      </c>
      <c r="AX4">
        <v>5</v>
      </c>
      <c r="AY4">
        <v>26.3</v>
      </c>
      <c r="AZ4">
        <v>332</v>
      </c>
      <c r="BA4">
        <v>2288</v>
      </c>
      <c r="BB4">
        <v>74</v>
      </c>
      <c r="BC4">
        <v>69</v>
      </c>
      <c r="BD4">
        <v>67</v>
      </c>
      <c r="BE4">
        <v>3</v>
      </c>
      <c r="BF4" t="s">
        <v>46</v>
      </c>
      <c r="BG4">
        <v>20</v>
      </c>
      <c r="BH4">
        <v>35</v>
      </c>
      <c r="BI4">
        <v>0.434</v>
      </c>
      <c r="BJ4" t="s">
        <v>234</v>
      </c>
      <c r="BK4">
        <v>0.375</v>
      </c>
      <c r="BL4">
        <v>0.42109999999999997</v>
      </c>
      <c r="BM4">
        <v>1.21</v>
      </c>
      <c r="BN4">
        <v>1.68</v>
      </c>
    </row>
    <row r="5" spans="1:66" x14ac:dyDescent="0.25">
      <c r="A5">
        <v>1</v>
      </c>
      <c r="B5">
        <v>2</v>
      </c>
      <c r="D5">
        <v>2.4824999999999999</v>
      </c>
      <c r="E5">
        <v>3.3250000000000002</v>
      </c>
      <c r="F5">
        <v>2.7074999999999996</v>
      </c>
      <c r="J5">
        <v>2.4</v>
      </c>
      <c r="K5">
        <v>3.2</v>
      </c>
      <c r="L5">
        <v>2.7</v>
      </c>
      <c r="M5">
        <v>2.5499999999999998</v>
      </c>
      <c r="N5">
        <v>3.45</v>
      </c>
      <c r="O5">
        <v>2.65</v>
      </c>
      <c r="P5">
        <v>2.5</v>
      </c>
      <c r="Q5">
        <v>3.35</v>
      </c>
      <c r="R5">
        <v>2.68</v>
      </c>
      <c r="S5">
        <v>0.38741721854304645</v>
      </c>
      <c r="T5">
        <v>0.26821192052980131</v>
      </c>
      <c r="U5">
        <v>0.3443708609271523</v>
      </c>
      <c r="V5">
        <v>0.38059258796715478</v>
      </c>
      <c r="W5">
        <v>0.25317680851728119</v>
      </c>
      <c r="X5">
        <v>0.36623060351556402</v>
      </c>
      <c r="Y5">
        <v>0.38318123632159229</v>
      </c>
      <c r="Z5">
        <v>0.25937358054259402</v>
      </c>
      <c r="AA5">
        <v>0.35744518313581369</v>
      </c>
      <c r="AB5">
        <v>0.38532791054349474</v>
      </c>
      <c r="AC5">
        <v>0.26127658056467457</v>
      </c>
      <c r="AD5">
        <v>0.35339550889183069</v>
      </c>
      <c r="AE5" t="s">
        <v>169</v>
      </c>
      <c r="AF5" t="s">
        <v>160</v>
      </c>
      <c r="AG5">
        <v>29.93</v>
      </c>
      <c r="AH5">
        <v>28</v>
      </c>
      <c r="AI5">
        <v>15</v>
      </c>
      <c r="AJ5">
        <v>7</v>
      </c>
      <c r="AK5">
        <v>25.5</v>
      </c>
      <c r="AL5">
        <v>308</v>
      </c>
      <c r="AM5">
        <v>2420</v>
      </c>
      <c r="AN5">
        <v>78</v>
      </c>
      <c r="AO5">
        <v>72</v>
      </c>
      <c r="AP5">
        <v>66</v>
      </c>
      <c r="AQ5">
        <v>3</v>
      </c>
      <c r="AR5" t="s">
        <v>29</v>
      </c>
      <c r="AS5" t="s">
        <v>163</v>
      </c>
      <c r="AT5" t="s">
        <v>160</v>
      </c>
      <c r="AU5">
        <v>26.63</v>
      </c>
      <c r="AV5">
        <v>25</v>
      </c>
      <c r="AW5">
        <v>11</v>
      </c>
      <c r="AX5">
        <v>7</v>
      </c>
      <c r="AY5">
        <v>26.3</v>
      </c>
      <c r="AZ5">
        <v>199</v>
      </c>
      <c r="BA5">
        <v>3295</v>
      </c>
      <c r="BB5">
        <v>73</v>
      </c>
      <c r="BC5">
        <v>73</v>
      </c>
      <c r="BD5">
        <v>69</v>
      </c>
      <c r="BE5">
        <v>3.5</v>
      </c>
      <c r="BF5" t="s">
        <v>29</v>
      </c>
      <c r="BG5">
        <v>3</v>
      </c>
      <c r="BH5">
        <v>19</v>
      </c>
      <c r="BI5">
        <v>0.41</v>
      </c>
      <c r="BJ5" t="s">
        <v>234</v>
      </c>
      <c r="BK5">
        <v>0.25</v>
      </c>
      <c r="BL5">
        <v>0.48280000000000001</v>
      </c>
      <c r="BM5">
        <v>1.25</v>
      </c>
      <c r="BN5">
        <v>1.93</v>
      </c>
    </row>
    <row r="6" spans="1:66" x14ac:dyDescent="0.25">
      <c r="A6">
        <v>1</v>
      </c>
      <c r="B6">
        <v>1</v>
      </c>
      <c r="D6">
        <v>1.9425000000000001</v>
      </c>
      <c r="E6">
        <v>3.1875000000000004</v>
      </c>
      <c r="F6">
        <v>3.9499999999999993</v>
      </c>
      <c r="J6">
        <v>1.88</v>
      </c>
      <c r="K6">
        <v>3.15</v>
      </c>
      <c r="L6">
        <v>3.8</v>
      </c>
      <c r="M6">
        <v>1.99</v>
      </c>
      <c r="N6">
        <v>3.2</v>
      </c>
      <c r="O6">
        <v>4.0999999999999996</v>
      </c>
      <c r="P6">
        <v>2</v>
      </c>
      <c r="Q6">
        <v>3.2</v>
      </c>
      <c r="R6">
        <v>4.05</v>
      </c>
      <c r="S6">
        <v>0.49555783524310937</v>
      </c>
      <c r="T6">
        <v>0.25927144626819454</v>
      </c>
      <c r="U6">
        <v>0.24517071848869623</v>
      </c>
      <c r="V6">
        <v>0.49763379123016216</v>
      </c>
      <c r="W6">
        <v>0.2608317588800762</v>
      </c>
      <c r="X6">
        <v>0.24153444988976164</v>
      </c>
      <c r="Y6">
        <v>0.49444698416113159</v>
      </c>
      <c r="Z6">
        <v>0.26138166563584048</v>
      </c>
      <c r="AA6">
        <v>0.24417135020302794</v>
      </c>
      <c r="AB6">
        <v>0.49632839333651729</v>
      </c>
      <c r="AC6">
        <v>0.25955102057965895</v>
      </c>
      <c r="AD6">
        <v>0.24412058608382375</v>
      </c>
      <c r="AE6" t="s">
        <v>235</v>
      </c>
      <c r="AF6" t="s">
        <v>108</v>
      </c>
      <c r="AG6">
        <v>50.33</v>
      </c>
      <c r="AH6">
        <v>33</v>
      </c>
      <c r="AI6">
        <v>4</v>
      </c>
      <c r="AJ6">
        <v>1</v>
      </c>
      <c r="AK6">
        <v>25.3</v>
      </c>
      <c r="AL6">
        <v>75</v>
      </c>
      <c r="AM6">
        <v>5476</v>
      </c>
      <c r="AN6">
        <v>75</v>
      </c>
      <c r="AO6">
        <v>75</v>
      </c>
      <c r="AP6">
        <v>75</v>
      </c>
      <c r="AQ6">
        <v>4</v>
      </c>
      <c r="AR6" t="s">
        <v>29</v>
      </c>
      <c r="AS6" t="s">
        <v>111</v>
      </c>
      <c r="AT6" t="s">
        <v>108</v>
      </c>
      <c r="AU6">
        <v>33.93</v>
      </c>
      <c r="AV6">
        <v>41</v>
      </c>
      <c r="AW6">
        <v>4</v>
      </c>
      <c r="AX6">
        <v>2</v>
      </c>
      <c r="AY6">
        <v>24.7</v>
      </c>
      <c r="AZ6">
        <v>15</v>
      </c>
      <c r="BA6">
        <v>9286</v>
      </c>
      <c r="BB6">
        <v>70</v>
      </c>
      <c r="BC6">
        <v>71</v>
      </c>
      <c r="BD6">
        <v>72</v>
      </c>
      <c r="BE6">
        <v>3.5</v>
      </c>
      <c r="BF6" t="s">
        <v>29</v>
      </c>
      <c r="BG6">
        <v>3</v>
      </c>
      <c r="BH6">
        <v>12</v>
      </c>
      <c r="BI6">
        <v>0.3</v>
      </c>
      <c r="BJ6" t="s">
        <v>236</v>
      </c>
      <c r="BK6">
        <v>0.44619999999999999</v>
      </c>
      <c r="BL6">
        <v>0.43940000000000001</v>
      </c>
      <c r="BM6">
        <v>1.69</v>
      </c>
      <c r="BN6">
        <v>1.29</v>
      </c>
    </row>
    <row r="7" spans="1:66" x14ac:dyDescent="0.25">
      <c r="A7">
        <v>2</v>
      </c>
      <c r="B7">
        <v>0</v>
      </c>
      <c r="D7">
        <v>1.835</v>
      </c>
      <c r="E7">
        <v>3.2125000000000004</v>
      </c>
      <c r="F7">
        <v>4.4375</v>
      </c>
      <c r="J7">
        <v>1.77</v>
      </c>
      <c r="K7">
        <v>3.2</v>
      </c>
      <c r="L7">
        <v>4.3499999999999996</v>
      </c>
      <c r="M7">
        <v>1.88</v>
      </c>
      <c r="N7">
        <v>3.25</v>
      </c>
      <c r="O7">
        <v>4.5</v>
      </c>
      <c r="P7">
        <v>1.9</v>
      </c>
      <c r="Q7">
        <v>3.2</v>
      </c>
      <c r="R7">
        <v>4.5</v>
      </c>
      <c r="S7">
        <v>0.53422505266757647</v>
      </c>
      <c r="T7">
        <v>0.24840061555734072</v>
      </c>
      <c r="U7">
        <v>0.21737433177508284</v>
      </c>
      <c r="V7">
        <v>0.52839453458582397</v>
      </c>
      <c r="W7">
        <v>0.25085397096498718</v>
      </c>
      <c r="X7">
        <v>0.22075149444918868</v>
      </c>
      <c r="Y7">
        <v>0.52372426141450312</v>
      </c>
      <c r="Z7">
        <v>0.25514771709937328</v>
      </c>
      <c r="AA7">
        <v>0.22112802148612351</v>
      </c>
      <c r="AB7">
        <v>0.52997755339916219</v>
      </c>
      <c r="AC7">
        <v>0.250942860058327</v>
      </c>
      <c r="AD7">
        <v>0.21907958654251086</v>
      </c>
      <c r="AE7" t="s">
        <v>115</v>
      </c>
      <c r="AF7" t="s">
        <v>108</v>
      </c>
      <c r="AG7">
        <v>62.68</v>
      </c>
      <c r="AH7">
        <v>34</v>
      </c>
      <c r="AI7">
        <v>5</v>
      </c>
      <c r="AJ7">
        <v>3</v>
      </c>
      <c r="AK7">
        <v>25.6</v>
      </c>
      <c r="AL7">
        <v>64</v>
      </c>
      <c r="AM7">
        <v>6079</v>
      </c>
      <c r="AN7">
        <v>72</v>
      </c>
      <c r="AO7">
        <v>74</v>
      </c>
      <c r="AP7">
        <v>72</v>
      </c>
      <c r="AQ7">
        <v>3.5</v>
      </c>
      <c r="AR7" t="s">
        <v>29</v>
      </c>
      <c r="AS7" t="s">
        <v>120</v>
      </c>
      <c r="AT7" t="s">
        <v>108</v>
      </c>
      <c r="AU7">
        <v>16.53</v>
      </c>
      <c r="AV7">
        <v>31</v>
      </c>
      <c r="AW7">
        <v>3</v>
      </c>
      <c r="AX7">
        <v>0</v>
      </c>
      <c r="AY7">
        <v>28.7</v>
      </c>
      <c r="AZ7">
        <v>106</v>
      </c>
      <c r="BA7">
        <v>4727</v>
      </c>
      <c r="BB7">
        <v>68</v>
      </c>
      <c r="BC7">
        <v>71</v>
      </c>
      <c r="BD7">
        <v>70</v>
      </c>
      <c r="BE7">
        <v>3</v>
      </c>
      <c r="BF7" t="s">
        <v>28</v>
      </c>
      <c r="BG7">
        <v>7</v>
      </c>
      <c r="BH7">
        <v>10</v>
      </c>
      <c r="BI7">
        <v>0.75</v>
      </c>
      <c r="BJ7" t="s">
        <v>236</v>
      </c>
      <c r="BK7">
        <v>0.3448</v>
      </c>
      <c r="BL7">
        <v>0.4032</v>
      </c>
      <c r="BM7">
        <v>1.1599999999999999</v>
      </c>
      <c r="BN7">
        <v>1.26</v>
      </c>
    </row>
    <row r="8" spans="1:66" x14ac:dyDescent="0.25">
      <c r="A8">
        <v>2</v>
      </c>
      <c r="B8">
        <v>0</v>
      </c>
      <c r="D8">
        <v>1.4624999999999999</v>
      </c>
      <c r="E8">
        <v>4.05</v>
      </c>
      <c r="F8">
        <v>5.875</v>
      </c>
      <c r="J8">
        <v>1.46</v>
      </c>
      <c r="K8">
        <v>3.9</v>
      </c>
      <c r="L8">
        <v>5.5</v>
      </c>
      <c r="M8">
        <v>1.47</v>
      </c>
      <c r="N8">
        <v>4.2</v>
      </c>
      <c r="O8">
        <v>6.2</v>
      </c>
      <c r="P8">
        <v>1.46</v>
      </c>
      <c r="Q8">
        <v>4.2</v>
      </c>
      <c r="R8">
        <v>6.3</v>
      </c>
      <c r="S8">
        <v>0.64255327071483759</v>
      </c>
      <c r="T8">
        <v>0.18687804287722365</v>
      </c>
      <c r="U8">
        <v>0.17056868640793868</v>
      </c>
      <c r="V8">
        <v>0.66801733820353904</v>
      </c>
      <c r="W8">
        <v>0.17359790580304107</v>
      </c>
      <c r="X8">
        <v>0.15838475599341975</v>
      </c>
      <c r="Y8">
        <v>0.67182315745257526</v>
      </c>
      <c r="Z8">
        <v>0.17248449177270103</v>
      </c>
      <c r="AA8">
        <v>0.15569235077472379</v>
      </c>
      <c r="AB8">
        <v>0.65623675927144731</v>
      </c>
      <c r="AC8">
        <v>0.17995962083254735</v>
      </c>
      <c r="AD8">
        <v>0.16380361989600523</v>
      </c>
      <c r="AE8" t="s">
        <v>239</v>
      </c>
      <c r="AF8" t="s">
        <v>238</v>
      </c>
      <c r="AG8">
        <v>21.75</v>
      </c>
      <c r="AH8">
        <v>30</v>
      </c>
      <c r="AI8">
        <v>7</v>
      </c>
      <c r="AJ8">
        <v>4</v>
      </c>
      <c r="AK8">
        <v>27.8</v>
      </c>
      <c r="AL8">
        <v>129</v>
      </c>
      <c r="AM8">
        <v>4117</v>
      </c>
      <c r="AN8">
        <v>70</v>
      </c>
      <c r="AO8">
        <v>70</v>
      </c>
      <c r="AP8">
        <v>71</v>
      </c>
      <c r="AQ8">
        <v>3</v>
      </c>
      <c r="AR8" t="s">
        <v>29</v>
      </c>
      <c r="AS8" t="s">
        <v>243</v>
      </c>
      <c r="AT8" t="s">
        <v>238</v>
      </c>
      <c r="AU8">
        <v>3.43</v>
      </c>
      <c r="AV8">
        <v>35</v>
      </c>
      <c r="AW8">
        <v>11</v>
      </c>
      <c r="AX8">
        <v>0</v>
      </c>
      <c r="AY8">
        <v>26.5</v>
      </c>
      <c r="AZ8">
        <v>419</v>
      </c>
      <c r="BA8">
        <v>1470</v>
      </c>
      <c r="BB8">
        <v>62</v>
      </c>
      <c r="BC8">
        <v>60</v>
      </c>
      <c r="BD8">
        <v>61</v>
      </c>
      <c r="BE8">
        <v>1</v>
      </c>
      <c r="BF8" t="s">
        <v>46</v>
      </c>
      <c r="BG8">
        <v>6</v>
      </c>
      <c r="BH8">
        <v>11</v>
      </c>
      <c r="BI8">
        <v>0.6</v>
      </c>
      <c r="BJ8" t="s">
        <v>238</v>
      </c>
      <c r="BK8">
        <v>0.5</v>
      </c>
      <c r="BL8">
        <v>0.27029999999999998</v>
      </c>
      <c r="BM8">
        <v>1.77</v>
      </c>
      <c r="BN8">
        <v>1.1399999999999999</v>
      </c>
    </row>
    <row r="9" spans="1:66" x14ac:dyDescent="0.25">
      <c r="A9">
        <v>1</v>
      </c>
      <c r="B9">
        <v>1</v>
      </c>
      <c r="D9">
        <v>2.0225</v>
      </c>
      <c r="E9">
        <v>3.2250000000000001</v>
      </c>
      <c r="F9">
        <v>3.9375</v>
      </c>
      <c r="J9">
        <v>2.02</v>
      </c>
      <c r="K9">
        <v>3.15</v>
      </c>
      <c r="L9">
        <v>3.8</v>
      </c>
      <c r="M9">
        <v>2</v>
      </c>
      <c r="N9">
        <v>3.35</v>
      </c>
      <c r="O9">
        <v>4.0999999999999996</v>
      </c>
      <c r="P9">
        <v>2.0299999999999998</v>
      </c>
      <c r="Q9">
        <v>3.2</v>
      </c>
      <c r="R9">
        <v>4</v>
      </c>
      <c r="S9">
        <v>0.47926599401263997</v>
      </c>
      <c r="T9">
        <v>0.26596629338064087</v>
      </c>
      <c r="U9">
        <v>0.25476771260671915</v>
      </c>
      <c r="V9">
        <v>0.50306748466257667</v>
      </c>
      <c r="W9">
        <v>0.25153374233128833</v>
      </c>
      <c r="X9">
        <v>0.24539877300613497</v>
      </c>
      <c r="Y9">
        <v>0.4889949169129445</v>
      </c>
      <c r="Z9">
        <v>0.26284016275373623</v>
      </c>
      <c r="AA9">
        <v>0.2481649203333193</v>
      </c>
      <c r="AB9">
        <v>0.48821035511608757</v>
      </c>
      <c r="AC9">
        <v>0.26092195114104272</v>
      </c>
      <c r="AD9">
        <v>0.25086769374286971</v>
      </c>
      <c r="AE9" t="s">
        <v>32</v>
      </c>
      <c r="AF9" t="s">
        <v>23</v>
      </c>
      <c r="AG9">
        <v>196.35</v>
      </c>
      <c r="AH9">
        <v>33</v>
      </c>
      <c r="AI9">
        <v>6</v>
      </c>
      <c r="AJ9">
        <v>5</v>
      </c>
      <c r="AK9">
        <v>24.3</v>
      </c>
      <c r="AL9">
        <v>102</v>
      </c>
      <c r="AM9">
        <v>4815</v>
      </c>
      <c r="AN9">
        <v>76</v>
      </c>
      <c r="AO9">
        <v>77</v>
      </c>
      <c r="AP9">
        <v>76</v>
      </c>
      <c r="AQ9">
        <v>4</v>
      </c>
      <c r="AR9" t="s">
        <v>29</v>
      </c>
      <c r="AS9" t="s">
        <v>38</v>
      </c>
      <c r="AT9" t="s">
        <v>23</v>
      </c>
      <c r="AU9">
        <v>82.2</v>
      </c>
      <c r="AV9">
        <v>30</v>
      </c>
      <c r="AW9">
        <v>12</v>
      </c>
      <c r="AX9">
        <v>5</v>
      </c>
      <c r="AY9">
        <v>25.7</v>
      </c>
      <c r="AZ9">
        <v>228</v>
      </c>
      <c r="BA9">
        <v>3029</v>
      </c>
      <c r="BB9">
        <v>78</v>
      </c>
      <c r="BC9">
        <v>74</v>
      </c>
      <c r="BD9">
        <v>75</v>
      </c>
      <c r="BE9">
        <v>4</v>
      </c>
      <c r="BF9" t="s">
        <v>29</v>
      </c>
      <c r="BG9">
        <v>-1</v>
      </c>
      <c r="BH9">
        <v>13</v>
      </c>
      <c r="BI9">
        <v>0.36699999999999999</v>
      </c>
      <c r="BJ9" t="s">
        <v>266</v>
      </c>
      <c r="BK9">
        <v>0.47499999999999998</v>
      </c>
      <c r="BL9">
        <v>0.42420000000000002</v>
      </c>
      <c r="BM9">
        <v>1.43</v>
      </c>
      <c r="BN9">
        <v>1.33</v>
      </c>
    </row>
    <row r="10" spans="1:66" x14ac:dyDescent="0.25">
      <c r="A10">
        <v>3</v>
      </c>
      <c r="B10">
        <v>-2</v>
      </c>
      <c r="D10">
        <v>2.21</v>
      </c>
      <c r="E10">
        <v>3.3</v>
      </c>
      <c r="F10">
        <v>3.3250000000000002</v>
      </c>
      <c r="J10">
        <v>2.14</v>
      </c>
      <c r="K10">
        <v>3.25</v>
      </c>
      <c r="L10">
        <v>3.3</v>
      </c>
      <c r="M10">
        <v>2.2599999999999998</v>
      </c>
      <c r="N10">
        <v>3.35</v>
      </c>
      <c r="O10">
        <v>3.35</v>
      </c>
      <c r="P10">
        <v>2.27</v>
      </c>
      <c r="Q10">
        <v>3.3</v>
      </c>
      <c r="R10">
        <v>3.3</v>
      </c>
      <c r="S10">
        <v>0.44736281220724766</v>
      </c>
      <c r="T10">
        <v>0.26252918230077971</v>
      </c>
      <c r="U10">
        <v>0.29010800549197274</v>
      </c>
      <c r="V10">
        <v>0.44175857916848543</v>
      </c>
      <c r="W10">
        <v>0.26021921518352148</v>
      </c>
      <c r="X10">
        <v>0.29802220564799314</v>
      </c>
      <c r="Y10">
        <v>0.43627392902263895</v>
      </c>
      <c r="Z10">
        <v>0.26362248949815181</v>
      </c>
      <c r="AA10">
        <v>0.30010358147920918</v>
      </c>
      <c r="AB10">
        <v>0.44355834278663875</v>
      </c>
      <c r="AC10">
        <v>0.26169824113889911</v>
      </c>
      <c r="AD10">
        <v>0.29474341607446219</v>
      </c>
      <c r="AE10" t="s">
        <v>36</v>
      </c>
      <c r="AF10" t="s">
        <v>23</v>
      </c>
      <c r="AG10">
        <v>80.930000000000007</v>
      </c>
      <c r="AH10">
        <v>23</v>
      </c>
      <c r="AI10">
        <v>9</v>
      </c>
      <c r="AJ10">
        <v>4</v>
      </c>
      <c r="AK10">
        <v>26.6</v>
      </c>
      <c r="AL10">
        <v>180</v>
      </c>
      <c r="AM10">
        <v>3627</v>
      </c>
      <c r="AN10">
        <v>75</v>
      </c>
      <c r="AO10">
        <v>74</v>
      </c>
      <c r="AP10">
        <v>74</v>
      </c>
      <c r="AQ10">
        <v>3.5</v>
      </c>
      <c r="AR10" t="s">
        <v>29</v>
      </c>
      <c r="AS10" t="s">
        <v>40</v>
      </c>
      <c r="AT10" t="s">
        <v>23</v>
      </c>
      <c r="AU10">
        <v>176.8</v>
      </c>
      <c r="AV10">
        <v>30</v>
      </c>
      <c r="AW10">
        <v>14</v>
      </c>
      <c r="AX10">
        <v>4</v>
      </c>
      <c r="AY10">
        <v>23.5</v>
      </c>
      <c r="AZ10">
        <v>255</v>
      </c>
      <c r="BA10">
        <v>2803</v>
      </c>
      <c r="BB10">
        <v>74</v>
      </c>
      <c r="BC10">
        <v>76</v>
      </c>
      <c r="BD10">
        <v>74</v>
      </c>
      <c r="BE10">
        <v>4</v>
      </c>
      <c r="BF10" t="s">
        <v>28</v>
      </c>
      <c r="BG10">
        <v>1</v>
      </c>
      <c r="BH10">
        <v>23</v>
      </c>
      <c r="BI10">
        <v>0.39400000000000002</v>
      </c>
      <c r="BJ10" t="s">
        <v>266</v>
      </c>
      <c r="BK10">
        <v>0.47370000000000001</v>
      </c>
      <c r="BL10">
        <v>0.40629999999999999</v>
      </c>
      <c r="BM10">
        <v>1.32</v>
      </c>
      <c r="BN10">
        <v>1.5</v>
      </c>
    </row>
    <row r="11" spans="1:66" x14ac:dyDescent="0.25">
      <c r="A11">
        <v>2</v>
      </c>
      <c r="B11">
        <v>0</v>
      </c>
      <c r="D11">
        <v>4.8250000000000002</v>
      </c>
      <c r="E11">
        <v>4.1500000000000004</v>
      </c>
      <c r="F11">
        <v>1.6674999999999998</v>
      </c>
      <c r="J11">
        <v>4.7</v>
      </c>
      <c r="K11">
        <v>4.0999999999999996</v>
      </c>
      <c r="L11">
        <v>1.64</v>
      </c>
      <c r="M11">
        <v>5</v>
      </c>
      <c r="N11">
        <v>4.0999999999999996</v>
      </c>
      <c r="O11">
        <v>1.68</v>
      </c>
      <c r="P11">
        <v>4.8</v>
      </c>
      <c r="Q11">
        <v>4.2</v>
      </c>
      <c r="R11">
        <v>1.67</v>
      </c>
      <c r="S11">
        <v>0.20872249168236662</v>
      </c>
      <c r="T11">
        <v>0.193109391910851</v>
      </c>
      <c r="U11">
        <v>0.59816811640678236</v>
      </c>
      <c r="V11">
        <v>0.20247164171715357</v>
      </c>
      <c r="W11">
        <v>0.19493418650560357</v>
      </c>
      <c r="X11">
        <v>0.60259417177724284</v>
      </c>
      <c r="Y11">
        <v>0.20888262125842424</v>
      </c>
      <c r="Z11">
        <v>0.19073619189101515</v>
      </c>
      <c r="AA11">
        <v>0.60038118685056074</v>
      </c>
      <c r="AB11">
        <v>0.20743349227455332</v>
      </c>
      <c r="AC11">
        <v>0.1925254857951797</v>
      </c>
      <c r="AD11">
        <v>0.60004102193026698</v>
      </c>
      <c r="AE11" t="s">
        <v>256</v>
      </c>
      <c r="AF11" t="s">
        <v>253</v>
      </c>
      <c r="AG11">
        <v>599.35</v>
      </c>
      <c r="AH11">
        <v>30</v>
      </c>
      <c r="AI11">
        <v>22</v>
      </c>
      <c r="AJ11">
        <v>13</v>
      </c>
      <c r="AK11">
        <v>26</v>
      </c>
      <c r="AL11">
        <v>25</v>
      </c>
      <c r="AM11">
        <v>7938</v>
      </c>
      <c r="AN11">
        <v>84</v>
      </c>
      <c r="AO11">
        <v>82</v>
      </c>
      <c r="AP11">
        <v>78</v>
      </c>
      <c r="AQ11">
        <v>4.5</v>
      </c>
      <c r="AR11" t="s">
        <v>29</v>
      </c>
      <c r="AS11" t="s">
        <v>252</v>
      </c>
      <c r="AT11" t="s">
        <v>253</v>
      </c>
      <c r="AU11">
        <v>1020</v>
      </c>
      <c r="AV11">
        <v>31</v>
      </c>
      <c r="AW11">
        <v>23</v>
      </c>
      <c r="AX11">
        <v>20</v>
      </c>
      <c r="AY11">
        <v>25.8</v>
      </c>
      <c r="AZ11">
        <v>1</v>
      </c>
      <c r="BA11">
        <v>14695</v>
      </c>
      <c r="BB11">
        <v>87</v>
      </c>
      <c r="BC11">
        <v>83</v>
      </c>
      <c r="BD11">
        <v>85</v>
      </c>
      <c r="BE11">
        <v>5</v>
      </c>
      <c r="BF11" t="s">
        <v>29</v>
      </c>
      <c r="BG11">
        <v>-34</v>
      </c>
      <c r="BH11">
        <v>2</v>
      </c>
      <c r="BI11">
        <v>0.311</v>
      </c>
      <c r="BJ11" t="s">
        <v>267</v>
      </c>
      <c r="BK11">
        <v>0.48209999999999997</v>
      </c>
      <c r="BL11">
        <v>0.70909999999999995</v>
      </c>
      <c r="BM11">
        <v>1.59</v>
      </c>
      <c r="BN11">
        <v>2.0699999999999998</v>
      </c>
    </row>
    <row r="12" spans="1:66" x14ac:dyDescent="0.25">
      <c r="A12">
        <v>3</v>
      </c>
      <c r="B12">
        <v>-2</v>
      </c>
      <c r="D12">
        <v>3.8000000000000003</v>
      </c>
      <c r="E12">
        <v>3.1875000000000004</v>
      </c>
      <c r="F12">
        <v>1.9875</v>
      </c>
      <c r="J12">
        <v>3.65</v>
      </c>
      <c r="K12">
        <v>3.15</v>
      </c>
      <c r="L12">
        <v>1.93</v>
      </c>
      <c r="M12">
        <v>3.95</v>
      </c>
      <c r="N12">
        <v>3.2</v>
      </c>
      <c r="O12">
        <v>2.0299999999999998</v>
      </c>
      <c r="P12">
        <v>3.95</v>
      </c>
      <c r="Q12">
        <v>3.2</v>
      </c>
      <c r="R12">
        <v>2.04</v>
      </c>
      <c r="S12">
        <v>0.25533179978669085</v>
      </c>
      <c r="T12">
        <v>0.26178681719702851</v>
      </c>
      <c r="U12">
        <v>0.48288138301628064</v>
      </c>
      <c r="V12">
        <v>0.25022866378391845</v>
      </c>
      <c r="W12">
        <v>0.26287319732619097</v>
      </c>
      <c r="X12">
        <v>0.48689813888989064</v>
      </c>
      <c r="Y12">
        <v>0.25088588263103601</v>
      </c>
      <c r="Z12">
        <v>0.26333017796083052</v>
      </c>
      <c r="AA12">
        <v>0.48578393940813347</v>
      </c>
      <c r="AB12">
        <v>0.25360471395885265</v>
      </c>
      <c r="AC12">
        <v>0.26178651556343746</v>
      </c>
      <c r="AD12">
        <v>0.48460877047770989</v>
      </c>
      <c r="AE12" t="s">
        <v>123</v>
      </c>
      <c r="AF12" t="s">
        <v>108</v>
      </c>
      <c r="AG12">
        <v>23.65</v>
      </c>
      <c r="AH12">
        <v>37</v>
      </c>
      <c r="AI12">
        <v>6</v>
      </c>
      <c r="AJ12">
        <v>2</v>
      </c>
      <c r="AK12">
        <v>25</v>
      </c>
      <c r="AL12">
        <v>155</v>
      </c>
      <c r="AM12">
        <v>3912</v>
      </c>
      <c r="AN12">
        <v>73</v>
      </c>
      <c r="AO12">
        <v>72</v>
      </c>
      <c r="AP12">
        <v>71</v>
      </c>
      <c r="AQ12">
        <v>3.5</v>
      </c>
      <c r="AR12" t="s">
        <v>29</v>
      </c>
      <c r="AS12" t="s">
        <v>112</v>
      </c>
      <c r="AT12" t="s">
        <v>108</v>
      </c>
      <c r="AU12">
        <v>55.08</v>
      </c>
      <c r="AV12">
        <v>36</v>
      </c>
      <c r="AW12">
        <v>7</v>
      </c>
      <c r="AX12">
        <v>2</v>
      </c>
      <c r="AY12">
        <v>26.4</v>
      </c>
      <c r="AZ12">
        <v>17</v>
      </c>
      <c r="BA12">
        <v>9035</v>
      </c>
      <c r="BB12">
        <v>73</v>
      </c>
      <c r="BC12">
        <v>74</v>
      </c>
      <c r="BD12">
        <v>74</v>
      </c>
      <c r="BE12">
        <v>3.5</v>
      </c>
      <c r="BF12" t="s">
        <v>29</v>
      </c>
      <c r="BG12">
        <v>-8</v>
      </c>
      <c r="BH12">
        <v>-10</v>
      </c>
      <c r="BI12">
        <v>0.29199999999999998</v>
      </c>
      <c r="BJ12" t="s">
        <v>236</v>
      </c>
      <c r="BK12">
        <v>0.22409999999999999</v>
      </c>
      <c r="BL12">
        <v>0.52939999999999998</v>
      </c>
      <c r="BM12">
        <v>0.91</v>
      </c>
      <c r="BN12">
        <v>1.5</v>
      </c>
    </row>
    <row r="13" spans="1:66" x14ac:dyDescent="0.25">
      <c r="A13">
        <v>2</v>
      </c>
      <c r="B13">
        <v>0</v>
      </c>
      <c r="D13">
        <v>3.8624999999999998</v>
      </c>
      <c r="E13">
        <v>3.15</v>
      </c>
      <c r="F13">
        <v>2.0175000000000001</v>
      </c>
      <c r="J13">
        <v>3.7</v>
      </c>
      <c r="K13">
        <v>3</v>
      </c>
      <c r="L13">
        <v>1.98</v>
      </c>
      <c r="M13">
        <v>4</v>
      </c>
      <c r="N13">
        <v>3.5</v>
      </c>
      <c r="O13">
        <v>2.0299999999999998</v>
      </c>
      <c r="P13">
        <v>4.05</v>
      </c>
      <c r="Q13">
        <v>3.05</v>
      </c>
      <c r="R13">
        <v>2.06</v>
      </c>
      <c r="S13">
        <v>0.25258520007418506</v>
      </c>
      <c r="T13">
        <v>0.27541215332253971</v>
      </c>
      <c r="U13">
        <v>0.47200264660327512</v>
      </c>
      <c r="V13">
        <v>0.25457309597371386</v>
      </c>
      <c r="W13">
        <v>0.24380504003867251</v>
      </c>
      <c r="X13">
        <v>0.50162186398761355</v>
      </c>
      <c r="Y13">
        <v>0.24450004995712468</v>
      </c>
      <c r="Z13">
        <v>0.27480810425338253</v>
      </c>
      <c r="AA13">
        <v>0.48069184578949276</v>
      </c>
      <c r="AB13">
        <v>0.25173392867111355</v>
      </c>
      <c r="AC13">
        <v>0.26662119921955446</v>
      </c>
      <c r="AD13">
        <v>0.48164487210933199</v>
      </c>
      <c r="AE13" t="s">
        <v>117</v>
      </c>
      <c r="AF13" t="s">
        <v>108</v>
      </c>
      <c r="AG13">
        <v>24.2</v>
      </c>
      <c r="AH13">
        <v>32</v>
      </c>
      <c r="AI13">
        <v>0</v>
      </c>
      <c r="AJ13">
        <v>0</v>
      </c>
      <c r="AK13">
        <v>26.9</v>
      </c>
      <c r="AL13">
        <v>84</v>
      </c>
      <c r="AM13">
        <v>5249</v>
      </c>
      <c r="AN13">
        <v>70</v>
      </c>
      <c r="AO13">
        <v>72</v>
      </c>
      <c r="AP13">
        <v>71</v>
      </c>
      <c r="AQ13">
        <v>3.5</v>
      </c>
      <c r="AR13" t="s">
        <v>28</v>
      </c>
      <c r="AS13" t="s">
        <v>109</v>
      </c>
      <c r="AT13" t="s">
        <v>108</v>
      </c>
      <c r="AU13">
        <v>89.45</v>
      </c>
      <c r="AV13">
        <v>31</v>
      </c>
      <c r="AW13">
        <v>4</v>
      </c>
      <c r="AX13">
        <v>4</v>
      </c>
      <c r="AY13">
        <v>27.3</v>
      </c>
      <c r="AZ13">
        <v>5</v>
      </c>
      <c r="BA13">
        <v>11026</v>
      </c>
      <c r="BB13">
        <v>79</v>
      </c>
      <c r="BC13">
        <v>76</v>
      </c>
      <c r="BD13">
        <v>74</v>
      </c>
      <c r="BE13">
        <v>4</v>
      </c>
      <c r="BF13" t="s">
        <v>29</v>
      </c>
      <c r="BG13">
        <v>-7</v>
      </c>
      <c r="BH13">
        <v>-6</v>
      </c>
      <c r="BI13">
        <v>8.3000000000000004E-2</v>
      </c>
      <c r="BJ13" t="s">
        <v>236</v>
      </c>
      <c r="BK13">
        <v>0.40279999999999999</v>
      </c>
      <c r="BL13">
        <v>0.50649999999999995</v>
      </c>
      <c r="BM13">
        <v>1.33</v>
      </c>
      <c r="BN13">
        <v>1.56</v>
      </c>
    </row>
    <row r="14" spans="1:66" x14ac:dyDescent="0.25">
      <c r="A14">
        <v>1</v>
      </c>
      <c r="B14">
        <v>1</v>
      </c>
      <c r="D14">
        <v>2.2675000000000001</v>
      </c>
      <c r="E14">
        <v>3.0374999999999996</v>
      </c>
      <c r="F14">
        <v>3.2250000000000001</v>
      </c>
      <c r="J14">
        <v>2.2000000000000002</v>
      </c>
      <c r="K14">
        <v>2.95</v>
      </c>
      <c r="L14">
        <v>3.15</v>
      </c>
      <c r="M14">
        <v>2.3199999999999998</v>
      </c>
      <c r="N14">
        <v>3.1</v>
      </c>
      <c r="O14">
        <v>3.3</v>
      </c>
      <c r="P14">
        <v>2.3199999999999998</v>
      </c>
      <c r="Q14">
        <v>3.1</v>
      </c>
      <c r="R14">
        <v>3.3</v>
      </c>
      <c r="S14">
        <v>0.41975351261780647</v>
      </c>
      <c r="T14">
        <v>0.28708530396658266</v>
      </c>
      <c r="U14">
        <v>0.29316118341561087</v>
      </c>
      <c r="V14">
        <v>0.42289963260015784</v>
      </c>
      <c r="W14">
        <v>0.27978911054154931</v>
      </c>
      <c r="X14">
        <v>0.29731125685829274</v>
      </c>
      <c r="Y14">
        <v>0.42289963260015784</v>
      </c>
      <c r="Z14">
        <v>0.27978911054154931</v>
      </c>
      <c r="AA14">
        <v>0.29731125685829274</v>
      </c>
      <c r="AB14">
        <v>0.42120727191731744</v>
      </c>
      <c r="AC14">
        <v>0.28264155213550174</v>
      </c>
      <c r="AD14">
        <v>0.29615117594718077</v>
      </c>
      <c r="AE14" t="s">
        <v>118</v>
      </c>
      <c r="AF14" t="s">
        <v>108</v>
      </c>
      <c r="AG14">
        <v>36.35</v>
      </c>
      <c r="AH14">
        <v>43</v>
      </c>
      <c r="AI14">
        <v>3</v>
      </c>
      <c r="AJ14">
        <v>0</v>
      </c>
      <c r="AK14">
        <v>25.3</v>
      </c>
      <c r="AL14">
        <v>89</v>
      </c>
      <c r="AM14">
        <v>5108</v>
      </c>
      <c r="AN14">
        <v>71</v>
      </c>
      <c r="AO14">
        <v>74</v>
      </c>
      <c r="AP14">
        <v>72</v>
      </c>
      <c r="AQ14">
        <v>3.5</v>
      </c>
      <c r="AR14" t="s">
        <v>29</v>
      </c>
      <c r="AS14" t="s">
        <v>268</v>
      </c>
      <c r="AT14" t="s">
        <v>108</v>
      </c>
      <c r="AU14">
        <v>34.35</v>
      </c>
      <c r="AV14">
        <v>43</v>
      </c>
      <c r="AW14">
        <v>3</v>
      </c>
      <c r="AX14">
        <v>0</v>
      </c>
      <c r="AY14">
        <v>24.9</v>
      </c>
      <c r="AZ14">
        <v>136</v>
      </c>
      <c r="BA14">
        <v>4140</v>
      </c>
      <c r="BB14">
        <v>72</v>
      </c>
      <c r="BC14">
        <v>71</v>
      </c>
      <c r="BD14">
        <v>73</v>
      </c>
      <c r="BE14">
        <v>3.5</v>
      </c>
      <c r="BF14" t="s">
        <v>29</v>
      </c>
      <c r="BG14">
        <v>-6</v>
      </c>
      <c r="BH14">
        <v>-7</v>
      </c>
      <c r="BI14">
        <v>0.16</v>
      </c>
      <c r="BJ14" t="s">
        <v>236</v>
      </c>
      <c r="BK14">
        <v>0.4839</v>
      </c>
      <c r="BL14">
        <v>0.29509999999999997</v>
      </c>
      <c r="BM14">
        <v>1.52</v>
      </c>
      <c r="BN14">
        <v>0.87</v>
      </c>
    </row>
    <row r="15" spans="1:66" x14ac:dyDescent="0.25">
      <c r="A15">
        <v>3</v>
      </c>
      <c r="B15">
        <v>-1</v>
      </c>
      <c r="D15">
        <v>3</v>
      </c>
      <c r="E15">
        <v>3.0249999999999999</v>
      </c>
      <c r="F15">
        <v>2.5225</v>
      </c>
      <c r="J15">
        <v>3</v>
      </c>
      <c r="K15">
        <v>3</v>
      </c>
      <c r="L15">
        <v>2.48</v>
      </c>
      <c r="M15">
        <v>3</v>
      </c>
      <c r="N15">
        <v>3.1</v>
      </c>
      <c r="O15">
        <v>2.5</v>
      </c>
      <c r="P15">
        <v>3</v>
      </c>
      <c r="Q15">
        <v>3</v>
      </c>
      <c r="R15">
        <v>2.63</v>
      </c>
      <c r="S15">
        <v>0.32139035766597757</v>
      </c>
      <c r="T15">
        <v>0.28983098386711409</v>
      </c>
      <c r="U15">
        <v>0.3887786584669084</v>
      </c>
      <c r="V15">
        <v>0.32622333751568383</v>
      </c>
      <c r="W15">
        <v>0.28230865746549566</v>
      </c>
      <c r="X15">
        <v>0.39146800501882068</v>
      </c>
      <c r="Y15">
        <v>0.33012729563987958</v>
      </c>
      <c r="Z15">
        <v>0.29330164469485842</v>
      </c>
      <c r="AA15">
        <v>0.37657105966526194</v>
      </c>
      <c r="AB15">
        <v>0.32478283712187961</v>
      </c>
      <c r="AC15">
        <v>0.28881806747364552</v>
      </c>
      <c r="AD15">
        <v>0.38639909540447487</v>
      </c>
      <c r="AE15" t="s">
        <v>37</v>
      </c>
      <c r="AF15" t="s">
        <v>23</v>
      </c>
      <c r="AG15">
        <v>73.25</v>
      </c>
      <c r="AH15">
        <v>26</v>
      </c>
      <c r="AI15">
        <v>17</v>
      </c>
      <c r="AJ15">
        <v>8</v>
      </c>
      <c r="AK15">
        <v>23.9</v>
      </c>
      <c r="AL15">
        <v>223</v>
      </c>
      <c r="AM15">
        <v>3054</v>
      </c>
      <c r="AN15">
        <v>71</v>
      </c>
      <c r="AO15">
        <v>73</v>
      </c>
      <c r="AP15">
        <v>73</v>
      </c>
      <c r="AQ15">
        <v>3.5</v>
      </c>
      <c r="AR15" t="s">
        <v>29</v>
      </c>
      <c r="AS15" t="s">
        <v>33</v>
      </c>
      <c r="AT15" t="s">
        <v>23</v>
      </c>
      <c r="AU15">
        <v>287.7</v>
      </c>
      <c r="AV15">
        <v>27</v>
      </c>
      <c r="AW15">
        <v>18</v>
      </c>
      <c r="AX15">
        <v>10</v>
      </c>
      <c r="AY15">
        <v>23.7</v>
      </c>
      <c r="AZ15">
        <v>131</v>
      </c>
      <c r="BA15">
        <v>4207</v>
      </c>
      <c r="BB15">
        <v>77</v>
      </c>
      <c r="BC15">
        <v>77</v>
      </c>
      <c r="BD15">
        <v>76</v>
      </c>
      <c r="BE15">
        <v>4</v>
      </c>
      <c r="BF15" t="s">
        <v>29</v>
      </c>
      <c r="BG15">
        <v>0</v>
      </c>
      <c r="BH15">
        <v>9</v>
      </c>
      <c r="BI15">
        <v>0.45500000000000002</v>
      </c>
      <c r="BJ15" t="s">
        <v>266</v>
      </c>
      <c r="BK15">
        <v>0.35289999999999999</v>
      </c>
      <c r="BL15">
        <v>0.47499999999999998</v>
      </c>
      <c r="BM15">
        <v>0.88</v>
      </c>
      <c r="BN15">
        <v>1.3</v>
      </c>
    </row>
    <row r="16" spans="1:66" x14ac:dyDescent="0.25">
      <c r="A16">
        <v>3</v>
      </c>
      <c r="B16">
        <v>-2</v>
      </c>
      <c r="D16">
        <v>2.2999999999999998</v>
      </c>
      <c r="E16">
        <v>3.0750000000000002</v>
      </c>
      <c r="F16">
        <v>3.45</v>
      </c>
      <c r="J16">
        <v>2.2000000000000002</v>
      </c>
      <c r="K16">
        <v>3.05</v>
      </c>
      <c r="L16">
        <v>3.4</v>
      </c>
      <c r="M16">
        <v>2.3199999999999998</v>
      </c>
      <c r="N16">
        <v>3.1</v>
      </c>
      <c r="O16">
        <v>3.5</v>
      </c>
      <c r="P16">
        <v>2.36</v>
      </c>
      <c r="Q16">
        <v>3.05</v>
      </c>
      <c r="R16">
        <v>3.4</v>
      </c>
      <c r="S16">
        <v>0.43709435846230654</v>
      </c>
      <c r="T16">
        <v>0.2800798801797304</v>
      </c>
      <c r="U16">
        <v>0.28282576135796311</v>
      </c>
      <c r="V16">
        <v>0.43250521035061507</v>
      </c>
      <c r="W16">
        <v>0.28080562164554856</v>
      </c>
      <c r="X16">
        <v>0.28668916800383626</v>
      </c>
      <c r="Y16">
        <v>0.42176619039486918</v>
      </c>
      <c r="Z16">
        <v>0.28547845391928051</v>
      </c>
      <c r="AA16">
        <v>0.29275535568585037</v>
      </c>
      <c r="AB16">
        <v>0.43096774238960145</v>
      </c>
      <c r="AC16">
        <v>0.28179239434752701</v>
      </c>
      <c r="AD16">
        <v>0.28723986326287149</v>
      </c>
      <c r="AE16" t="s">
        <v>41</v>
      </c>
      <c r="AF16" t="s">
        <v>23</v>
      </c>
      <c r="AG16">
        <v>82.35</v>
      </c>
      <c r="AH16">
        <v>31</v>
      </c>
      <c r="AI16">
        <v>16</v>
      </c>
      <c r="AJ16">
        <v>8</v>
      </c>
      <c r="AK16">
        <v>26.4</v>
      </c>
      <c r="AL16">
        <v>266</v>
      </c>
      <c r="AM16">
        <v>2690</v>
      </c>
      <c r="AN16">
        <v>74</v>
      </c>
      <c r="AO16">
        <v>75</v>
      </c>
      <c r="AP16">
        <v>74</v>
      </c>
      <c r="AQ16">
        <v>3.5</v>
      </c>
      <c r="AR16" t="s">
        <v>29</v>
      </c>
      <c r="AS16" t="s">
        <v>44</v>
      </c>
      <c r="AT16" t="s">
        <v>23</v>
      </c>
      <c r="AU16">
        <v>91.25</v>
      </c>
      <c r="AV16">
        <v>24</v>
      </c>
      <c r="AW16">
        <v>11</v>
      </c>
      <c r="AX16">
        <v>5</v>
      </c>
      <c r="AY16">
        <v>26.7</v>
      </c>
      <c r="AZ16">
        <v>326</v>
      </c>
      <c r="BA16">
        <v>2298</v>
      </c>
      <c r="BB16">
        <v>75</v>
      </c>
      <c r="BC16">
        <v>75</v>
      </c>
      <c r="BD16">
        <v>76</v>
      </c>
      <c r="BE16">
        <v>4</v>
      </c>
      <c r="BF16" t="s">
        <v>29</v>
      </c>
      <c r="BG16">
        <v>-1</v>
      </c>
      <c r="BH16">
        <v>4</v>
      </c>
      <c r="BI16">
        <v>0.375</v>
      </c>
      <c r="BJ16" t="s">
        <v>266</v>
      </c>
      <c r="BK16">
        <v>0.40629999999999999</v>
      </c>
      <c r="BL16">
        <v>0.34379999999999999</v>
      </c>
      <c r="BM16">
        <v>1.28</v>
      </c>
      <c r="BN16">
        <v>1.44</v>
      </c>
    </row>
    <row r="17" spans="1:66" x14ac:dyDescent="0.25">
      <c r="A17">
        <v>1</v>
      </c>
      <c r="B17">
        <v>1</v>
      </c>
      <c r="D17">
        <v>1.9475</v>
      </c>
      <c r="E17">
        <v>3.2375000000000003</v>
      </c>
      <c r="F17">
        <v>4.2249999999999996</v>
      </c>
      <c r="J17">
        <v>1.92</v>
      </c>
      <c r="K17">
        <v>3.15</v>
      </c>
      <c r="L17">
        <v>4.2</v>
      </c>
      <c r="M17">
        <v>1.93</v>
      </c>
      <c r="N17">
        <v>3.45</v>
      </c>
      <c r="O17">
        <v>4.3</v>
      </c>
      <c r="P17">
        <v>2.02</v>
      </c>
      <c r="Q17">
        <v>3.2</v>
      </c>
      <c r="R17">
        <v>4.2</v>
      </c>
      <c r="S17">
        <v>0.50748236023881521</v>
      </c>
      <c r="T17">
        <v>0.26052570365201211</v>
      </c>
      <c r="U17">
        <v>0.23199193610917265</v>
      </c>
      <c r="V17">
        <v>0.52330590167532876</v>
      </c>
      <c r="W17">
        <v>0.24181493780527955</v>
      </c>
      <c r="X17">
        <v>0.2348791605193917</v>
      </c>
      <c r="Y17">
        <v>0.49825758137465714</v>
      </c>
      <c r="Z17">
        <v>0.26210424853562686</v>
      </c>
      <c r="AA17">
        <v>0.239638170089716</v>
      </c>
      <c r="AB17">
        <v>0.50913205088190405</v>
      </c>
      <c r="AC17">
        <v>0.25624264841123268</v>
      </c>
      <c r="AD17">
        <v>0.23462530070686327</v>
      </c>
      <c r="AE17" t="s">
        <v>39</v>
      </c>
      <c r="AF17" t="s">
        <v>23</v>
      </c>
      <c r="AG17">
        <v>86.83</v>
      </c>
      <c r="AH17">
        <v>30</v>
      </c>
      <c r="AI17">
        <v>14</v>
      </c>
      <c r="AJ17">
        <v>6</v>
      </c>
      <c r="AK17">
        <v>25.1</v>
      </c>
      <c r="AL17">
        <v>229</v>
      </c>
      <c r="AM17">
        <v>3029</v>
      </c>
      <c r="AN17">
        <v>75</v>
      </c>
      <c r="AO17">
        <v>73</v>
      </c>
      <c r="AP17">
        <v>74</v>
      </c>
      <c r="AQ17">
        <v>3.5</v>
      </c>
      <c r="AR17" t="s">
        <v>29</v>
      </c>
      <c r="AS17" t="s">
        <v>47</v>
      </c>
      <c r="AT17" t="s">
        <v>23</v>
      </c>
      <c r="AU17">
        <v>46.88</v>
      </c>
      <c r="AV17">
        <v>27</v>
      </c>
      <c r="AW17">
        <v>10</v>
      </c>
      <c r="AX17">
        <v>7</v>
      </c>
      <c r="AY17">
        <v>25.4</v>
      </c>
      <c r="AZ17">
        <v>368</v>
      </c>
      <c r="BA17">
        <v>2020</v>
      </c>
      <c r="BB17">
        <v>72</v>
      </c>
      <c r="BC17">
        <v>70</v>
      </c>
      <c r="BD17">
        <v>72</v>
      </c>
      <c r="BE17">
        <v>3.5</v>
      </c>
      <c r="BF17" t="s">
        <v>46</v>
      </c>
      <c r="BG17">
        <v>6</v>
      </c>
      <c r="BH17">
        <v>14</v>
      </c>
      <c r="BI17">
        <v>0.44400000000000001</v>
      </c>
      <c r="BJ17" t="s">
        <v>266</v>
      </c>
      <c r="BK17">
        <v>0.40629999999999999</v>
      </c>
      <c r="BL17">
        <v>0.25</v>
      </c>
      <c r="BM17">
        <v>1.28</v>
      </c>
      <c r="BN17">
        <v>1.0900000000000001</v>
      </c>
    </row>
    <row r="18" spans="1:66" x14ac:dyDescent="0.25">
      <c r="A18">
        <v>3</v>
      </c>
      <c r="B18">
        <v>-1</v>
      </c>
      <c r="D18">
        <v>3.55</v>
      </c>
      <c r="E18">
        <v>3.4750000000000001</v>
      </c>
      <c r="F18">
        <v>2.0425</v>
      </c>
      <c r="J18">
        <v>3.55</v>
      </c>
      <c r="K18">
        <v>3.4</v>
      </c>
      <c r="L18">
        <v>2</v>
      </c>
      <c r="M18">
        <v>3.55</v>
      </c>
      <c r="N18">
        <v>3.55</v>
      </c>
      <c r="O18">
        <v>2.1</v>
      </c>
      <c r="P18">
        <v>3.55</v>
      </c>
      <c r="Q18">
        <v>3.55</v>
      </c>
      <c r="R18">
        <v>2.0699999999999998</v>
      </c>
      <c r="S18">
        <v>0.27106418869790305</v>
      </c>
      <c r="T18">
        <v>0.24779687636331912</v>
      </c>
      <c r="U18">
        <v>0.48113893493877791</v>
      </c>
      <c r="V18">
        <v>0.28146620723336141</v>
      </c>
      <c r="W18">
        <v>0.242721871015004</v>
      </c>
      <c r="X18">
        <v>0.47581192175163467</v>
      </c>
      <c r="Y18">
        <v>0.27937456659936744</v>
      </c>
      <c r="Z18">
        <v>0.24150479986065454</v>
      </c>
      <c r="AA18">
        <v>0.47912063353997802</v>
      </c>
      <c r="AB18">
        <v>0.27574228780713372</v>
      </c>
      <c r="AC18">
        <v>0.2449551059005742</v>
      </c>
      <c r="AD18">
        <v>0.47930260629229215</v>
      </c>
      <c r="AE18" t="s">
        <v>45</v>
      </c>
      <c r="AF18" t="s">
        <v>23</v>
      </c>
      <c r="AG18">
        <v>59.28</v>
      </c>
      <c r="AH18">
        <v>25</v>
      </c>
      <c r="AI18">
        <v>5</v>
      </c>
      <c r="AJ18">
        <v>1</v>
      </c>
      <c r="AK18">
        <v>25.2</v>
      </c>
      <c r="AL18">
        <v>347</v>
      </c>
      <c r="AM18">
        <v>2156</v>
      </c>
      <c r="AN18">
        <v>72</v>
      </c>
      <c r="AO18">
        <v>72</v>
      </c>
      <c r="AP18">
        <v>72</v>
      </c>
      <c r="AQ18">
        <v>3.5</v>
      </c>
      <c r="AR18" t="s">
        <v>29</v>
      </c>
      <c r="AS18" t="s">
        <v>34</v>
      </c>
      <c r="AT18" t="s">
        <v>23</v>
      </c>
      <c r="AU18">
        <v>224.6</v>
      </c>
      <c r="AV18">
        <v>35</v>
      </c>
      <c r="AW18">
        <v>11</v>
      </c>
      <c r="AX18">
        <v>8</v>
      </c>
      <c r="AY18">
        <v>24.6</v>
      </c>
      <c r="AZ18">
        <v>145</v>
      </c>
      <c r="BA18">
        <v>4008</v>
      </c>
      <c r="BB18">
        <v>80</v>
      </c>
      <c r="BC18">
        <v>78</v>
      </c>
      <c r="BD18">
        <v>77</v>
      </c>
      <c r="BE18">
        <v>4</v>
      </c>
      <c r="BF18" t="s">
        <v>29</v>
      </c>
      <c r="BG18">
        <v>-7</v>
      </c>
      <c r="BH18">
        <v>-7</v>
      </c>
      <c r="BI18">
        <v>0.26300000000000001</v>
      </c>
      <c r="BJ18" t="s">
        <v>266</v>
      </c>
      <c r="BK18">
        <v>0.28129999999999999</v>
      </c>
      <c r="BL18">
        <v>0.54549999999999998</v>
      </c>
      <c r="BM18">
        <v>1.22</v>
      </c>
      <c r="BN18">
        <v>1.48</v>
      </c>
    </row>
    <row r="19" spans="1:66" x14ac:dyDescent="0.25">
      <c r="A19">
        <v>1</v>
      </c>
      <c r="B19">
        <v>1</v>
      </c>
      <c r="D19">
        <v>2.1575000000000002</v>
      </c>
      <c r="E19">
        <v>2.9775</v>
      </c>
      <c r="F19">
        <v>3.5625</v>
      </c>
      <c r="J19">
        <v>2.0699999999999998</v>
      </c>
      <c r="K19">
        <v>2.95</v>
      </c>
      <c r="L19">
        <v>3.45</v>
      </c>
      <c r="M19">
        <v>2.2200000000000002</v>
      </c>
      <c r="N19">
        <v>3</v>
      </c>
      <c r="O19">
        <v>3.65</v>
      </c>
      <c r="P19">
        <v>2.2400000000000002</v>
      </c>
      <c r="Q19">
        <v>2.96</v>
      </c>
      <c r="R19">
        <v>3.65</v>
      </c>
      <c r="S19">
        <v>0.44795182921266313</v>
      </c>
      <c r="T19">
        <v>0.28327707325973911</v>
      </c>
      <c r="U19">
        <v>0.26877109752759781</v>
      </c>
      <c r="V19">
        <v>0.44435430947548099</v>
      </c>
      <c r="W19">
        <v>0.28538087763806202</v>
      </c>
      <c r="X19">
        <v>0.27026481288645693</v>
      </c>
      <c r="Y19">
        <v>0.44041414109246341</v>
      </c>
      <c r="Z19">
        <v>0.28930430382613431</v>
      </c>
      <c r="AA19">
        <v>0.27028155508140222</v>
      </c>
      <c r="AB19">
        <v>0.44560215364951522</v>
      </c>
      <c r="AC19">
        <v>0.28461522975400255</v>
      </c>
      <c r="AD19">
        <v>0.26978261659648223</v>
      </c>
      <c r="AE19" t="s">
        <v>116</v>
      </c>
      <c r="AF19" t="s">
        <v>108</v>
      </c>
      <c r="AG19">
        <v>50.33</v>
      </c>
      <c r="AH19">
        <v>33</v>
      </c>
      <c r="AI19">
        <v>4</v>
      </c>
      <c r="AJ19">
        <v>1</v>
      </c>
      <c r="AK19">
        <v>25.3</v>
      </c>
      <c r="AL19">
        <v>75</v>
      </c>
      <c r="AM19">
        <v>5476</v>
      </c>
      <c r="AN19">
        <v>75</v>
      </c>
      <c r="AO19">
        <v>75</v>
      </c>
      <c r="AP19">
        <v>75</v>
      </c>
      <c r="AQ19">
        <v>4</v>
      </c>
      <c r="AR19" t="s">
        <v>29</v>
      </c>
      <c r="AS19" t="s">
        <v>115</v>
      </c>
      <c r="AT19" t="s">
        <v>108</v>
      </c>
      <c r="AU19">
        <v>62.68</v>
      </c>
      <c r="AV19">
        <v>34</v>
      </c>
      <c r="AW19">
        <v>5</v>
      </c>
      <c r="AX19">
        <v>3</v>
      </c>
      <c r="AY19">
        <v>25.6</v>
      </c>
      <c r="AZ19">
        <v>64</v>
      </c>
      <c r="BA19">
        <v>6079</v>
      </c>
      <c r="BB19">
        <v>72</v>
      </c>
      <c r="BC19">
        <v>74</v>
      </c>
      <c r="BD19">
        <v>72</v>
      </c>
      <c r="BE19">
        <v>3.5</v>
      </c>
      <c r="BF19" t="s">
        <v>29</v>
      </c>
      <c r="BG19">
        <v>-12</v>
      </c>
      <c r="BH19">
        <v>-3</v>
      </c>
      <c r="BI19">
        <v>0.22600000000000001</v>
      </c>
      <c r="BJ19" t="s">
        <v>236</v>
      </c>
      <c r="BK19">
        <v>0.44619999999999999</v>
      </c>
      <c r="BL19">
        <v>0.3448</v>
      </c>
      <c r="BM19">
        <v>1.69</v>
      </c>
      <c r="BN19">
        <v>1.1599999999999999</v>
      </c>
    </row>
    <row r="20" spans="1:66" x14ac:dyDescent="0.25">
      <c r="A20">
        <v>3</v>
      </c>
      <c r="B20">
        <v>-1</v>
      </c>
      <c r="D20">
        <v>3.2125000000000004</v>
      </c>
      <c r="E20">
        <v>3.1124999999999998</v>
      </c>
      <c r="F20">
        <v>2.2174999999999998</v>
      </c>
      <c r="J20">
        <v>3.2</v>
      </c>
      <c r="K20">
        <v>3</v>
      </c>
      <c r="L20">
        <v>2.16</v>
      </c>
      <c r="M20">
        <v>3.25</v>
      </c>
      <c r="N20">
        <v>3.2</v>
      </c>
      <c r="O20">
        <v>2.27</v>
      </c>
      <c r="P20">
        <v>3.2</v>
      </c>
      <c r="Q20">
        <v>3.2</v>
      </c>
      <c r="R20">
        <v>2.2599999999999998</v>
      </c>
      <c r="S20">
        <v>0.28942619208105935</v>
      </c>
      <c r="T20">
        <v>0.28179426409514902</v>
      </c>
      <c r="U20">
        <v>0.42877954382379158</v>
      </c>
      <c r="V20">
        <v>0.30004556621210399</v>
      </c>
      <c r="W20">
        <v>0.27037377731682199</v>
      </c>
      <c r="X20">
        <v>0.42958065647107402</v>
      </c>
      <c r="Y20">
        <v>0.30228626550115856</v>
      </c>
      <c r="Z20">
        <v>0.26969778334675854</v>
      </c>
      <c r="AA20">
        <v>0.42801595115208291</v>
      </c>
      <c r="AB20">
        <v>0.29603313220991656</v>
      </c>
      <c r="AC20">
        <v>0.275079433581431</v>
      </c>
      <c r="AD20">
        <v>0.42888743420865244</v>
      </c>
      <c r="AE20" t="s">
        <v>114</v>
      </c>
      <c r="AF20" t="s">
        <v>108</v>
      </c>
      <c r="AG20">
        <v>41.98</v>
      </c>
      <c r="AH20">
        <v>33</v>
      </c>
      <c r="AI20">
        <v>5</v>
      </c>
      <c r="AJ20">
        <v>1</v>
      </c>
      <c r="AK20">
        <v>25.2</v>
      </c>
      <c r="AL20">
        <v>40</v>
      </c>
      <c r="AM20">
        <v>7098</v>
      </c>
      <c r="AN20">
        <v>74</v>
      </c>
      <c r="AO20">
        <v>73</v>
      </c>
      <c r="AP20">
        <v>73</v>
      </c>
      <c r="AQ20">
        <v>3.5</v>
      </c>
      <c r="AR20" t="s">
        <v>29</v>
      </c>
      <c r="AS20" t="s">
        <v>107</v>
      </c>
      <c r="AT20" t="s">
        <v>108</v>
      </c>
      <c r="AU20">
        <v>118.25</v>
      </c>
      <c r="AV20">
        <v>29</v>
      </c>
      <c r="AW20">
        <v>3</v>
      </c>
      <c r="AX20">
        <v>6</v>
      </c>
      <c r="AY20">
        <v>26.1</v>
      </c>
      <c r="AZ20">
        <v>2</v>
      </c>
      <c r="BA20">
        <v>13486</v>
      </c>
      <c r="BB20">
        <v>78</v>
      </c>
      <c r="BC20">
        <v>76</v>
      </c>
      <c r="BD20">
        <v>74</v>
      </c>
      <c r="BE20">
        <v>4</v>
      </c>
      <c r="BF20" t="s">
        <v>29</v>
      </c>
      <c r="BG20">
        <v>-1</v>
      </c>
      <c r="BH20">
        <v>3</v>
      </c>
      <c r="BI20">
        <v>0.27300000000000002</v>
      </c>
      <c r="BJ20" t="s">
        <v>236</v>
      </c>
      <c r="BK20">
        <v>0.39389999999999997</v>
      </c>
      <c r="BL20">
        <v>0.62860000000000005</v>
      </c>
      <c r="BM20">
        <v>1.3</v>
      </c>
      <c r="BN20">
        <v>1.87</v>
      </c>
    </row>
    <row r="21" spans="1:66" x14ac:dyDescent="0.25">
      <c r="A21">
        <v>2</v>
      </c>
      <c r="B21">
        <v>0</v>
      </c>
      <c r="D21">
        <v>2.8574999999999999</v>
      </c>
      <c r="E21">
        <v>3.2625000000000002</v>
      </c>
      <c r="F21">
        <v>2.3199999999999998</v>
      </c>
      <c r="J21">
        <v>2.8</v>
      </c>
      <c r="K21">
        <v>3.2</v>
      </c>
      <c r="L21">
        <v>2.2799999999999998</v>
      </c>
      <c r="M21">
        <v>2.95</v>
      </c>
      <c r="N21">
        <v>3.35</v>
      </c>
      <c r="O21">
        <v>2.37</v>
      </c>
      <c r="P21">
        <v>2.88</v>
      </c>
      <c r="Q21">
        <v>3.3</v>
      </c>
      <c r="R21">
        <v>2.35</v>
      </c>
      <c r="S21">
        <v>0.32923775499983304</v>
      </c>
      <c r="T21">
        <v>0.2664351774565123</v>
      </c>
      <c r="U21">
        <v>0.40432706754365461</v>
      </c>
      <c r="V21">
        <v>0.32965267421146</v>
      </c>
      <c r="W21">
        <v>0.26002015746625851</v>
      </c>
      <c r="X21">
        <v>0.41032716832228144</v>
      </c>
      <c r="Y21">
        <v>0.33156313776415786</v>
      </c>
      <c r="Z21">
        <v>0.26209565510359778</v>
      </c>
      <c r="AA21">
        <v>0.40634120713224448</v>
      </c>
      <c r="AB21">
        <v>0.32992283049382098</v>
      </c>
      <c r="AC21">
        <v>0.26374654187072022</v>
      </c>
      <c r="AD21">
        <v>0.40633062763545874</v>
      </c>
      <c r="AE21" t="s">
        <v>127</v>
      </c>
      <c r="AF21" t="s">
        <v>126</v>
      </c>
      <c r="AG21">
        <v>8.4</v>
      </c>
      <c r="AH21">
        <v>27</v>
      </c>
      <c r="AI21">
        <v>7</v>
      </c>
      <c r="AJ21">
        <v>1</v>
      </c>
      <c r="AK21">
        <v>26.6</v>
      </c>
      <c r="AL21">
        <v>705</v>
      </c>
      <c r="AM21">
        <v>653</v>
      </c>
      <c r="AN21">
        <v>68</v>
      </c>
      <c r="AO21">
        <v>69</v>
      </c>
      <c r="AP21">
        <v>64</v>
      </c>
      <c r="AQ21">
        <v>2.5</v>
      </c>
      <c r="AR21" t="s">
        <v>46</v>
      </c>
      <c r="AS21" t="s">
        <v>131</v>
      </c>
      <c r="AT21" t="s">
        <v>126</v>
      </c>
      <c r="AU21">
        <v>8.8000000000000007</v>
      </c>
      <c r="AV21">
        <v>25</v>
      </c>
      <c r="AW21">
        <v>5</v>
      </c>
      <c r="AX21">
        <v>1</v>
      </c>
      <c r="AY21">
        <v>26.8</v>
      </c>
      <c r="AZ21">
        <v>936</v>
      </c>
      <c r="BA21">
        <v>134</v>
      </c>
      <c r="BB21">
        <v>70</v>
      </c>
      <c r="BC21">
        <v>68</v>
      </c>
      <c r="BD21">
        <v>68</v>
      </c>
      <c r="BE21">
        <v>2.5</v>
      </c>
      <c r="BF21" t="s">
        <v>29</v>
      </c>
      <c r="BG21">
        <v>-16</v>
      </c>
      <c r="BH21">
        <v>-14</v>
      </c>
      <c r="BI21">
        <v>0.20799999999999999</v>
      </c>
      <c r="BJ21" t="s">
        <v>126</v>
      </c>
      <c r="BK21">
        <v>0.3947</v>
      </c>
      <c r="BL21">
        <v>0.36109999999999998</v>
      </c>
      <c r="BM21">
        <v>1.47</v>
      </c>
      <c r="BN21">
        <v>1.36</v>
      </c>
    </row>
    <row r="22" spans="1:66" x14ac:dyDescent="0.25">
      <c r="A22">
        <v>1</v>
      </c>
      <c r="B22">
        <v>1</v>
      </c>
      <c r="D22">
        <v>2.5949999999999998</v>
      </c>
      <c r="E22">
        <v>3.5875000000000004</v>
      </c>
      <c r="F22">
        <v>2.4700000000000002</v>
      </c>
      <c r="J22">
        <v>2.5499999999999998</v>
      </c>
      <c r="K22">
        <v>3.45</v>
      </c>
      <c r="L22">
        <v>2.4</v>
      </c>
      <c r="M22">
        <v>2.6</v>
      </c>
      <c r="N22">
        <v>3.65</v>
      </c>
      <c r="O22">
        <v>2.5</v>
      </c>
      <c r="P22">
        <v>2.6</v>
      </c>
      <c r="Q22">
        <v>3.65</v>
      </c>
      <c r="R22">
        <v>2.5</v>
      </c>
      <c r="S22">
        <v>0.36463081130355512</v>
      </c>
      <c r="T22">
        <v>0.24794895168641751</v>
      </c>
      <c r="U22">
        <v>0.38742023701002737</v>
      </c>
      <c r="V22">
        <v>0.37322564855604501</v>
      </c>
      <c r="W22">
        <v>0.2386196769456681</v>
      </c>
      <c r="X22">
        <v>0.38815467449828683</v>
      </c>
      <c r="Y22">
        <v>0.37322564855604501</v>
      </c>
      <c r="Z22">
        <v>0.2386196769456681</v>
      </c>
      <c r="AA22">
        <v>0.38815467449828683</v>
      </c>
      <c r="AB22">
        <v>0.36976900001475821</v>
      </c>
      <c r="AC22">
        <v>0.24173570680797565</v>
      </c>
      <c r="AD22">
        <v>0.38849529317726617</v>
      </c>
      <c r="AE22" t="s">
        <v>176</v>
      </c>
      <c r="AF22" t="s">
        <v>160</v>
      </c>
      <c r="AG22">
        <v>18.73</v>
      </c>
      <c r="AH22">
        <v>29</v>
      </c>
      <c r="AI22">
        <v>21</v>
      </c>
      <c r="AJ22">
        <v>8</v>
      </c>
      <c r="AK22">
        <v>26.5</v>
      </c>
      <c r="AL22">
        <v>388</v>
      </c>
      <c r="AM22">
        <v>1901</v>
      </c>
      <c r="AN22">
        <v>67</v>
      </c>
      <c r="AO22">
        <v>71</v>
      </c>
      <c r="AP22">
        <v>69</v>
      </c>
      <c r="AQ22">
        <v>3</v>
      </c>
      <c r="AR22" t="s">
        <v>46</v>
      </c>
      <c r="AS22" t="s">
        <v>174</v>
      </c>
      <c r="AT22" t="s">
        <v>160</v>
      </c>
      <c r="AU22">
        <v>23.93</v>
      </c>
      <c r="AV22">
        <v>27</v>
      </c>
      <c r="AW22">
        <v>14</v>
      </c>
      <c r="AX22">
        <v>4</v>
      </c>
      <c r="AY22">
        <v>27</v>
      </c>
      <c r="AZ22">
        <v>374</v>
      </c>
      <c r="BA22">
        <v>1991</v>
      </c>
      <c r="BB22">
        <v>72</v>
      </c>
      <c r="BC22">
        <v>73</v>
      </c>
      <c r="BD22">
        <v>70</v>
      </c>
      <c r="BE22">
        <v>3.5</v>
      </c>
      <c r="BF22" t="s">
        <v>29</v>
      </c>
      <c r="BG22">
        <v>8</v>
      </c>
      <c r="BH22">
        <v>26</v>
      </c>
      <c r="BI22">
        <v>0.38600000000000001</v>
      </c>
      <c r="BJ22" t="s">
        <v>234</v>
      </c>
      <c r="BK22">
        <v>0.16669999999999999</v>
      </c>
      <c r="BL22">
        <v>0.48</v>
      </c>
      <c r="BM22">
        <v>1.29</v>
      </c>
      <c r="BN22">
        <v>1.68</v>
      </c>
    </row>
    <row r="23" spans="1:66" x14ac:dyDescent="0.25">
      <c r="A23">
        <v>2</v>
      </c>
      <c r="B23">
        <v>0</v>
      </c>
      <c r="D23">
        <v>1.7199999999999998</v>
      </c>
      <c r="E23">
        <v>3.9375</v>
      </c>
      <c r="F23">
        <v>4.25</v>
      </c>
      <c r="J23">
        <v>1.68</v>
      </c>
      <c r="K23">
        <v>3.9</v>
      </c>
      <c r="L23">
        <v>4</v>
      </c>
      <c r="M23">
        <v>1.73</v>
      </c>
      <c r="N23">
        <v>3.95</v>
      </c>
      <c r="O23">
        <v>4.4000000000000004</v>
      </c>
      <c r="P23">
        <v>1.74</v>
      </c>
      <c r="Q23">
        <v>3.9</v>
      </c>
      <c r="R23">
        <v>4.4000000000000004</v>
      </c>
      <c r="S23">
        <v>0.55998959670995951</v>
      </c>
      <c r="T23">
        <v>0.20481477267185746</v>
      </c>
      <c r="U23">
        <v>0.23519563061818302</v>
      </c>
      <c r="V23">
        <v>0.57049973987325231</v>
      </c>
      <c r="W23">
        <v>0.20519013513112813</v>
      </c>
      <c r="X23">
        <v>0.22431012499561961</v>
      </c>
      <c r="Y23">
        <v>0.56752800684048055</v>
      </c>
      <c r="Z23">
        <v>0.20804046318169306</v>
      </c>
      <c r="AA23">
        <v>0.22443152997782639</v>
      </c>
      <c r="AB23">
        <v>0.56562193245602421</v>
      </c>
      <c r="AC23">
        <v>0.20526673611793159</v>
      </c>
      <c r="AD23">
        <v>0.22911133142604415</v>
      </c>
      <c r="AE23" t="s">
        <v>172</v>
      </c>
      <c r="AF23" t="s">
        <v>160</v>
      </c>
      <c r="AG23">
        <v>20.079999999999998</v>
      </c>
      <c r="AH23">
        <v>28</v>
      </c>
      <c r="AI23">
        <v>17</v>
      </c>
      <c r="AJ23">
        <v>5</v>
      </c>
      <c r="AK23">
        <v>25.6</v>
      </c>
      <c r="AL23">
        <v>342</v>
      </c>
      <c r="AM23">
        <v>2219</v>
      </c>
      <c r="AN23">
        <v>70</v>
      </c>
      <c r="AO23">
        <v>68</v>
      </c>
      <c r="AP23">
        <v>66</v>
      </c>
      <c r="AQ23">
        <v>2.5</v>
      </c>
      <c r="AR23" t="s">
        <v>29</v>
      </c>
      <c r="AS23" t="s">
        <v>159</v>
      </c>
      <c r="AT23" t="s">
        <v>160</v>
      </c>
      <c r="AU23">
        <v>52.25</v>
      </c>
      <c r="AV23">
        <v>29</v>
      </c>
      <c r="AW23">
        <v>16</v>
      </c>
      <c r="AX23">
        <v>2</v>
      </c>
      <c r="AY23">
        <v>25.8</v>
      </c>
      <c r="AZ23">
        <v>87</v>
      </c>
      <c r="BA23">
        <v>5184</v>
      </c>
      <c r="BB23">
        <v>77</v>
      </c>
      <c r="BC23">
        <v>67</v>
      </c>
      <c r="BD23">
        <v>68</v>
      </c>
      <c r="BE23">
        <v>3</v>
      </c>
      <c r="BF23" t="s">
        <v>29</v>
      </c>
      <c r="BG23">
        <v>-9</v>
      </c>
      <c r="BH23">
        <v>-16</v>
      </c>
      <c r="BI23">
        <v>0.1</v>
      </c>
      <c r="BJ23" t="s">
        <v>234</v>
      </c>
      <c r="BK23">
        <v>0.44829999999999998</v>
      </c>
      <c r="BL23">
        <v>0.32140000000000002</v>
      </c>
      <c r="BM23">
        <v>1.63</v>
      </c>
      <c r="BN23">
        <v>1.1100000000000001</v>
      </c>
    </row>
    <row r="24" spans="1:66" x14ac:dyDescent="0.25">
      <c r="A24">
        <v>1</v>
      </c>
      <c r="B24">
        <v>1</v>
      </c>
      <c r="D24">
        <v>1.4524999999999999</v>
      </c>
      <c r="E24">
        <v>4.125</v>
      </c>
      <c r="F24">
        <v>6.6124999999999998</v>
      </c>
      <c r="J24">
        <v>1.42</v>
      </c>
      <c r="K24">
        <v>3.95</v>
      </c>
      <c r="L24">
        <v>6.5</v>
      </c>
      <c r="M24">
        <v>1.48</v>
      </c>
      <c r="N24">
        <v>4.3</v>
      </c>
      <c r="O24">
        <v>6.6</v>
      </c>
      <c r="P24">
        <v>1.48</v>
      </c>
      <c r="Q24">
        <v>4.25</v>
      </c>
      <c r="R24">
        <v>6.6</v>
      </c>
      <c r="S24">
        <v>0.67517374052528178</v>
      </c>
      <c r="T24">
        <v>0.17732676539073364</v>
      </c>
      <c r="U24">
        <v>0.14749949408398461</v>
      </c>
      <c r="V24">
        <v>0.67844390586842307</v>
      </c>
      <c r="W24">
        <v>0.16942018796714278</v>
      </c>
      <c r="X24">
        <v>0.15213590616443429</v>
      </c>
      <c r="Y24">
        <v>0.67713877528152844</v>
      </c>
      <c r="Z24">
        <v>0.17101798420079559</v>
      </c>
      <c r="AA24">
        <v>0.15184324051767609</v>
      </c>
      <c r="AB24">
        <v>0.67786756380965385</v>
      </c>
      <c r="AC24">
        <v>0.1732101544434286</v>
      </c>
      <c r="AD24">
        <v>0.14892228174691766</v>
      </c>
      <c r="AE24" t="s">
        <v>107</v>
      </c>
      <c r="AF24" t="s">
        <v>108</v>
      </c>
      <c r="AG24">
        <v>118.25</v>
      </c>
      <c r="AH24">
        <v>29</v>
      </c>
      <c r="AI24">
        <v>3</v>
      </c>
      <c r="AJ24">
        <v>6</v>
      </c>
      <c r="AK24">
        <v>26.1</v>
      </c>
      <c r="AL24">
        <v>2</v>
      </c>
      <c r="AM24">
        <v>13486</v>
      </c>
      <c r="AN24">
        <v>78</v>
      </c>
      <c r="AO24">
        <v>76</v>
      </c>
      <c r="AP24">
        <v>74</v>
      </c>
      <c r="AQ24">
        <v>4</v>
      </c>
      <c r="AR24" t="s">
        <v>29</v>
      </c>
      <c r="AS24" t="s">
        <v>120</v>
      </c>
      <c r="AT24" t="s">
        <v>108</v>
      </c>
      <c r="AU24">
        <v>16.53</v>
      </c>
      <c r="AV24">
        <v>31</v>
      </c>
      <c r="AW24">
        <v>3</v>
      </c>
      <c r="AX24">
        <v>0</v>
      </c>
      <c r="AY24">
        <v>28.7</v>
      </c>
      <c r="AZ24">
        <v>106</v>
      </c>
      <c r="BA24">
        <v>4727</v>
      </c>
      <c r="BB24">
        <v>68</v>
      </c>
      <c r="BC24">
        <v>71</v>
      </c>
      <c r="BD24">
        <v>70</v>
      </c>
      <c r="BE24">
        <v>3</v>
      </c>
      <c r="BF24" t="s">
        <v>28</v>
      </c>
      <c r="BG24">
        <v>4</v>
      </c>
      <c r="BH24">
        <v>10</v>
      </c>
      <c r="BI24">
        <v>0.75</v>
      </c>
      <c r="BJ24" t="s">
        <v>236</v>
      </c>
      <c r="BK24">
        <v>0.62860000000000005</v>
      </c>
      <c r="BL24">
        <v>0.4032</v>
      </c>
      <c r="BM24">
        <v>1.87</v>
      </c>
      <c r="BN24">
        <v>1.26</v>
      </c>
    </row>
    <row r="25" spans="1:66" x14ac:dyDescent="0.25">
      <c r="A25">
        <v>2</v>
      </c>
      <c r="B25">
        <v>0</v>
      </c>
      <c r="D25">
        <v>1.8274999999999999</v>
      </c>
      <c r="E25">
        <v>3.2250000000000001</v>
      </c>
      <c r="F25">
        <v>4.4624999999999995</v>
      </c>
      <c r="J25">
        <v>1.79</v>
      </c>
      <c r="K25">
        <v>3.15</v>
      </c>
      <c r="L25">
        <v>4.3</v>
      </c>
      <c r="M25">
        <v>1.85</v>
      </c>
      <c r="N25">
        <v>3.3</v>
      </c>
      <c r="O25">
        <v>4.5999999999999996</v>
      </c>
      <c r="P25">
        <v>1.86</v>
      </c>
      <c r="Q25">
        <v>3.3</v>
      </c>
      <c r="R25">
        <v>4.5999999999999996</v>
      </c>
      <c r="S25">
        <v>0.52737836495937551</v>
      </c>
      <c r="T25">
        <v>0.25308505985986118</v>
      </c>
      <c r="U25">
        <v>0.2195365751807633</v>
      </c>
      <c r="V25">
        <v>0.53793402151158587</v>
      </c>
      <c r="W25">
        <v>0.24572294809788495</v>
      </c>
      <c r="X25">
        <v>0.21634303039052916</v>
      </c>
      <c r="Y25">
        <v>0.53670256453556642</v>
      </c>
      <c r="Z25">
        <v>0.24628292023918266</v>
      </c>
      <c r="AA25">
        <v>0.21701451522525081</v>
      </c>
      <c r="AB25">
        <v>0.53219844028039831</v>
      </c>
      <c r="AC25">
        <v>0.24978092341079533</v>
      </c>
      <c r="AD25">
        <v>0.21802063630880639</v>
      </c>
      <c r="AE25" t="s">
        <v>115</v>
      </c>
      <c r="AF25" t="s">
        <v>108</v>
      </c>
      <c r="AG25">
        <v>62.68</v>
      </c>
      <c r="AH25">
        <v>34</v>
      </c>
      <c r="AI25">
        <v>5</v>
      </c>
      <c r="AJ25">
        <v>3</v>
      </c>
      <c r="AK25">
        <v>25.6</v>
      </c>
      <c r="AL25">
        <v>64</v>
      </c>
      <c r="AM25">
        <v>6079</v>
      </c>
      <c r="AN25">
        <v>72</v>
      </c>
      <c r="AO25">
        <v>74</v>
      </c>
      <c r="AP25">
        <v>72</v>
      </c>
      <c r="AQ25">
        <v>3.5</v>
      </c>
      <c r="AR25" t="s">
        <v>29</v>
      </c>
      <c r="AS25" t="s">
        <v>123</v>
      </c>
      <c r="AT25" t="s">
        <v>108</v>
      </c>
      <c r="AU25">
        <v>23.65</v>
      </c>
      <c r="AV25">
        <v>37</v>
      </c>
      <c r="AW25">
        <v>6</v>
      </c>
      <c r="AX25">
        <v>2</v>
      </c>
      <c r="AY25">
        <v>25</v>
      </c>
      <c r="AZ25">
        <v>155</v>
      </c>
      <c r="BA25">
        <v>3912</v>
      </c>
      <c r="BB25">
        <v>73</v>
      </c>
      <c r="BC25">
        <v>72</v>
      </c>
      <c r="BD25">
        <v>71</v>
      </c>
      <c r="BE25">
        <v>3.5</v>
      </c>
      <c r="BF25" t="s">
        <v>29</v>
      </c>
      <c r="BG25">
        <v>-1</v>
      </c>
      <c r="BH25">
        <v>0</v>
      </c>
      <c r="BI25">
        <v>0.28599999999999998</v>
      </c>
      <c r="BJ25" t="s">
        <v>236</v>
      </c>
      <c r="BK25">
        <v>0.3448</v>
      </c>
      <c r="BL25">
        <v>0.22409999999999999</v>
      </c>
      <c r="BM25">
        <v>1.1599999999999999</v>
      </c>
      <c r="BN25">
        <v>0.91</v>
      </c>
    </row>
    <row r="26" spans="1:66" x14ac:dyDescent="0.25">
      <c r="A26">
        <v>1</v>
      </c>
      <c r="B26">
        <v>3</v>
      </c>
      <c r="D26">
        <v>1.665</v>
      </c>
      <c r="E26">
        <v>3.6625000000000001</v>
      </c>
      <c r="F26">
        <v>4.3625000000000007</v>
      </c>
      <c r="J26">
        <v>1.62</v>
      </c>
      <c r="K26">
        <v>3.65</v>
      </c>
      <c r="L26">
        <v>4.3</v>
      </c>
      <c r="M26">
        <v>1.72</v>
      </c>
      <c r="N26">
        <v>3.65</v>
      </c>
      <c r="O26">
        <v>4.4000000000000004</v>
      </c>
      <c r="P26">
        <v>1.7</v>
      </c>
      <c r="Q26">
        <v>3.7</v>
      </c>
      <c r="R26">
        <v>4.45</v>
      </c>
      <c r="S26">
        <v>0.57142332235109672</v>
      </c>
      <c r="T26">
        <v>0.21329626318174577</v>
      </c>
      <c r="U26">
        <v>0.21528041446715737</v>
      </c>
      <c r="V26">
        <v>0.56141082362388339</v>
      </c>
      <c r="W26">
        <v>0.21912858168678051</v>
      </c>
      <c r="X26">
        <v>0.21946059468933618</v>
      </c>
      <c r="Y26">
        <v>0.56779319340685408</v>
      </c>
      <c r="Z26">
        <v>0.21529704731412305</v>
      </c>
      <c r="AA26">
        <v>0.21690975927902287</v>
      </c>
      <c r="AB26">
        <v>0.5680126654332327</v>
      </c>
      <c r="AC26">
        <v>0.21525453884109877</v>
      </c>
      <c r="AD26">
        <v>0.21673279572566845</v>
      </c>
      <c r="AE26" t="s">
        <v>237</v>
      </c>
      <c r="AF26" t="s">
        <v>238</v>
      </c>
      <c r="AG26">
        <v>18.579999999999998</v>
      </c>
      <c r="AH26">
        <v>32</v>
      </c>
      <c r="AI26">
        <v>7</v>
      </c>
      <c r="AJ26">
        <v>3</v>
      </c>
      <c r="AK26">
        <v>29.5</v>
      </c>
      <c r="AL26">
        <v>109</v>
      </c>
      <c r="AM26">
        <v>4640</v>
      </c>
      <c r="AN26">
        <v>74</v>
      </c>
      <c r="AO26">
        <v>72</v>
      </c>
      <c r="AP26">
        <v>71</v>
      </c>
      <c r="AQ26">
        <v>3.5</v>
      </c>
      <c r="AR26" t="s">
        <v>29</v>
      </c>
      <c r="AS26" t="s">
        <v>242</v>
      </c>
      <c r="AT26" t="s">
        <v>238</v>
      </c>
      <c r="AU26">
        <v>1.9</v>
      </c>
      <c r="AV26">
        <v>33</v>
      </c>
      <c r="AW26">
        <v>3</v>
      </c>
      <c r="AX26">
        <v>0</v>
      </c>
      <c r="AY26">
        <v>27.1</v>
      </c>
      <c r="AZ26">
        <v>415</v>
      </c>
      <c r="BA26">
        <v>1769</v>
      </c>
      <c r="BB26">
        <v>67</v>
      </c>
      <c r="BC26">
        <v>64</v>
      </c>
      <c r="BD26">
        <v>62</v>
      </c>
      <c r="BE26">
        <v>2</v>
      </c>
      <c r="BF26" t="s">
        <v>29</v>
      </c>
      <c r="BG26">
        <v>8</v>
      </c>
      <c r="BH26">
        <v>13</v>
      </c>
      <c r="BI26">
        <v>0.45500000000000002</v>
      </c>
      <c r="BJ26" t="s">
        <v>238</v>
      </c>
      <c r="BK26">
        <v>0.47620000000000001</v>
      </c>
      <c r="BL26">
        <v>0.27779999999999999</v>
      </c>
      <c r="BM26">
        <v>1.17</v>
      </c>
      <c r="BN26">
        <v>1.1399999999999999</v>
      </c>
    </row>
    <row r="27" spans="1:66" x14ac:dyDescent="0.25">
      <c r="A27">
        <v>1</v>
      </c>
      <c r="B27">
        <v>1</v>
      </c>
      <c r="D27">
        <v>1.5449999999999999</v>
      </c>
      <c r="E27">
        <v>3.65</v>
      </c>
      <c r="F27">
        <v>5.5500000000000007</v>
      </c>
      <c r="J27">
        <v>1.55</v>
      </c>
      <c r="K27">
        <v>3.6</v>
      </c>
      <c r="L27">
        <v>4.9000000000000004</v>
      </c>
      <c r="M27">
        <v>1.54</v>
      </c>
      <c r="N27">
        <v>3.7</v>
      </c>
      <c r="O27">
        <v>6.2</v>
      </c>
      <c r="P27">
        <v>1.54</v>
      </c>
      <c r="Q27">
        <v>3.7</v>
      </c>
      <c r="R27">
        <v>6.2</v>
      </c>
      <c r="S27">
        <v>0.60073007782905163</v>
      </c>
      <c r="T27">
        <v>0.20924306081686067</v>
      </c>
      <c r="U27">
        <v>0.19002686135408775</v>
      </c>
      <c r="V27">
        <v>0.64285202159753363</v>
      </c>
      <c r="W27">
        <v>0.19747183110243383</v>
      </c>
      <c r="X27">
        <v>0.15967614730003254</v>
      </c>
      <c r="Y27">
        <v>0.64285202159753363</v>
      </c>
      <c r="Z27">
        <v>0.19747183110243383</v>
      </c>
      <c r="AA27">
        <v>0.15967614730003254</v>
      </c>
      <c r="AB27">
        <v>0.62179104971329258</v>
      </c>
      <c r="AC27">
        <v>0.20335744595964728</v>
      </c>
      <c r="AD27">
        <v>0.17485150432706015</v>
      </c>
      <c r="AE27" t="s">
        <v>245</v>
      </c>
      <c r="AF27" t="s">
        <v>246</v>
      </c>
      <c r="AG27">
        <v>14.18</v>
      </c>
      <c r="AH27">
        <v>33</v>
      </c>
      <c r="AI27">
        <v>4</v>
      </c>
      <c r="AJ27">
        <v>2</v>
      </c>
      <c r="AK27">
        <v>26.6</v>
      </c>
      <c r="AL27">
        <v>203</v>
      </c>
      <c r="AM27">
        <v>3267</v>
      </c>
      <c r="AN27">
        <v>72</v>
      </c>
      <c r="AO27">
        <v>69</v>
      </c>
      <c r="AP27">
        <v>69</v>
      </c>
      <c r="AQ27">
        <v>3.5</v>
      </c>
      <c r="AR27" t="s">
        <v>29</v>
      </c>
      <c r="AS27" t="s">
        <v>248</v>
      </c>
      <c r="AT27" t="s">
        <v>246</v>
      </c>
      <c r="AU27">
        <v>4.43</v>
      </c>
      <c r="AV27">
        <v>32</v>
      </c>
      <c r="AW27">
        <v>2</v>
      </c>
      <c r="AX27">
        <v>0</v>
      </c>
      <c r="AY27">
        <v>24.6</v>
      </c>
      <c r="AZ27">
        <v>411</v>
      </c>
      <c r="BA27">
        <v>1794</v>
      </c>
      <c r="BB27">
        <v>64</v>
      </c>
      <c r="BC27">
        <v>64</v>
      </c>
      <c r="BD27">
        <v>63</v>
      </c>
      <c r="BE27">
        <v>2</v>
      </c>
      <c r="BF27" t="s">
        <v>29</v>
      </c>
      <c r="BG27">
        <v>15</v>
      </c>
      <c r="BH27">
        <v>28</v>
      </c>
      <c r="BI27">
        <v>0.6</v>
      </c>
      <c r="BJ27" t="s">
        <v>246</v>
      </c>
      <c r="BK27">
        <v>0.4667</v>
      </c>
      <c r="BL27">
        <v>0.4884</v>
      </c>
      <c r="BM27">
        <v>1.42</v>
      </c>
      <c r="BN27">
        <v>1.95</v>
      </c>
    </row>
    <row r="28" spans="1:66" x14ac:dyDescent="0.25">
      <c r="A28">
        <v>3</v>
      </c>
      <c r="B28">
        <v>-3</v>
      </c>
      <c r="D28">
        <v>2.1675000000000004</v>
      </c>
      <c r="E28">
        <v>3.4750000000000001</v>
      </c>
      <c r="F28">
        <v>3.125</v>
      </c>
      <c r="J28">
        <v>2.12</v>
      </c>
      <c r="K28">
        <v>3.35</v>
      </c>
      <c r="L28">
        <v>3.05</v>
      </c>
      <c r="M28">
        <v>2.17</v>
      </c>
      <c r="N28">
        <v>3.55</v>
      </c>
      <c r="O28">
        <v>3.15</v>
      </c>
      <c r="P28">
        <v>2.2000000000000002</v>
      </c>
      <c r="Q28">
        <v>3.5</v>
      </c>
      <c r="R28">
        <v>3.15</v>
      </c>
      <c r="S28">
        <v>0.44060477698652867</v>
      </c>
      <c r="T28">
        <v>0.25313878786217914</v>
      </c>
      <c r="U28">
        <v>0.30625643515129214</v>
      </c>
      <c r="V28">
        <v>0.44833273931386608</v>
      </c>
      <c r="W28">
        <v>0.24281581804769292</v>
      </c>
      <c r="X28">
        <v>0.30885144263844111</v>
      </c>
      <c r="Y28">
        <v>0.44338530066815135</v>
      </c>
      <c r="Z28">
        <v>0.24694877505567933</v>
      </c>
      <c r="AA28">
        <v>0.30966592427616929</v>
      </c>
      <c r="AB28">
        <v>0.44444447372844276</v>
      </c>
      <c r="AC28">
        <v>0.24729127655503474</v>
      </c>
      <c r="AD28">
        <v>0.3082642497165225</v>
      </c>
      <c r="AE28" t="s">
        <v>170</v>
      </c>
      <c r="AF28" t="s">
        <v>160</v>
      </c>
      <c r="AG28">
        <v>19.2</v>
      </c>
      <c r="AH28">
        <v>27</v>
      </c>
      <c r="AI28">
        <v>13</v>
      </c>
      <c r="AJ28">
        <v>3</v>
      </c>
      <c r="AK28">
        <v>24.8</v>
      </c>
      <c r="AL28">
        <v>315</v>
      </c>
      <c r="AM28">
        <v>2380</v>
      </c>
      <c r="AN28">
        <v>69</v>
      </c>
      <c r="AO28">
        <v>69</v>
      </c>
      <c r="AP28">
        <v>70</v>
      </c>
      <c r="AQ28">
        <v>3</v>
      </c>
      <c r="AR28" t="s">
        <v>29</v>
      </c>
      <c r="AS28" t="s">
        <v>165</v>
      </c>
      <c r="AT28" t="s">
        <v>160</v>
      </c>
      <c r="AU28">
        <v>14.63</v>
      </c>
      <c r="AV28">
        <v>27</v>
      </c>
      <c r="AW28">
        <v>15</v>
      </c>
      <c r="AX28">
        <v>6</v>
      </c>
      <c r="AY28">
        <v>25.6</v>
      </c>
      <c r="AZ28">
        <v>263</v>
      </c>
      <c r="BA28">
        <v>2715</v>
      </c>
      <c r="BB28">
        <v>70</v>
      </c>
      <c r="BC28">
        <v>69</v>
      </c>
      <c r="BD28">
        <v>68</v>
      </c>
      <c r="BE28">
        <v>3</v>
      </c>
      <c r="BF28" t="s">
        <v>29</v>
      </c>
      <c r="BG28">
        <v>7</v>
      </c>
      <c r="BH28">
        <v>14</v>
      </c>
      <c r="BI28">
        <v>0.46899999999999997</v>
      </c>
      <c r="BJ28" t="s">
        <v>234</v>
      </c>
      <c r="BK28">
        <v>0.375</v>
      </c>
      <c r="BL28">
        <v>0.59260000000000002</v>
      </c>
      <c r="BM28">
        <v>1.29</v>
      </c>
      <c r="BN28">
        <v>1.81</v>
      </c>
    </row>
    <row r="29" spans="1:66" x14ac:dyDescent="0.25">
      <c r="A29">
        <v>3</v>
      </c>
      <c r="B29">
        <v>-1</v>
      </c>
      <c r="D29">
        <v>2.3674999999999997</v>
      </c>
      <c r="E29">
        <v>3.4624999999999999</v>
      </c>
      <c r="F29">
        <v>2.7749999999999995</v>
      </c>
      <c r="J29">
        <v>2.2999999999999998</v>
      </c>
      <c r="K29">
        <v>3.35</v>
      </c>
      <c r="L29">
        <v>2.7</v>
      </c>
      <c r="M29">
        <v>2.39</v>
      </c>
      <c r="N29">
        <v>3.5</v>
      </c>
      <c r="O29">
        <v>2.8</v>
      </c>
      <c r="P29">
        <v>2.4</v>
      </c>
      <c r="Q29">
        <v>3.5</v>
      </c>
      <c r="R29">
        <v>2.8</v>
      </c>
      <c r="S29">
        <v>0.40243402160536035</v>
      </c>
      <c r="T29">
        <v>0.25475181184192536</v>
      </c>
      <c r="U29">
        <v>0.34281416655271435</v>
      </c>
      <c r="V29">
        <v>0.4053644031798046</v>
      </c>
      <c r="W29">
        <v>0.24862812410600504</v>
      </c>
      <c r="X29">
        <v>0.34600747271419036</v>
      </c>
      <c r="Y29">
        <v>0.4044444444444445</v>
      </c>
      <c r="Z29">
        <v>0.24888888888888891</v>
      </c>
      <c r="AA29">
        <v>0.34666666666666668</v>
      </c>
      <c r="AB29">
        <v>0.40463300059667467</v>
      </c>
      <c r="AC29">
        <v>0.25015848212405106</v>
      </c>
      <c r="AD29">
        <v>0.34520851727927426</v>
      </c>
      <c r="AE29" t="s">
        <v>173</v>
      </c>
      <c r="AF29" t="s">
        <v>160</v>
      </c>
      <c r="AG29">
        <v>21.13</v>
      </c>
      <c r="AH29">
        <v>28</v>
      </c>
      <c r="AI29">
        <v>13</v>
      </c>
      <c r="AJ29">
        <v>7</v>
      </c>
      <c r="AK29">
        <v>25.7</v>
      </c>
      <c r="AL29">
        <v>361</v>
      </c>
      <c r="AM29">
        <v>2072</v>
      </c>
      <c r="AN29">
        <v>72</v>
      </c>
      <c r="AO29">
        <v>67</v>
      </c>
      <c r="AP29">
        <v>67</v>
      </c>
      <c r="AQ29">
        <v>3</v>
      </c>
      <c r="AR29" t="s">
        <v>29</v>
      </c>
      <c r="AS29" t="s">
        <v>168</v>
      </c>
      <c r="AT29" t="s">
        <v>160</v>
      </c>
      <c r="AU29">
        <v>19.649999999999999</v>
      </c>
      <c r="AV29">
        <v>28</v>
      </c>
      <c r="AW29">
        <v>11</v>
      </c>
      <c r="AX29">
        <v>1</v>
      </c>
      <c r="AY29">
        <v>26.8</v>
      </c>
      <c r="AZ29">
        <v>302</v>
      </c>
      <c r="BA29">
        <v>2441</v>
      </c>
      <c r="BB29">
        <v>71</v>
      </c>
      <c r="BC29">
        <v>69</v>
      </c>
      <c r="BD29">
        <v>68</v>
      </c>
      <c r="BE29">
        <v>3</v>
      </c>
      <c r="BF29" t="s">
        <v>29</v>
      </c>
      <c r="BG29">
        <v>11</v>
      </c>
      <c r="BH29">
        <v>26</v>
      </c>
      <c r="BI29">
        <v>0.436</v>
      </c>
      <c r="BJ29" t="s">
        <v>234</v>
      </c>
      <c r="BK29">
        <v>0.20830000000000001</v>
      </c>
      <c r="BL29">
        <v>0.39290000000000003</v>
      </c>
      <c r="BM29">
        <v>1.38</v>
      </c>
      <c r="BN29">
        <v>1.18</v>
      </c>
    </row>
    <row r="30" spans="1:66" x14ac:dyDescent="0.25">
      <c r="A30">
        <v>1</v>
      </c>
      <c r="B30">
        <v>3</v>
      </c>
      <c r="D30">
        <v>1.4624999999999999</v>
      </c>
      <c r="E30">
        <v>4.1124999999999998</v>
      </c>
      <c r="F30">
        <v>6.9749999999999996</v>
      </c>
      <c r="J30">
        <v>1.42</v>
      </c>
      <c r="K30">
        <v>3.95</v>
      </c>
      <c r="L30">
        <v>7</v>
      </c>
      <c r="M30">
        <v>1.48</v>
      </c>
      <c r="N30">
        <v>4.2</v>
      </c>
      <c r="O30">
        <v>6.8</v>
      </c>
      <c r="P30">
        <v>1.48</v>
      </c>
      <c r="Q30">
        <v>4.2</v>
      </c>
      <c r="R30">
        <v>6.6</v>
      </c>
      <c r="S30">
        <v>0.68603958678189758</v>
      </c>
      <c r="T30">
        <v>0.17479238275663178</v>
      </c>
      <c r="U30">
        <v>0.13916803046147067</v>
      </c>
      <c r="V30">
        <v>0.68017642801545786</v>
      </c>
      <c r="W30">
        <v>0.17178517294588352</v>
      </c>
      <c r="X30">
        <v>0.14803839903865848</v>
      </c>
      <c r="Y30">
        <v>0.67580879303193697</v>
      </c>
      <c r="Z30">
        <v>0.17264620489423474</v>
      </c>
      <c r="AA30">
        <v>0.15154500207382829</v>
      </c>
      <c r="AB30">
        <v>0.68378251474598772</v>
      </c>
      <c r="AC30">
        <v>0.17256747005394468</v>
      </c>
      <c r="AD30">
        <v>0.14365001520006762</v>
      </c>
      <c r="AE30" t="s">
        <v>175</v>
      </c>
      <c r="AF30" t="s">
        <v>160</v>
      </c>
      <c r="AG30">
        <v>24.6</v>
      </c>
      <c r="AH30">
        <v>28</v>
      </c>
      <c r="AI30">
        <v>17</v>
      </c>
      <c r="AJ30">
        <v>4</v>
      </c>
      <c r="AK30">
        <v>27.1</v>
      </c>
      <c r="AL30">
        <v>380</v>
      </c>
      <c r="AM30">
        <v>1959</v>
      </c>
      <c r="AN30">
        <v>69</v>
      </c>
      <c r="AO30">
        <v>72</v>
      </c>
      <c r="AP30">
        <v>70</v>
      </c>
      <c r="AQ30">
        <v>3.5</v>
      </c>
      <c r="AR30" t="s">
        <v>29</v>
      </c>
      <c r="AS30" t="s">
        <v>177</v>
      </c>
      <c r="AT30" t="s">
        <v>160</v>
      </c>
      <c r="AU30">
        <v>22.03</v>
      </c>
      <c r="AV30">
        <v>25</v>
      </c>
      <c r="AW30">
        <v>12</v>
      </c>
      <c r="AX30">
        <v>3</v>
      </c>
      <c r="AY30">
        <v>27.6</v>
      </c>
      <c r="AZ30">
        <v>596</v>
      </c>
      <c r="BA30">
        <v>1058</v>
      </c>
      <c r="BB30">
        <v>70</v>
      </c>
      <c r="BC30">
        <v>69</v>
      </c>
      <c r="BD30">
        <v>69</v>
      </c>
      <c r="BE30">
        <v>3</v>
      </c>
      <c r="BF30" t="s">
        <v>29</v>
      </c>
      <c r="BG30">
        <v>5</v>
      </c>
      <c r="BH30">
        <v>5</v>
      </c>
      <c r="BI30">
        <v>0.4</v>
      </c>
      <c r="BJ30" t="s">
        <v>234</v>
      </c>
      <c r="BK30">
        <v>0.57140000000000002</v>
      </c>
      <c r="BL30">
        <v>0.16669999999999999</v>
      </c>
      <c r="BM30">
        <v>1.64</v>
      </c>
      <c r="BN30">
        <v>0.54</v>
      </c>
    </row>
    <row r="31" spans="1:66" x14ac:dyDescent="0.25">
      <c r="A31">
        <v>1</v>
      </c>
      <c r="B31">
        <v>3</v>
      </c>
      <c r="D31">
        <v>5.3849999999999998</v>
      </c>
      <c r="E31">
        <v>3.5375000000000001</v>
      </c>
      <c r="F31">
        <v>3.1749999999999998</v>
      </c>
      <c r="J31">
        <v>2.12</v>
      </c>
      <c r="K31">
        <v>3.4</v>
      </c>
      <c r="L31">
        <v>3</v>
      </c>
      <c r="M31">
        <v>2.09</v>
      </c>
      <c r="N31">
        <v>3.6</v>
      </c>
      <c r="O31">
        <v>3.3</v>
      </c>
      <c r="P31">
        <v>2.1</v>
      </c>
      <c r="Q31">
        <v>3.6</v>
      </c>
      <c r="R31">
        <v>3.3</v>
      </c>
      <c r="S31">
        <v>0.43984820924543688</v>
      </c>
      <c r="T31">
        <v>0.24932572288778776</v>
      </c>
      <c r="U31">
        <v>0.31082606786677541</v>
      </c>
      <c r="V31">
        <v>1.4882339894900263E-2</v>
      </c>
      <c r="W31">
        <v>4.2569466761416354E-2</v>
      </c>
      <c r="X31">
        <v>0.94254819334368334</v>
      </c>
      <c r="Y31">
        <v>0.46542827657378738</v>
      </c>
      <c r="Z31">
        <v>0.23839009287925697</v>
      </c>
      <c r="AA31">
        <v>0.29618163054695562</v>
      </c>
      <c r="AB31">
        <v>0.34119351758737049</v>
      </c>
      <c r="AC31">
        <v>0.19325128098093075</v>
      </c>
      <c r="AD31">
        <v>0.46555520143169871</v>
      </c>
      <c r="AE31" t="s">
        <v>162</v>
      </c>
      <c r="AF31" t="s">
        <v>160</v>
      </c>
      <c r="AG31">
        <v>23.93</v>
      </c>
      <c r="AH31">
        <v>25</v>
      </c>
      <c r="AI31">
        <v>17</v>
      </c>
      <c r="AJ31">
        <v>6</v>
      </c>
      <c r="AK31">
        <v>27</v>
      </c>
      <c r="AL31">
        <v>185</v>
      </c>
      <c r="AM31">
        <v>3516</v>
      </c>
      <c r="AN31">
        <v>65</v>
      </c>
      <c r="AO31">
        <v>70</v>
      </c>
      <c r="AP31">
        <v>68</v>
      </c>
      <c r="AQ31">
        <v>2.5</v>
      </c>
      <c r="AR31" t="s">
        <v>29</v>
      </c>
      <c r="AS31" t="s">
        <v>166</v>
      </c>
      <c r="AT31" t="s">
        <v>160</v>
      </c>
      <c r="AU31">
        <v>13.98</v>
      </c>
      <c r="AV31">
        <v>31</v>
      </c>
      <c r="AW31">
        <v>16</v>
      </c>
      <c r="AX31">
        <v>8</v>
      </c>
      <c r="AY31">
        <v>26.5</v>
      </c>
      <c r="AZ31">
        <v>270</v>
      </c>
      <c r="BA31">
        <v>2670</v>
      </c>
      <c r="BB31">
        <v>71</v>
      </c>
      <c r="BC31">
        <v>69</v>
      </c>
      <c r="BD31">
        <v>67</v>
      </c>
      <c r="BE31">
        <v>2.5</v>
      </c>
      <c r="BF31" t="s">
        <v>29</v>
      </c>
      <c r="BG31">
        <v>4</v>
      </c>
      <c r="BH31">
        <v>9</v>
      </c>
      <c r="BI31">
        <v>0.42899999999999999</v>
      </c>
      <c r="BJ31" t="s">
        <v>234</v>
      </c>
      <c r="BK31">
        <v>0.44440000000000002</v>
      </c>
      <c r="BL31">
        <v>0.20830000000000001</v>
      </c>
      <c r="BM31">
        <v>1.85</v>
      </c>
      <c r="BN31">
        <v>1.1299999999999999</v>
      </c>
    </row>
    <row r="32" spans="1:66" x14ac:dyDescent="0.25">
      <c r="A32">
        <v>3</v>
      </c>
      <c r="B32">
        <v>-1</v>
      </c>
      <c r="D32">
        <v>1.9550000000000001</v>
      </c>
      <c r="E32">
        <v>3.6749999999999998</v>
      </c>
      <c r="F32">
        <v>3.4874999999999998</v>
      </c>
      <c r="J32">
        <v>1.92</v>
      </c>
      <c r="K32">
        <v>3.55</v>
      </c>
      <c r="L32">
        <v>3.35</v>
      </c>
      <c r="M32">
        <v>1.96</v>
      </c>
      <c r="N32">
        <v>3.75</v>
      </c>
      <c r="O32">
        <v>3.55</v>
      </c>
      <c r="P32">
        <v>1.96</v>
      </c>
      <c r="Q32">
        <v>3.75</v>
      </c>
      <c r="R32">
        <v>3.55</v>
      </c>
      <c r="S32">
        <v>0.48677497241371781</v>
      </c>
      <c r="T32">
        <v>0.23423758071036044</v>
      </c>
      <c r="U32">
        <v>0.27898744687592186</v>
      </c>
      <c r="V32">
        <v>0.49898389245357827</v>
      </c>
      <c r="W32">
        <v>0.22552077537486862</v>
      </c>
      <c r="X32">
        <v>0.27549533217155309</v>
      </c>
      <c r="Y32">
        <v>0.49898389245357827</v>
      </c>
      <c r="Z32">
        <v>0.22552077537486862</v>
      </c>
      <c r="AA32">
        <v>0.27549533217155309</v>
      </c>
      <c r="AB32">
        <v>0.49386145307948864</v>
      </c>
      <c r="AC32">
        <v>0.22924458705188167</v>
      </c>
      <c r="AD32">
        <v>0.27689395986862975</v>
      </c>
      <c r="AE32" t="s">
        <v>163</v>
      </c>
      <c r="AF32" t="s">
        <v>160</v>
      </c>
      <c r="AG32">
        <v>26.63</v>
      </c>
      <c r="AH32">
        <v>25</v>
      </c>
      <c r="AI32">
        <v>11</v>
      </c>
      <c r="AJ32">
        <v>7</v>
      </c>
      <c r="AK32">
        <v>26.3</v>
      </c>
      <c r="AL32">
        <v>199</v>
      </c>
      <c r="AM32">
        <v>3295</v>
      </c>
      <c r="AN32">
        <v>73</v>
      </c>
      <c r="AO32">
        <v>73</v>
      </c>
      <c r="AP32">
        <v>69</v>
      </c>
      <c r="AQ32">
        <v>3.5</v>
      </c>
      <c r="AR32" t="s">
        <v>29</v>
      </c>
      <c r="AS32" t="s">
        <v>164</v>
      </c>
      <c r="AT32" t="s">
        <v>160</v>
      </c>
      <c r="AU32">
        <v>23.3</v>
      </c>
      <c r="AV32">
        <v>28</v>
      </c>
      <c r="AW32">
        <v>19</v>
      </c>
      <c r="AX32">
        <v>8</v>
      </c>
      <c r="AY32">
        <v>27.3</v>
      </c>
      <c r="AZ32">
        <v>208</v>
      </c>
      <c r="BA32">
        <v>3187</v>
      </c>
      <c r="BB32">
        <v>72</v>
      </c>
      <c r="BC32">
        <v>72</v>
      </c>
      <c r="BD32">
        <v>70</v>
      </c>
      <c r="BE32">
        <v>3.5</v>
      </c>
      <c r="BF32" t="s">
        <v>46</v>
      </c>
      <c r="BG32">
        <v>5</v>
      </c>
      <c r="BH32">
        <v>12</v>
      </c>
      <c r="BI32">
        <v>0.44400000000000001</v>
      </c>
      <c r="BJ32" t="s">
        <v>234</v>
      </c>
      <c r="BK32">
        <v>0.48280000000000001</v>
      </c>
      <c r="BL32">
        <v>0.5</v>
      </c>
      <c r="BM32">
        <v>1.93</v>
      </c>
      <c r="BN32">
        <v>1.96</v>
      </c>
    </row>
    <row r="33" spans="1:66" x14ac:dyDescent="0.25">
      <c r="A33">
        <v>2</v>
      </c>
      <c r="B33">
        <v>0</v>
      </c>
      <c r="D33">
        <v>1.51</v>
      </c>
      <c r="E33">
        <v>3.8125</v>
      </c>
      <c r="F33">
        <v>6.3500000000000005</v>
      </c>
      <c r="J33">
        <v>1.49</v>
      </c>
      <c r="K33">
        <v>3.75</v>
      </c>
      <c r="L33">
        <v>5.8</v>
      </c>
      <c r="M33">
        <v>1.52</v>
      </c>
      <c r="N33">
        <v>3.85</v>
      </c>
      <c r="O33">
        <v>7</v>
      </c>
      <c r="P33">
        <v>1.53</v>
      </c>
      <c r="Q33">
        <v>3.85</v>
      </c>
      <c r="R33">
        <v>6.8</v>
      </c>
      <c r="S33">
        <v>0.64138424510505432</v>
      </c>
      <c r="T33">
        <v>0.19384635399726796</v>
      </c>
      <c r="U33">
        <v>0.16476940089767778</v>
      </c>
      <c r="V33">
        <v>0.66896211348726331</v>
      </c>
      <c r="W33">
        <v>0.18577754186978809</v>
      </c>
      <c r="X33">
        <v>0.1452603446429486</v>
      </c>
      <c r="Y33">
        <v>0.66321370559931359</v>
      </c>
      <c r="Z33">
        <v>0.18756321064084097</v>
      </c>
      <c r="AA33">
        <v>0.14922308375984555</v>
      </c>
      <c r="AB33">
        <v>0.65378824613640341</v>
      </c>
      <c r="AC33">
        <v>0.18991624565352294</v>
      </c>
      <c r="AD33">
        <v>0.15629550821007374</v>
      </c>
      <c r="AE33" t="s">
        <v>112</v>
      </c>
      <c r="AF33" t="s">
        <v>108</v>
      </c>
      <c r="AG33">
        <v>55.08</v>
      </c>
      <c r="AH33">
        <v>36</v>
      </c>
      <c r="AI33">
        <v>7</v>
      </c>
      <c r="AJ33">
        <v>2</v>
      </c>
      <c r="AK33">
        <v>26.4</v>
      </c>
      <c r="AL33">
        <v>17</v>
      </c>
      <c r="AM33">
        <v>9035</v>
      </c>
      <c r="AN33">
        <v>73</v>
      </c>
      <c r="AO33">
        <v>74</v>
      </c>
      <c r="AP33">
        <v>74</v>
      </c>
      <c r="AQ33">
        <v>3.5</v>
      </c>
      <c r="AR33" t="s">
        <v>29</v>
      </c>
      <c r="AS33" t="s">
        <v>117</v>
      </c>
      <c r="AT33" t="s">
        <v>108</v>
      </c>
      <c r="AU33">
        <v>24.2</v>
      </c>
      <c r="AV33">
        <v>32</v>
      </c>
      <c r="AW33">
        <v>0</v>
      </c>
      <c r="AX33">
        <v>0</v>
      </c>
      <c r="AY33">
        <v>26.9</v>
      </c>
      <c r="AZ33">
        <v>84</v>
      </c>
      <c r="BA33">
        <v>5249</v>
      </c>
      <c r="BB33">
        <v>70</v>
      </c>
      <c r="BC33">
        <v>72</v>
      </c>
      <c r="BD33">
        <v>71</v>
      </c>
      <c r="BE33">
        <v>3.5</v>
      </c>
      <c r="BF33" t="s">
        <v>28</v>
      </c>
      <c r="BG33">
        <v>6</v>
      </c>
      <c r="BH33">
        <v>16</v>
      </c>
      <c r="BI33">
        <v>0.5</v>
      </c>
      <c r="BJ33" t="s">
        <v>236</v>
      </c>
      <c r="BK33">
        <v>0.52939999999999998</v>
      </c>
      <c r="BL33">
        <v>0.40279999999999999</v>
      </c>
      <c r="BM33">
        <v>1.5</v>
      </c>
      <c r="BN33">
        <v>1.33</v>
      </c>
    </row>
    <row r="34" spans="1:66" x14ac:dyDescent="0.25">
      <c r="A34">
        <v>1</v>
      </c>
      <c r="B34">
        <v>2</v>
      </c>
      <c r="D34">
        <v>1.8000000000000003</v>
      </c>
      <c r="E34">
        <v>3.3250000000000002</v>
      </c>
      <c r="F34">
        <v>4.4499999999999993</v>
      </c>
      <c r="J34">
        <v>1.81</v>
      </c>
      <c r="K34">
        <v>3.2</v>
      </c>
      <c r="L34">
        <v>4</v>
      </c>
      <c r="M34">
        <v>1.78</v>
      </c>
      <c r="N34">
        <v>3.45</v>
      </c>
      <c r="O34">
        <v>4.9000000000000004</v>
      </c>
      <c r="P34">
        <v>1.78</v>
      </c>
      <c r="Q34">
        <v>3.4</v>
      </c>
      <c r="R34">
        <v>4.8</v>
      </c>
      <c r="S34">
        <v>0.51513230113679176</v>
      </c>
      <c r="T34">
        <v>0.25177033259881004</v>
      </c>
      <c r="U34">
        <v>0.23309736626439828</v>
      </c>
      <c r="V34">
        <v>0.56348584773602761</v>
      </c>
      <c r="W34">
        <v>0.23181929329047665</v>
      </c>
      <c r="X34">
        <v>0.20469485897349571</v>
      </c>
      <c r="Y34">
        <v>0.55804537419406897</v>
      </c>
      <c r="Z34">
        <v>0.23501279954229715</v>
      </c>
      <c r="AA34">
        <v>0.20694182626363392</v>
      </c>
      <c r="AB34">
        <v>0.5389243560610274</v>
      </c>
      <c r="AC34">
        <v>0.24197554331027882</v>
      </c>
      <c r="AD34">
        <v>0.21910010062869384</v>
      </c>
      <c r="AE34" t="s">
        <v>116</v>
      </c>
      <c r="AF34" t="s">
        <v>108</v>
      </c>
      <c r="AG34">
        <v>50.33</v>
      </c>
      <c r="AH34">
        <v>33</v>
      </c>
      <c r="AI34">
        <v>4</v>
      </c>
      <c r="AJ34">
        <v>1</v>
      </c>
      <c r="AK34">
        <v>25.3</v>
      </c>
      <c r="AL34">
        <v>75</v>
      </c>
      <c r="AM34">
        <v>5476</v>
      </c>
      <c r="AN34">
        <v>75</v>
      </c>
      <c r="AO34">
        <v>75</v>
      </c>
      <c r="AP34">
        <v>75</v>
      </c>
      <c r="AQ34">
        <v>4</v>
      </c>
      <c r="AR34" t="s">
        <v>29</v>
      </c>
      <c r="AS34" t="s">
        <v>118</v>
      </c>
      <c r="AT34" t="s">
        <v>108</v>
      </c>
      <c r="AU34">
        <v>36.35</v>
      </c>
      <c r="AV34">
        <v>43</v>
      </c>
      <c r="AW34">
        <v>3</v>
      </c>
      <c r="AX34">
        <v>0</v>
      </c>
      <c r="AY34">
        <v>25.3</v>
      </c>
      <c r="AZ34">
        <v>89</v>
      </c>
      <c r="BA34">
        <v>5108</v>
      </c>
      <c r="BB34">
        <v>71</v>
      </c>
      <c r="BC34">
        <v>74</v>
      </c>
      <c r="BD34">
        <v>72</v>
      </c>
      <c r="BE34">
        <v>3.5</v>
      </c>
      <c r="BF34" t="s">
        <v>29</v>
      </c>
      <c r="BG34">
        <v>-12</v>
      </c>
      <c r="BH34">
        <v>0</v>
      </c>
      <c r="BI34">
        <v>0.313</v>
      </c>
      <c r="BJ34" t="s">
        <v>236</v>
      </c>
      <c r="BK34">
        <v>0.44619999999999999</v>
      </c>
      <c r="BL34">
        <v>0.4839</v>
      </c>
      <c r="BM34">
        <v>1.69</v>
      </c>
      <c r="BN34">
        <v>1.52</v>
      </c>
    </row>
    <row r="35" spans="1:66" x14ac:dyDescent="0.25">
      <c r="A35">
        <v>1</v>
      </c>
      <c r="B35">
        <v>1</v>
      </c>
      <c r="D35">
        <v>2.3425000000000002</v>
      </c>
      <c r="E35">
        <v>3.0625</v>
      </c>
      <c r="F35">
        <v>3.0625000000000004</v>
      </c>
      <c r="J35">
        <v>2.2999999999999998</v>
      </c>
      <c r="K35">
        <v>3</v>
      </c>
      <c r="L35">
        <v>2.9</v>
      </c>
      <c r="M35">
        <v>2.37</v>
      </c>
      <c r="N35">
        <v>3.1</v>
      </c>
      <c r="O35">
        <v>3.2</v>
      </c>
      <c r="P35">
        <v>2.37</v>
      </c>
      <c r="Q35">
        <v>3.1</v>
      </c>
      <c r="R35">
        <v>3.2</v>
      </c>
      <c r="S35">
        <v>0.39929027679205109</v>
      </c>
      <c r="T35">
        <v>0.28403122782114981</v>
      </c>
      <c r="U35">
        <v>0.31667849538679915</v>
      </c>
      <c r="V35">
        <v>0.41327299034536863</v>
      </c>
      <c r="W35">
        <v>0.28064670118009272</v>
      </c>
      <c r="X35">
        <v>0.3060803084745386</v>
      </c>
      <c r="Y35">
        <v>0.41327299034536863</v>
      </c>
      <c r="Z35">
        <v>0.28064670118009272</v>
      </c>
      <c r="AA35">
        <v>0.3060803084745386</v>
      </c>
      <c r="AB35">
        <v>0.40685134479391261</v>
      </c>
      <c r="AC35">
        <v>0.28164599122852785</v>
      </c>
      <c r="AD35">
        <v>0.3115026639775596</v>
      </c>
      <c r="AE35" t="s">
        <v>268</v>
      </c>
      <c r="AF35" t="s">
        <v>108</v>
      </c>
      <c r="AG35">
        <v>34.35</v>
      </c>
      <c r="AH35">
        <v>43</v>
      </c>
      <c r="AI35">
        <v>3</v>
      </c>
      <c r="AJ35">
        <v>0</v>
      </c>
      <c r="AK35">
        <v>24.9</v>
      </c>
      <c r="AL35">
        <v>136</v>
      </c>
      <c r="AM35">
        <v>4140</v>
      </c>
      <c r="AN35">
        <v>72</v>
      </c>
      <c r="AO35">
        <v>71</v>
      </c>
      <c r="AP35">
        <v>73</v>
      </c>
      <c r="AQ35">
        <v>3.5</v>
      </c>
      <c r="AR35" t="s">
        <v>29</v>
      </c>
      <c r="AS35" t="s">
        <v>111</v>
      </c>
      <c r="AT35" t="s">
        <v>108</v>
      </c>
      <c r="AU35">
        <v>33.93</v>
      </c>
      <c r="AV35">
        <v>41</v>
      </c>
      <c r="AW35">
        <v>4</v>
      </c>
      <c r="AX35">
        <v>2</v>
      </c>
      <c r="AY35">
        <v>24.7</v>
      </c>
      <c r="AZ35">
        <v>15</v>
      </c>
      <c r="BA35">
        <v>9286</v>
      </c>
      <c r="BB35">
        <v>70</v>
      </c>
      <c r="BC35">
        <v>71</v>
      </c>
      <c r="BD35">
        <v>72</v>
      </c>
      <c r="BE35">
        <v>3.5</v>
      </c>
      <c r="BF35" t="s">
        <v>29</v>
      </c>
      <c r="BG35">
        <v>-7</v>
      </c>
      <c r="BH35">
        <v>0</v>
      </c>
      <c r="BI35">
        <v>0.318</v>
      </c>
      <c r="BJ35" t="s">
        <v>236</v>
      </c>
      <c r="BK35">
        <v>0.29509999999999997</v>
      </c>
      <c r="BL35">
        <v>0.43940000000000001</v>
      </c>
      <c r="BM35">
        <v>0.87</v>
      </c>
      <c r="BN35">
        <v>1.29</v>
      </c>
    </row>
    <row r="36" spans="1:66" x14ac:dyDescent="0.25">
      <c r="A36">
        <v>2</v>
      </c>
      <c r="B36">
        <v>0</v>
      </c>
      <c r="D36">
        <v>2.66</v>
      </c>
      <c r="E36">
        <v>3.3874999999999997</v>
      </c>
      <c r="F36">
        <v>2.3650000000000002</v>
      </c>
      <c r="J36">
        <v>2.65</v>
      </c>
      <c r="K36">
        <v>3.35</v>
      </c>
      <c r="L36">
        <v>2.33</v>
      </c>
      <c r="M36">
        <v>2.7</v>
      </c>
      <c r="N36">
        <v>3.45</v>
      </c>
      <c r="O36">
        <v>2.4</v>
      </c>
      <c r="P36">
        <v>2.64</v>
      </c>
      <c r="Q36">
        <v>3.4</v>
      </c>
      <c r="R36">
        <v>2.4</v>
      </c>
      <c r="S36">
        <v>0.34867046553305853</v>
      </c>
      <c r="T36">
        <v>0.25477299641432127</v>
      </c>
      <c r="U36">
        <v>0.3965565380526202</v>
      </c>
      <c r="V36">
        <v>0.35266821345707661</v>
      </c>
      <c r="W36">
        <v>0.25058004640371229</v>
      </c>
      <c r="X36">
        <v>0.39675174013921122</v>
      </c>
      <c r="Y36">
        <v>0.3557514210896085</v>
      </c>
      <c r="Z36">
        <v>0.25292201571182221</v>
      </c>
      <c r="AA36">
        <v>0.39132656319856934</v>
      </c>
      <c r="AB36">
        <v>0.35144014140320057</v>
      </c>
      <c r="AC36">
        <v>0.25326201373604429</v>
      </c>
      <c r="AD36">
        <v>0.3952978448607552</v>
      </c>
      <c r="AE36" t="s">
        <v>136</v>
      </c>
      <c r="AF36" t="s">
        <v>134</v>
      </c>
      <c r="AG36">
        <v>13.58</v>
      </c>
      <c r="AH36">
        <v>24</v>
      </c>
      <c r="AI36">
        <v>6</v>
      </c>
      <c r="AJ36">
        <v>3</v>
      </c>
      <c r="AK36">
        <v>27</v>
      </c>
      <c r="AL36">
        <v>359</v>
      </c>
      <c r="AM36">
        <v>2085</v>
      </c>
      <c r="AN36">
        <v>67</v>
      </c>
      <c r="AO36">
        <v>67</v>
      </c>
      <c r="AP36">
        <v>64</v>
      </c>
      <c r="AQ36">
        <v>2.5</v>
      </c>
      <c r="AR36" t="s">
        <v>46</v>
      </c>
      <c r="AS36" t="s">
        <v>133</v>
      </c>
      <c r="AT36" t="s">
        <v>134</v>
      </c>
      <c r="AU36">
        <v>11.73</v>
      </c>
      <c r="AV36">
        <v>21</v>
      </c>
      <c r="AW36">
        <v>7</v>
      </c>
      <c r="AX36">
        <v>2</v>
      </c>
      <c r="AY36">
        <v>27.2</v>
      </c>
      <c r="AZ36">
        <v>192</v>
      </c>
      <c r="BA36">
        <v>3470</v>
      </c>
      <c r="BB36">
        <v>67</v>
      </c>
      <c r="BC36">
        <v>72</v>
      </c>
      <c r="BD36">
        <v>68</v>
      </c>
      <c r="BE36">
        <v>3</v>
      </c>
      <c r="BF36" t="s">
        <v>29</v>
      </c>
      <c r="BG36">
        <v>-6</v>
      </c>
      <c r="BH36">
        <v>6</v>
      </c>
      <c r="BI36">
        <v>0.33300000000000002</v>
      </c>
      <c r="BJ36" t="s">
        <v>134</v>
      </c>
      <c r="BK36">
        <v>0.44119999999999998</v>
      </c>
      <c r="BL36">
        <v>0.5</v>
      </c>
      <c r="BM36">
        <v>1.62</v>
      </c>
      <c r="BN36">
        <v>1.95</v>
      </c>
    </row>
    <row r="37" spans="1:66" x14ac:dyDescent="0.25">
      <c r="A37">
        <v>3</v>
      </c>
      <c r="B37">
        <v>-1</v>
      </c>
      <c r="D37">
        <v>1.95</v>
      </c>
      <c r="E37">
        <v>2.9375</v>
      </c>
      <c r="F37">
        <v>4.4249999999999998</v>
      </c>
      <c r="J37">
        <v>1.92</v>
      </c>
      <c r="K37">
        <v>2.9</v>
      </c>
      <c r="L37">
        <v>4.5</v>
      </c>
      <c r="M37">
        <v>1.96</v>
      </c>
      <c r="N37">
        <v>2.95</v>
      </c>
      <c r="O37">
        <v>4.3</v>
      </c>
      <c r="P37">
        <v>2</v>
      </c>
      <c r="Q37">
        <v>3</v>
      </c>
      <c r="R37">
        <v>4.4000000000000004</v>
      </c>
      <c r="S37">
        <v>0.50653552810662283</v>
      </c>
      <c r="T37">
        <v>0.27734264656788471</v>
      </c>
      <c r="U37">
        <v>0.2161218253254924</v>
      </c>
      <c r="V37">
        <v>0.49686178733685232</v>
      </c>
      <c r="W37">
        <v>0.27666167703983818</v>
      </c>
      <c r="X37">
        <v>0.22647653562330941</v>
      </c>
      <c r="Y37">
        <v>0.49875207986688852</v>
      </c>
      <c r="Z37">
        <v>0.27454242928452582</v>
      </c>
      <c r="AA37">
        <v>0.22670549084858568</v>
      </c>
      <c r="AB37">
        <v>0.50217123085424664</v>
      </c>
      <c r="AC37">
        <v>0.27647234986503338</v>
      </c>
      <c r="AD37">
        <v>0.22135641928071997</v>
      </c>
      <c r="AE37" t="s">
        <v>66</v>
      </c>
      <c r="AF37" t="s">
        <v>63</v>
      </c>
      <c r="AG37">
        <v>23.33</v>
      </c>
      <c r="AH37">
        <v>27</v>
      </c>
      <c r="AI37">
        <v>2</v>
      </c>
      <c r="AJ37">
        <v>1</v>
      </c>
      <c r="AK37">
        <v>29.3</v>
      </c>
      <c r="AL37">
        <v>93</v>
      </c>
      <c r="AM37">
        <v>5011</v>
      </c>
      <c r="AN37">
        <v>74</v>
      </c>
      <c r="AO37">
        <v>69</v>
      </c>
      <c r="AP37">
        <v>68</v>
      </c>
      <c r="AQ37">
        <v>3</v>
      </c>
      <c r="AR37" t="s">
        <v>28</v>
      </c>
      <c r="AS37" t="s">
        <v>68</v>
      </c>
      <c r="AT37" t="s">
        <v>63</v>
      </c>
      <c r="AU37">
        <v>17.579999999999998</v>
      </c>
      <c r="AV37">
        <v>31</v>
      </c>
      <c r="AW37">
        <v>3</v>
      </c>
      <c r="AX37">
        <v>2</v>
      </c>
      <c r="AY37">
        <v>25.9</v>
      </c>
      <c r="AZ37">
        <v>129</v>
      </c>
      <c r="BA37">
        <v>4227</v>
      </c>
      <c r="BB37">
        <v>73</v>
      </c>
      <c r="BC37">
        <v>69</v>
      </c>
      <c r="BD37">
        <v>69</v>
      </c>
      <c r="BE37">
        <v>3.5</v>
      </c>
      <c r="BF37" t="s">
        <v>46</v>
      </c>
      <c r="BG37">
        <v>-2</v>
      </c>
      <c r="BH37">
        <v>1</v>
      </c>
      <c r="BI37">
        <v>0.28599999999999998</v>
      </c>
      <c r="BJ37" t="s">
        <v>269</v>
      </c>
      <c r="BK37">
        <v>0.4</v>
      </c>
      <c r="BL37">
        <v>0.38890000000000002</v>
      </c>
      <c r="BM37">
        <v>1.28</v>
      </c>
      <c r="BN37">
        <v>1.39</v>
      </c>
    </row>
    <row r="38" spans="1:66" x14ac:dyDescent="0.25">
      <c r="A38">
        <v>3</v>
      </c>
      <c r="B38">
        <v>-2</v>
      </c>
      <c r="D38">
        <v>2.4700000000000002</v>
      </c>
      <c r="E38">
        <v>3.0125000000000002</v>
      </c>
      <c r="F38">
        <v>2.91</v>
      </c>
      <c r="J38">
        <v>2.4500000000000002</v>
      </c>
      <c r="K38">
        <v>3</v>
      </c>
      <c r="L38">
        <v>2.88</v>
      </c>
      <c r="M38">
        <v>2.4500000000000002</v>
      </c>
      <c r="N38">
        <v>3</v>
      </c>
      <c r="O38">
        <v>2.9</v>
      </c>
      <c r="P38">
        <v>2.5299999999999998</v>
      </c>
      <c r="Q38">
        <v>3.05</v>
      </c>
      <c r="R38">
        <v>2.98</v>
      </c>
      <c r="S38">
        <v>0.38485139725863521</v>
      </c>
      <c r="T38">
        <v>0.28775765715676183</v>
      </c>
      <c r="U38">
        <v>0.32739094558460291</v>
      </c>
      <c r="V38">
        <v>0.38594831954061815</v>
      </c>
      <c r="W38">
        <v>0.28799189326127345</v>
      </c>
      <c r="X38">
        <v>0.32605978719810846</v>
      </c>
      <c r="Y38">
        <v>0.3857456009676033</v>
      </c>
      <c r="Z38">
        <v>0.2867589727075523</v>
      </c>
      <c r="AA38">
        <v>0.32749542632484441</v>
      </c>
      <c r="AB38">
        <v>0.38534917875637292</v>
      </c>
      <c r="AC38">
        <v>0.28756654507058732</v>
      </c>
      <c r="AD38">
        <v>0.3270842761730397</v>
      </c>
      <c r="AE38" t="s">
        <v>68</v>
      </c>
      <c r="AF38" t="s">
        <v>63</v>
      </c>
      <c r="AG38">
        <v>17.579999999999998</v>
      </c>
      <c r="AH38">
        <v>31</v>
      </c>
      <c r="AI38">
        <v>3</v>
      </c>
      <c r="AJ38">
        <v>2</v>
      </c>
      <c r="AK38">
        <v>25.9</v>
      </c>
      <c r="AL38">
        <v>129</v>
      </c>
      <c r="AM38">
        <v>4227</v>
      </c>
      <c r="AN38">
        <v>73</v>
      </c>
      <c r="AO38">
        <v>69</v>
      </c>
      <c r="AP38">
        <v>69</v>
      </c>
      <c r="AQ38">
        <v>3.5</v>
      </c>
      <c r="AR38" t="s">
        <v>46</v>
      </c>
      <c r="AS38" t="s">
        <v>66</v>
      </c>
      <c r="AT38" t="s">
        <v>63</v>
      </c>
      <c r="AU38">
        <v>23.33</v>
      </c>
      <c r="AV38">
        <v>27</v>
      </c>
      <c r="AW38">
        <v>2</v>
      </c>
      <c r="AX38">
        <v>1</v>
      </c>
      <c r="AY38">
        <v>29.3</v>
      </c>
      <c r="AZ38">
        <v>93</v>
      </c>
      <c r="BA38">
        <v>5011</v>
      </c>
      <c r="BB38">
        <v>74</v>
      </c>
      <c r="BC38">
        <v>69</v>
      </c>
      <c r="BD38">
        <v>68</v>
      </c>
      <c r="BE38">
        <v>3</v>
      </c>
      <c r="BF38" t="s">
        <v>28</v>
      </c>
      <c r="BG38">
        <v>2</v>
      </c>
      <c r="BH38">
        <v>13</v>
      </c>
      <c r="BI38">
        <v>0.38100000000000001</v>
      </c>
      <c r="BJ38" t="s">
        <v>269</v>
      </c>
      <c r="BK38">
        <v>0.38890000000000002</v>
      </c>
      <c r="BL38">
        <v>0.4</v>
      </c>
      <c r="BM38">
        <v>1.39</v>
      </c>
      <c r="BN38">
        <v>1.28</v>
      </c>
    </row>
    <row r="39" spans="1:66" x14ac:dyDescent="0.25">
      <c r="A39">
        <v>2</v>
      </c>
      <c r="B39">
        <v>0</v>
      </c>
      <c r="D39">
        <v>4.0124999999999993</v>
      </c>
      <c r="E39">
        <v>3.4</v>
      </c>
      <c r="F39">
        <v>1.9525000000000001</v>
      </c>
      <c r="J39">
        <v>3.9</v>
      </c>
      <c r="K39">
        <v>3.35</v>
      </c>
      <c r="L39">
        <v>1.9</v>
      </c>
      <c r="M39">
        <v>4.0999999999999996</v>
      </c>
      <c r="N39">
        <v>3.5</v>
      </c>
      <c r="O39">
        <v>1.99</v>
      </c>
      <c r="P39">
        <v>4.0999999999999996</v>
      </c>
      <c r="Q39">
        <v>3.35</v>
      </c>
      <c r="R39">
        <v>1.98</v>
      </c>
      <c r="S39">
        <v>0.24675324675324678</v>
      </c>
      <c r="T39">
        <v>0.24675324675324672</v>
      </c>
      <c r="U39">
        <v>0.50649350649350655</v>
      </c>
      <c r="V39">
        <v>0.24769229096165007</v>
      </c>
      <c r="W39">
        <v>0.24198690856459854</v>
      </c>
      <c r="X39">
        <v>0.51032080047375139</v>
      </c>
      <c r="Y39">
        <v>0.24405611961429086</v>
      </c>
      <c r="Z39">
        <v>0.2505751478510666</v>
      </c>
      <c r="AA39">
        <v>0.50536873253464265</v>
      </c>
      <c r="AB39">
        <v>0.24674638204838739</v>
      </c>
      <c r="AC39">
        <v>0.24622444442739663</v>
      </c>
      <c r="AD39">
        <v>0.50702917352421606</v>
      </c>
      <c r="AE39" t="s">
        <v>44</v>
      </c>
      <c r="AF39" t="s">
        <v>23</v>
      </c>
      <c r="AG39">
        <v>91.25</v>
      </c>
      <c r="AH39">
        <v>24</v>
      </c>
      <c r="AI39">
        <v>11</v>
      </c>
      <c r="AJ39">
        <v>5</v>
      </c>
      <c r="AK39">
        <v>26.7</v>
      </c>
      <c r="AL39">
        <v>326</v>
      </c>
      <c r="AM39">
        <v>2298</v>
      </c>
      <c r="AN39">
        <v>75</v>
      </c>
      <c r="AO39">
        <v>75</v>
      </c>
      <c r="AP39">
        <v>76</v>
      </c>
      <c r="AQ39">
        <v>4</v>
      </c>
      <c r="AR39" t="s">
        <v>29</v>
      </c>
      <c r="AS39" t="s">
        <v>30</v>
      </c>
      <c r="AT39" t="s">
        <v>23</v>
      </c>
      <c r="AU39">
        <v>358.75</v>
      </c>
      <c r="AV39">
        <v>28</v>
      </c>
      <c r="AW39">
        <v>19</v>
      </c>
      <c r="AX39">
        <v>10</v>
      </c>
      <c r="AY39">
        <v>24.8</v>
      </c>
      <c r="AZ39">
        <v>60</v>
      </c>
      <c r="BA39">
        <v>6154</v>
      </c>
      <c r="BB39">
        <v>79</v>
      </c>
      <c r="BC39">
        <v>78</v>
      </c>
      <c r="BD39">
        <v>77</v>
      </c>
      <c r="BE39">
        <v>4.5</v>
      </c>
      <c r="BF39" t="s">
        <v>29</v>
      </c>
      <c r="BG39">
        <v>-13</v>
      </c>
      <c r="BH39">
        <v>9</v>
      </c>
      <c r="BI39">
        <v>0.30099999999999999</v>
      </c>
      <c r="BJ39" t="s">
        <v>266</v>
      </c>
      <c r="BK39">
        <v>0.34379999999999999</v>
      </c>
      <c r="BL39">
        <v>0.44679999999999997</v>
      </c>
      <c r="BM39">
        <v>1.44</v>
      </c>
      <c r="BN39">
        <v>1.7</v>
      </c>
    </row>
    <row r="40" spans="1:66" x14ac:dyDescent="0.25">
      <c r="A40">
        <v>3</v>
      </c>
      <c r="B40">
        <v>-3</v>
      </c>
      <c r="D40">
        <v>4.9624999999999995</v>
      </c>
      <c r="E40">
        <v>3.7250000000000001</v>
      </c>
      <c r="F40">
        <v>1.5850000000000002</v>
      </c>
      <c r="J40">
        <v>4.7</v>
      </c>
      <c r="K40">
        <v>3.65</v>
      </c>
      <c r="L40">
        <v>1.57</v>
      </c>
      <c r="M40">
        <v>5.2</v>
      </c>
      <c r="N40">
        <v>3.8</v>
      </c>
      <c r="O40">
        <v>1.6</v>
      </c>
      <c r="P40">
        <v>5.25</v>
      </c>
      <c r="Q40">
        <v>3.8</v>
      </c>
      <c r="R40">
        <v>1.6</v>
      </c>
      <c r="S40">
        <v>0.19808921465099008</v>
      </c>
      <c r="T40">
        <v>0.20890485613903967</v>
      </c>
      <c r="U40">
        <v>0.59300592920997031</v>
      </c>
      <c r="V40">
        <v>0.18776303010683071</v>
      </c>
      <c r="W40">
        <v>0.2020071220459696</v>
      </c>
      <c r="X40">
        <v>0.61022984784719969</v>
      </c>
      <c r="Y40">
        <v>0.18643762388131421</v>
      </c>
      <c r="Z40">
        <v>0.20181392275812365</v>
      </c>
      <c r="AA40">
        <v>0.61174845336056216</v>
      </c>
      <c r="AB40">
        <v>0.19259477082253126</v>
      </c>
      <c r="AC40">
        <v>0.20540768927054315</v>
      </c>
      <c r="AD40">
        <v>0.60199753990692562</v>
      </c>
      <c r="AE40" t="s">
        <v>244</v>
      </c>
      <c r="AF40" t="s">
        <v>238</v>
      </c>
      <c r="AG40">
        <v>3.43</v>
      </c>
      <c r="AH40">
        <v>31</v>
      </c>
      <c r="AI40">
        <v>6</v>
      </c>
      <c r="AJ40">
        <v>0</v>
      </c>
      <c r="AK40">
        <v>28.8</v>
      </c>
      <c r="AL40">
        <v>491</v>
      </c>
      <c r="AM40">
        <v>1407</v>
      </c>
      <c r="AN40">
        <v>66</v>
      </c>
      <c r="AO40">
        <v>59</v>
      </c>
      <c r="AP40">
        <v>65</v>
      </c>
      <c r="AQ40">
        <v>2</v>
      </c>
      <c r="AR40" t="s">
        <v>29</v>
      </c>
      <c r="AS40" t="s">
        <v>237</v>
      </c>
      <c r="AT40" t="s">
        <v>238</v>
      </c>
      <c r="AU40">
        <v>18.579999999999998</v>
      </c>
      <c r="AV40">
        <v>32</v>
      </c>
      <c r="AW40">
        <v>7</v>
      </c>
      <c r="AX40">
        <v>3</v>
      </c>
      <c r="AY40">
        <v>29.5</v>
      </c>
      <c r="AZ40">
        <v>109</v>
      </c>
      <c r="BA40">
        <v>4640</v>
      </c>
      <c r="BB40">
        <v>74</v>
      </c>
      <c r="BC40">
        <v>72</v>
      </c>
      <c r="BD40">
        <v>71</v>
      </c>
      <c r="BE40">
        <v>3.5</v>
      </c>
      <c r="BF40" t="s">
        <v>29</v>
      </c>
      <c r="BG40">
        <v>-2</v>
      </c>
      <c r="BH40">
        <v>-3</v>
      </c>
      <c r="BI40">
        <v>0</v>
      </c>
      <c r="BJ40" t="s">
        <v>238</v>
      </c>
      <c r="BK40">
        <v>0.28570000000000001</v>
      </c>
      <c r="BL40">
        <v>0.47620000000000001</v>
      </c>
      <c r="BM40">
        <v>1</v>
      </c>
      <c r="BN40">
        <v>1.17</v>
      </c>
    </row>
    <row r="41" spans="1:66" x14ac:dyDescent="0.25">
      <c r="A41" s="4">
        <v>2</v>
      </c>
      <c r="B41" s="4">
        <v>0</v>
      </c>
      <c r="C41" s="4"/>
      <c r="D41">
        <v>2.0924999999999998</v>
      </c>
      <c r="E41">
        <v>3.125</v>
      </c>
      <c r="F41">
        <v>3.8875000000000002</v>
      </c>
      <c r="J41">
        <v>2.0499999999999998</v>
      </c>
      <c r="K41">
        <v>3.15</v>
      </c>
      <c r="L41">
        <v>3.9</v>
      </c>
      <c r="M41">
        <v>2.12</v>
      </c>
      <c r="N41">
        <v>3.2</v>
      </c>
      <c r="O41">
        <v>3.8</v>
      </c>
      <c r="P41">
        <v>2.15</v>
      </c>
      <c r="Q41">
        <v>3</v>
      </c>
      <c r="R41">
        <v>3.95</v>
      </c>
      <c r="S41">
        <v>0.48026077508149217</v>
      </c>
      <c r="T41">
        <v>0.26729445852951822</v>
      </c>
      <c r="U41">
        <v>0.25244476638898949</v>
      </c>
      <c r="V41">
        <v>0.47064589625390768</v>
      </c>
      <c r="W41">
        <v>0.26678323530970172</v>
      </c>
      <c r="X41">
        <v>0.26257086843639066</v>
      </c>
      <c r="Y41">
        <v>0.46451255027042027</v>
      </c>
      <c r="Z41">
        <v>0.28265150464568023</v>
      </c>
      <c r="AA41">
        <v>0.25283594508389962</v>
      </c>
      <c r="AB41">
        <v>0.47391999917182809</v>
      </c>
      <c r="AC41">
        <v>0.2710059142536046</v>
      </c>
      <c r="AD41">
        <v>0.25507408657456732</v>
      </c>
      <c r="AE41" t="s">
        <v>64</v>
      </c>
      <c r="AF41" t="s">
        <v>63</v>
      </c>
      <c r="AG41">
        <v>14.58</v>
      </c>
      <c r="AH41">
        <v>27</v>
      </c>
      <c r="AI41">
        <v>2</v>
      </c>
      <c r="AJ41">
        <v>2</v>
      </c>
      <c r="AK41">
        <v>25.6</v>
      </c>
      <c r="AL41">
        <v>71</v>
      </c>
      <c r="AM41">
        <v>5560</v>
      </c>
      <c r="AN41">
        <v>67</v>
      </c>
      <c r="AO41">
        <v>66</v>
      </c>
      <c r="AP41">
        <v>67</v>
      </c>
      <c r="AQ41">
        <v>2.5</v>
      </c>
      <c r="AR41" t="s">
        <v>29</v>
      </c>
      <c r="AS41" t="s">
        <v>70</v>
      </c>
      <c r="AT41" t="s">
        <v>63</v>
      </c>
      <c r="AU41">
        <v>16.05</v>
      </c>
      <c r="AV41">
        <v>30</v>
      </c>
      <c r="AW41">
        <v>3</v>
      </c>
      <c r="AX41">
        <v>0</v>
      </c>
      <c r="AY41">
        <v>26.3</v>
      </c>
      <c r="AZ41">
        <v>200</v>
      </c>
      <c r="BA41">
        <v>3276</v>
      </c>
      <c r="BB41">
        <v>69</v>
      </c>
      <c r="BC41">
        <v>69</v>
      </c>
      <c r="BD41">
        <v>64</v>
      </c>
      <c r="BE41">
        <v>3</v>
      </c>
      <c r="BF41" t="s">
        <v>29</v>
      </c>
      <c r="BG41">
        <v>-1</v>
      </c>
      <c r="BH41">
        <v>9</v>
      </c>
      <c r="BI41">
        <v>0.30299999999999999</v>
      </c>
      <c r="BJ41" t="s">
        <v>63</v>
      </c>
      <c r="BK41">
        <v>0.37930000000000003</v>
      </c>
      <c r="BL41">
        <v>0.36</v>
      </c>
      <c r="BM41">
        <v>1.48</v>
      </c>
      <c r="BN41">
        <v>1.44</v>
      </c>
    </row>
    <row r="42" spans="1:66" x14ac:dyDescent="0.25">
      <c r="A42" s="4">
        <v>3</v>
      </c>
      <c r="B42" s="4">
        <v>-2</v>
      </c>
      <c r="C42" s="4"/>
      <c r="D42">
        <v>2.54</v>
      </c>
      <c r="E42">
        <v>2.9125000000000001</v>
      </c>
      <c r="F42">
        <v>3.3374999999999999</v>
      </c>
      <c r="J42">
        <v>2.68</v>
      </c>
      <c r="K42">
        <v>2.9</v>
      </c>
      <c r="L42">
        <v>3.1</v>
      </c>
      <c r="M42">
        <v>2.65</v>
      </c>
      <c r="N42">
        <v>2.85</v>
      </c>
      <c r="O42">
        <v>3.2</v>
      </c>
      <c r="P42">
        <v>2.15</v>
      </c>
      <c r="Q42">
        <v>3</v>
      </c>
      <c r="R42">
        <v>3.95</v>
      </c>
      <c r="S42">
        <v>0.37337377362538765</v>
      </c>
      <c r="T42">
        <v>0.30383857691782562</v>
      </c>
      <c r="U42">
        <v>0.32278764945678673</v>
      </c>
      <c r="V42">
        <v>0.37828498681458578</v>
      </c>
      <c r="W42">
        <v>0.30844775847958533</v>
      </c>
      <c r="X42">
        <v>0.31326725470582883</v>
      </c>
      <c r="Y42">
        <v>0.46451255027042015</v>
      </c>
      <c r="Z42">
        <v>0.28265150464568023</v>
      </c>
      <c r="AA42">
        <v>0.25283594508389956</v>
      </c>
      <c r="AB42">
        <v>0.39738627108394531</v>
      </c>
      <c r="AC42">
        <v>0.29969410424022919</v>
      </c>
      <c r="AD42">
        <v>0.30291962467582545</v>
      </c>
      <c r="AE42" t="s">
        <v>150</v>
      </c>
      <c r="AF42" t="s">
        <v>141</v>
      </c>
      <c r="AG42">
        <v>60.93</v>
      </c>
      <c r="AH42">
        <v>23</v>
      </c>
      <c r="AI42">
        <v>8</v>
      </c>
      <c r="AJ42">
        <v>4</v>
      </c>
      <c r="AK42">
        <v>28.2</v>
      </c>
      <c r="AL42">
        <v>103</v>
      </c>
      <c r="AM42">
        <v>4803</v>
      </c>
      <c r="AN42">
        <v>76</v>
      </c>
      <c r="AO42">
        <v>75</v>
      </c>
      <c r="AP42">
        <v>75</v>
      </c>
      <c r="AQ42">
        <v>4</v>
      </c>
      <c r="AR42" t="s">
        <v>46</v>
      </c>
      <c r="AS42" t="s">
        <v>148</v>
      </c>
      <c r="AT42" t="s">
        <v>141</v>
      </c>
      <c r="AU42">
        <v>216.3</v>
      </c>
      <c r="AV42">
        <v>26</v>
      </c>
      <c r="AW42">
        <v>1</v>
      </c>
      <c r="AX42">
        <v>3</v>
      </c>
      <c r="AY42">
        <v>26.7</v>
      </c>
      <c r="AZ42">
        <v>61</v>
      </c>
      <c r="BA42">
        <v>6139</v>
      </c>
      <c r="BB42">
        <v>79</v>
      </c>
      <c r="BC42">
        <v>79</v>
      </c>
      <c r="BD42">
        <v>79</v>
      </c>
      <c r="BE42">
        <v>4.5</v>
      </c>
      <c r="BF42" t="s">
        <v>29</v>
      </c>
      <c r="BG42">
        <v>-25</v>
      </c>
      <c r="BH42">
        <v>-28</v>
      </c>
      <c r="BI42">
        <v>0.26</v>
      </c>
      <c r="BJ42" t="s">
        <v>270</v>
      </c>
      <c r="BK42">
        <v>0.4889</v>
      </c>
      <c r="BL42">
        <v>0.36959999999999998</v>
      </c>
      <c r="BM42">
        <v>1.47</v>
      </c>
      <c r="BN42">
        <v>1.2</v>
      </c>
    </row>
    <row r="43" spans="1:66" x14ac:dyDescent="0.25">
      <c r="A43" s="4">
        <v>1</v>
      </c>
      <c r="B43" s="4">
        <v>2</v>
      </c>
      <c r="C43" s="4"/>
      <c r="D43">
        <v>2.125</v>
      </c>
      <c r="E43">
        <v>3.2</v>
      </c>
      <c r="F43">
        <v>3.6875</v>
      </c>
      <c r="J43">
        <v>2.12</v>
      </c>
      <c r="K43">
        <v>3.15</v>
      </c>
      <c r="L43">
        <v>3.5</v>
      </c>
      <c r="M43">
        <v>2.14</v>
      </c>
      <c r="N43">
        <v>3.25</v>
      </c>
      <c r="O43">
        <v>3.9</v>
      </c>
      <c r="P43">
        <v>2.1</v>
      </c>
      <c r="Q43">
        <v>3.2</v>
      </c>
      <c r="R43">
        <v>3.8</v>
      </c>
      <c r="S43">
        <v>0.45475260101034587</v>
      </c>
      <c r="T43">
        <v>0.26979725209195893</v>
      </c>
      <c r="U43">
        <v>0.27545014689769526</v>
      </c>
      <c r="V43">
        <v>0.47504950411443586</v>
      </c>
      <c r="W43">
        <v>0.26428230644841227</v>
      </c>
      <c r="X43">
        <v>0.26066818943715203</v>
      </c>
      <c r="Y43">
        <v>0.4727838258164852</v>
      </c>
      <c r="Z43">
        <v>0.2659409020217729</v>
      </c>
      <c r="AA43">
        <v>0.26127527216174184</v>
      </c>
      <c r="AB43">
        <v>0.46495914469131738</v>
      </c>
      <c r="AC43">
        <v>0.26678284851246731</v>
      </c>
      <c r="AD43">
        <v>0.26825800679621531</v>
      </c>
      <c r="AE43" t="s">
        <v>35</v>
      </c>
      <c r="AF43" t="s">
        <v>23</v>
      </c>
      <c r="AG43">
        <v>87.33</v>
      </c>
      <c r="AH43">
        <v>31</v>
      </c>
      <c r="AI43">
        <v>10</v>
      </c>
      <c r="AJ43">
        <v>4</v>
      </c>
      <c r="AK43">
        <v>25.4</v>
      </c>
      <c r="AL43">
        <v>169</v>
      </c>
      <c r="AM43">
        <v>3749</v>
      </c>
      <c r="AN43">
        <v>73</v>
      </c>
      <c r="AO43">
        <v>76</v>
      </c>
      <c r="AP43">
        <v>74</v>
      </c>
      <c r="AQ43">
        <v>4</v>
      </c>
      <c r="AR43" t="s">
        <v>29</v>
      </c>
      <c r="AS43" t="s">
        <v>36</v>
      </c>
      <c r="AT43" t="s">
        <v>23</v>
      </c>
      <c r="AU43">
        <v>80.930000000000007</v>
      </c>
      <c r="AV43">
        <v>23</v>
      </c>
      <c r="AW43">
        <v>9</v>
      </c>
      <c r="AX43">
        <v>4</v>
      </c>
      <c r="AY43">
        <v>26.6</v>
      </c>
      <c r="AZ43">
        <v>180</v>
      </c>
      <c r="BA43">
        <v>3627</v>
      </c>
      <c r="BB43">
        <v>75</v>
      </c>
      <c r="BC43">
        <v>74</v>
      </c>
      <c r="BD43">
        <v>74</v>
      </c>
      <c r="BE43">
        <v>3.5</v>
      </c>
      <c r="BF43" t="s">
        <v>29</v>
      </c>
      <c r="BG43">
        <v>-8</v>
      </c>
      <c r="BH43">
        <v>-4</v>
      </c>
      <c r="BI43">
        <v>0.28899999999999998</v>
      </c>
      <c r="BJ43" t="s">
        <v>266</v>
      </c>
      <c r="BK43">
        <v>0.33329999999999999</v>
      </c>
      <c r="BL43">
        <v>0.47370000000000001</v>
      </c>
      <c r="BM43">
        <v>1.17</v>
      </c>
      <c r="BN43">
        <v>1.32</v>
      </c>
    </row>
    <row r="44" spans="1:66" x14ac:dyDescent="0.25">
      <c r="A44" s="42">
        <v>2</v>
      </c>
      <c r="B44" s="4">
        <v>0</v>
      </c>
      <c r="C44" s="42"/>
      <c r="D44">
        <v>2.7875000000000001</v>
      </c>
      <c r="E44">
        <v>3.1124999999999998</v>
      </c>
      <c r="F44">
        <v>2.4824999999999999</v>
      </c>
      <c r="J44">
        <v>2.65</v>
      </c>
      <c r="K44">
        <v>3.05</v>
      </c>
      <c r="L44">
        <v>2.4500000000000002</v>
      </c>
      <c r="M44">
        <v>2.9</v>
      </c>
      <c r="N44">
        <v>3.15</v>
      </c>
      <c r="O44">
        <v>2.5</v>
      </c>
      <c r="P44">
        <v>2.9</v>
      </c>
      <c r="Q44">
        <v>3.15</v>
      </c>
      <c r="R44">
        <v>2.5</v>
      </c>
      <c r="S44">
        <v>0.34567901234567899</v>
      </c>
      <c r="T44">
        <v>0.28042328042328046</v>
      </c>
      <c r="U44">
        <v>0.37389770723104049</v>
      </c>
      <c r="V44">
        <v>0.33460803059273425</v>
      </c>
      <c r="W44">
        <v>0.27724665391969411</v>
      </c>
      <c r="X44">
        <v>0.3881453154875717</v>
      </c>
      <c r="Y44">
        <v>0.33460803059273425</v>
      </c>
      <c r="Z44">
        <v>0.27724665391969411</v>
      </c>
      <c r="AA44">
        <v>0.3881453154875717</v>
      </c>
      <c r="AB44">
        <v>0.34016073313084505</v>
      </c>
      <c r="AC44">
        <v>0.27818742230964244</v>
      </c>
      <c r="AD44">
        <v>0.38165184455951257</v>
      </c>
      <c r="AE44" t="s">
        <v>114</v>
      </c>
      <c r="AF44" t="s">
        <v>108</v>
      </c>
      <c r="AG44">
        <v>41.98</v>
      </c>
      <c r="AH44">
        <v>33</v>
      </c>
      <c r="AI44">
        <v>5</v>
      </c>
      <c r="AJ44">
        <v>1</v>
      </c>
      <c r="AK44">
        <v>25.2</v>
      </c>
      <c r="AL44">
        <v>40</v>
      </c>
      <c r="AM44">
        <v>7098</v>
      </c>
      <c r="AN44">
        <v>74</v>
      </c>
      <c r="AO44">
        <v>73</v>
      </c>
      <c r="AP44">
        <v>73</v>
      </c>
      <c r="AQ44">
        <v>3.5</v>
      </c>
      <c r="AR44" t="s">
        <v>29</v>
      </c>
      <c r="AS44" t="s">
        <v>116</v>
      </c>
      <c r="AT44" t="s">
        <v>108</v>
      </c>
      <c r="AU44">
        <v>50.33</v>
      </c>
      <c r="AV44">
        <v>33</v>
      </c>
      <c r="AW44">
        <v>4</v>
      </c>
      <c r="AX44">
        <v>1</v>
      </c>
      <c r="AY44">
        <v>25.3</v>
      </c>
      <c r="AZ44">
        <v>75</v>
      </c>
      <c r="BA44">
        <v>5476</v>
      </c>
      <c r="BB44">
        <v>75</v>
      </c>
      <c r="BC44">
        <v>75</v>
      </c>
      <c r="BD44">
        <v>75</v>
      </c>
      <c r="BE44">
        <v>4</v>
      </c>
      <c r="BF44" t="s">
        <v>29</v>
      </c>
      <c r="BG44">
        <v>1</v>
      </c>
      <c r="BH44">
        <v>-11</v>
      </c>
      <c r="BI44">
        <v>0.28999999999999998</v>
      </c>
      <c r="BJ44" t="s">
        <v>236</v>
      </c>
      <c r="BK44">
        <v>0.39389999999999997</v>
      </c>
      <c r="BL44">
        <v>0.44619999999999999</v>
      </c>
      <c r="BM44">
        <v>1.3</v>
      </c>
      <c r="BN44">
        <v>1.69</v>
      </c>
    </row>
    <row r="45" spans="1:66" x14ac:dyDescent="0.25">
      <c r="A45" s="42">
        <v>3</v>
      </c>
      <c r="B45" s="4">
        <v>-1</v>
      </c>
      <c r="C45" s="42"/>
      <c r="D45">
        <v>3.7249999999999996</v>
      </c>
      <c r="E45">
        <v>3.2749999999999999</v>
      </c>
      <c r="F45">
        <v>1.9125000000000001</v>
      </c>
      <c r="J45">
        <v>3.55</v>
      </c>
      <c r="K45">
        <v>3.25</v>
      </c>
      <c r="L45">
        <v>1.9</v>
      </c>
      <c r="M45">
        <v>3.9</v>
      </c>
      <c r="N45">
        <v>3.3</v>
      </c>
      <c r="O45">
        <v>1.93</v>
      </c>
      <c r="P45">
        <v>3.9</v>
      </c>
      <c r="Q45">
        <v>3.3</v>
      </c>
      <c r="R45">
        <v>1.92</v>
      </c>
      <c r="S45">
        <v>0.26034725480994841</v>
      </c>
      <c r="T45">
        <v>0.253214453308306</v>
      </c>
      <c r="U45">
        <v>0.4864382918817457</v>
      </c>
      <c r="V45">
        <v>0.24780263894905286</v>
      </c>
      <c r="W45">
        <v>0.25145627716426</v>
      </c>
      <c r="X45">
        <v>0.50074108388668703</v>
      </c>
      <c r="Y45">
        <v>0.24710424710424714</v>
      </c>
      <c r="Z45">
        <v>0.25096525096525096</v>
      </c>
      <c r="AA45">
        <v>0.50193050193050193</v>
      </c>
      <c r="AB45">
        <v>0.25390034891829921</v>
      </c>
      <c r="AC45">
        <v>0.25221260868653078</v>
      </c>
      <c r="AD45">
        <v>0.49388704239517001</v>
      </c>
      <c r="AE45" t="s">
        <v>241</v>
      </c>
      <c r="AF45" t="s">
        <v>238</v>
      </c>
      <c r="AG45">
        <v>3.25</v>
      </c>
      <c r="AH45">
        <v>32</v>
      </c>
      <c r="AI45">
        <v>7</v>
      </c>
      <c r="AJ45">
        <v>0</v>
      </c>
      <c r="AK45">
        <v>26</v>
      </c>
      <c r="AL45">
        <v>341</v>
      </c>
      <c r="AM45">
        <v>2185</v>
      </c>
      <c r="AN45">
        <v>64</v>
      </c>
      <c r="AO45">
        <v>65</v>
      </c>
      <c r="AP45">
        <v>64</v>
      </c>
      <c r="AQ45">
        <v>1.5</v>
      </c>
      <c r="AR45" t="s">
        <v>46</v>
      </c>
      <c r="AS45" t="s">
        <v>240</v>
      </c>
      <c r="AT45" t="s">
        <v>238</v>
      </c>
      <c r="AU45">
        <v>18.55</v>
      </c>
      <c r="AV45">
        <v>30</v>
      </c>
      <c r="AW45">
        <v>9</v>
      </c>
      <c r="AX45">
        <v>1</v>
      </c>
      <c r="AY45">
        <v>25.7</v>
      </c>
      <c r="AZ45">
        <v>199</v>
      </c>
      <c r="BA45">
        <v>3306</v>
      </c>
      <c r="BB45">
        <v>69</v>
      </c>
      <c r="BC45">
        <v>67</v>
      </c>
      <c r="BD45">
        <v>64</v>
      </c>
      <c r="BE45">
        <v>2.5</v>
      </c>
      <c r="BF45" t="s">
        <v>46</v>
      </c>
      <c r="BG45">
        <v>-9</v>
      </c>
      <c r="BH45">
        <v>-7</v>
      </c>
      <c r="BI45">
        <v>0.222</v>
      </c>
      <c r="BJ45" t="s">
        <v>238</v>
      </c>
      <c r="BK45">
        <v>0.28210000000000002</v>
      </c>
      <c r="BL45">
        <v>0.54</v>
      </c>
      <c r="BM45">
        <v>1.53</v>
      </c>
      <c r="BN45">
        <v>1.4</v>
      </c>
    </row>
    <row r="46" spans="1:66" x14ac:dyDescent="0.25">
      <c r="A46" s="4">
        <v>3</v>
      </c>
      <c r="B46" s="4">
        <v>-2</v>
      </c>
      <c r="C46" s="4"/>
      <c r="D46">
        <v>2.5825</v>
      </c>
      <c r="E46">
        <v>3.0125000000000002</v>
      </c>
      <c r="F46">
        <v>2.9925000000000002</v>
      </c>
      <c r="J46">
        <v>2.5499999999999998</v>
      </c>
      <c r="K46">
        <v>3</v>
      </c>
      <c r="L46">
        <v>3</v>
      </c>
      <c r="M46">
        <v>2.6</v>
      </c>
      <c r="N46">
        <v>3.05</v>
      </c>
      <c r="O46">
        <v>3</v>
      </c>
      <c r="P46">
        <v>2.63</v>
      </c>
      <c r="Q46">
        <v>3</v>
      </c>
      <c r="R46">
        <v>2.97</v>
      </c>
      <c r="S46">
        <v>0.38296656187482137</v>
      </c>
      <c r="T46">
        <v>0.29151186053158046</v>
      </c>
      <c r="U46">
        <v>0.32552157759359812</v>
      </c>
      <c r="V46">
        <v>0.3811050814010854</v>
      </c>
      <c r="W46">
        <v>0.28860384805130734</v>
      </c>
      <c r="X46">
        <v>0.33029107054760731</v>
      </c>
      <c r="Y46">
        <v>0.37499390573960578</v>
      </c>
      <c r="Z46">
        <v>0.29294078379064248</v>
      </c>
      <c r="AA46">
        <v>0.33206531046975185</v>
      </c>
      <c r="AB46">
        <v>0.38050802772258352</v>
      </c>
      <c r="AC46">
        <v>0.29114208822627768</v>
      </c>
      <c r="AD46">
        <v>0.32834988405113885</v>
      </c>
      <c r="AE46" t="s">
        <v>69</v>
      </c>
      <c r="AF46" t="s">
        <v>63</v>
      </c>
      <c r="AG46">
        <v>11.93</v>
      </c>
      <c r="AH46">
        <v>31</v>
      </c>
      <c r="AI46">
        <v>3</v>
      </c>
      <c r="AJ46">
        <v>0</v>
      </c>
      <c r="AK46">
        <v>27.6</v>
      </c>
      <c r="AL46">
        <v>181</v>
      </c>
      <c r="AM46">
        <v>3617</v>
      </c>
      <c r="AN46">
        <v>65</v>
      </c>
      <c r="AO46">
        <v>67</v>
      </c>
      <c r="AP46">
        <v>67</v>
      </c>
      <c r="AQ46">
        <v>2</v>
      </c>
      <c r="AR46" t="s">
        <v>29</v>
      </c>
      <c r="AS46" t="s">
        <v>62</v>
      </c>
      <c r="AT46" t="s">
        <v>63</v>
      </c>
      <c r="AU46">
        <v>20.65</v>
      </c>
      <c r="AV46">
        <v>29</v>
      </c>
      <c r="AW46">
        <v>2</v>
      </c>
      <c r="AX46">
        <v>2</v>
      </c>
      <c r="AY46">
        <v>26</v>
      </c>
      <c r="AZ46">
        <v>66</v>
      </c>
      <c r="BA46">
        <v>5865</v>
      </c>
      <c r="BB46">
        <v>67</v>
      </c>
      <c r="BC46">
        <v>69</v>
      </c>
      <c r="BD46">
        <v>69</v>
      </c>
      <c r="BE46">
        <v>3</v>
      </c>
      <c r="BF46" t="s">
        <v>29</v>
      </c>
      <c r="BG46">
        <v>-6</v>
      </c>
      <c r="BH46">
        <v>3</v>
      </c>
      <c r="BI46">
        <v>0.34799999999999998</v>
      </c>
      <c r="BJ46" t="s">
        <v>63</v>
      </c>
      <c r="BK46">
        <v>0.37040000000000001</v>
      </c>
      <c r="BL46">
        <v>0.4375</v>
      </c>
      <c r="BM46">
        <v>1.1499999999999999</v>
      </c>
      <c r="BN46">
        <v>1.25</v>
      </c>
    </row>
    <row r="47" spans="1:66" x14ac:dyDescent="0.25">
      <c r="A47" s="4">
        <v>3</v>
      </c>
      <c r="B47" s="4">
        <v>-1</v>
      </c>
      <c r="C47" s="4"/>
      <c r="D47">
        <v>3.05</v>
      </c>
      <c r="E47">
        <v>3.25</v>
      </c>
      <c r="F47">
        <v>2.4775</v>
      </c>
      <c r="J47">
        <v>3</v>
      </c>
      <c r="K47">
        <v>3.25</v>
      </c>
      <c r="L47">
        <v>2.5</v>
      </c>
      <c r="M47">
        <v>3.1</v>
      </c>
      <c r="N47">
        <v>3.3</v>
      </c>
      <c r="O47">
        <v>2.4700000000000002</v>
      </c>
      <c r="P47">
        <v>3.1</v>
      </c>
      <c r="Q47">
        <v>3.2</v>
      </c>
      <c r="R47">
        <v>2.44</v>
      </c>
      <c r="S47">
        <v>0.33132530120481929</v>
      </c>
      <c r="T47">
        <v>0.27108433734939763</v>
      </c>
      <c r="U47">
        <v>0.39759036144578314</v>
      </c>
      <c r="V47">
        <v>0.32464787993221755</v>
      </c>
      <c r="W47">
        <v>0.26789931529455396</v>
      </c>
      <c r="X47">
        <v>0.40745280477322848</v>
      </c>
      <c r="Y47">
        <v>0.31964962487431353</v>
      </c>
      <c r="Z47">
        <v>0.2742381468017635</v>
      </c>
      <c r="AA47">
        <v>0.40611222832392296</v>
      </c>
      <c r="AB47">
        <v>0.32673702680404243</v>
      </c>
      <c r="AC47">
        <v>0.2710765341987782</v>
      </c>
      <c r="AD47">
        <v>0.40218643899717943</v>
      </c>
      <c r="AE47" t="s">
        <v>156</v>
      </c>
      <c r="AF47" t="s">
        <v>141</v>
      </c>
      <c r="AG47">
        <v>84.05</v>
      </c>
      <c r="AH47">
        <v>33</v>
      </c>
      <c r="AI47">
        <v>9</v>
      </c>
      <c r="AJ47">
        <v>5</v>
      </c>
      <c r="AK47">
        <v>26.2</v>
      </c>
      <c r="AL47">
        <v>177</v>
      </c>
      <c r="AM47">
        <v>3663</v>
      </c>
      <c r="AN47">
        <v>76</v>
      </c>
      <c r="AO47">
        <v>75</v>
      </c>
      <c r="AP47">
        <v>76</v>
      </c>
      <c r="AQ47">
        <v>4</v>
      </c>
      <c r="AR47" t="s">
        <v>43</v>
      </c>
      <c r="AS47" t="s">
        <v>152</v>
      </c>
      <c r="AT47" t="s">
        <v>141</v>
      </c>
      <c r="AU47">
        <v>214.25</v>
      </c>
      <c r="AV47">
        <v>24</v>
      </c>
      <c r="AW47">
        <v>10</v>
      </c>
      <c r="AX47">
        <v>7</v>
      </c>
      <c r="AY47">
        <v>27.3</v>
      </c>
      <c r="AZ47">
        <v>125</v>
      </c>
      <c r="BA47">
        <v>4257</v>
      </c>
      <c r="BB47">
        <v>81</v>
      </c>
      <c r="BC47">
        <v>81</v>
      </c>
      <c r="BD47">
        <v>78</v>
      </c>
      <c r="BE47">
        <v>4.5</v>
      </c>
      <c r="BF47" t="s">
        <v>29</v>
      </c>
      <c r="BG47">
        <v>-1</v>
      </c>
      <c r="BH47">
        <v>2</v>
      </c>
      <c r="BI47">
        <v>0.36399999999999999</v>
      </c>
      <c r="BJ47" t="s">
        <v>270</v>
      </c>
      <c r="BK47">
        <v>0.25640000000000002</v>
      </c>
      <c r="BL47">
        <v>0.29970000000000002</v>
      </c>
      <c r="BM47">
        <v>0.9</v>
      </c>
      <c r="BN47">
        <v>1.39</v>
      </c>
    </row>
    <row r="48" spans="1:66" x14ac:dyDescent="0.25">
      <c r="A48" s="4">
        <v>2</v>
      </c>
      <c r="B48" s="4">
        <v>0</v>
      </c>
      <c r="C48" s="4"/>
      <c r="D48">
        <v>2.875</v>
      </c>
      <c r="E48">
        <v>3.1875</v>
      </c>
      <c r="F48">
        <v>2.65</v>
      </c>
      <c r="J48">
        <v>2.85</v>
      </c>
      <c r="K48">
        <v>3.2</v>
      </c>
      <c r="L48">
        <v>2.65</v>
      </c>
      <c r="M48">
        <v>2.95</v>
      </c>
      <c r="N48">
        <v>3.2</v>
      </c>
      <c r="O48">
        <v>2.65</v>
      </c>
      <c r="P48">
        <v>2.85</v>
      </c>
      <c r="Q48">
        <v>3.15</v>
      </c>
      <c r="R48">
        <v>2.65</v>
      </c>
      <c r="S48">
        <v>0.34877981902933919</v>
      </c>
      <c r="T48">
        <v>0.27611735673156018</v>
      </c>
      <c r="U48">
        <v>0.37510282423910069</v>
      </c>
      <c r="V48">
        <v>0.34186466254401277</v>
      </c>
      <c r="W48">
        <v>0.27756901500133146</v>
      </c>
      <c r="X48">
        <v>0.38056632245465577</v>
      </c>
      <c r="Y48">
        <v>0.34697217675941078</v>
      </c>
      <c r="Z48">
        <v>0.27986906710310966</v>
      </c>
      <c r="AA48">
        <v>0.37315875613747956</v>
      </c>
      <c r="AB48">
        <v>0.34659911934052551</v>
      </c>
      <c r="AC48">
        <v>0.2774181988918904</v>
      </c>
      <c r="AD48">
        <v>0.3759826817675842</v>
      </c>
      <c r="AE48" t="s">
        <v>154</v>
      </c>
      <c r="AF48" t="s">
        <v>141</v>
      </c>
      <c r="AG48">
        <v>61.55</v>
      </c>
      <c r="AH48">
        <v>28</v>
      </c>
      <c r="AI48">
        <v>5</v>
      </c>
      <c r="AJ48">
        <v>3</v>
      </c>
      <c r="AK48">
        <v>27.8</v>
      </c>
      <c r="AL48">
        <v>139</v>
      </c>
      <c r="AM48">
        <v>4059</v>
      </c>
      <c r="AN48">
        <v>76</v>
      </c>
      <c r="AO48">
        <v>76</v>
      </c>
      <c r="AP48">
        <v>73</v>
      </c>
      <c r="AQ48">
        <v>4</v>
      </c>
      <c r="AR48" t="s">
        <v>43</v>
      </c>
      <c r="AS48" t="s">
        <v>147</v>
      </c>
      <c r="AT48" t="s">
        <v>141</v>
      </c>
      <c r="AU48">
        <v>327.10000000000002</v>
      </c>
      <c r="AV48">
        <v>29</v>
      </c>
      <c r="AW48">
        <v>7</v>
      </c>
      <c r="AX48">
        <v>5</v>
      </c>
      <c r="AY48">
        <v>25.9</v>
      </c>
      <c r="AZ48">
        <v>32</v>
      </c>
      <c r="BA48">
        <v>7427</v>
      </c>
      <c r="BB48">
        <v>81</v>
      </c>
      <c r="BC48">
        <v>80</v>
      </c>
      <c r="BD48">
        <v>77</v>
      </c>
      <c r="BE48">
        <v>4.5</v>
      </c>
      <c r="BF48" t="s">
        <v>28</v>
      </c>
      <c r="BG48">
        <v>-35</v>
      </c>
      <c r="BH48">
        <v>-4</v>
      </c>
      <c r="BI48">
        <v>0.29499999999999998</v>
      </c>
      <c r="BJ48" t="s">
        <v>270</v>
      </c>
      <c r="BK48">
        <v>0.24390000000000001</v>
      </c>
      <c r="BL48">
        <v>0.52170000000000005</v>
      </c>
      <c r="BM48">
        <v>0.9</v>
      </c>
      <c r="BN48">
        <v>1.76</v>
      </c>
    </row>
    <row r="49" spans="1:66" x14ac:dyDescent="0.25">
      <c r="A49" s="42">
        <v>2</v>
      </c>
      <c r="B49" s="4">
        <v>0</v>
      </c>
      <c r="C49" s="42"/>
      <c r="D49">
        <v>1.57</v>
      </c>
      <c r="E49">
        <v>4.2374999999999998</v>
      </c>
      <c r="F49">
        <v>6.05</v>
      </c>
      <c r="J49">
        <v>1.55</v>
      </c>
      <c r="K49">
        <v>4.25</v>
      </c>
      <c r="L49">
        <v>6.25</v>
      </c>
      <c r="M49">
        <v>1.6</v>
      </c>
      <c r="N49">
        <v>4.3</v>
      </c>
      <c r="O49">
        <v>6</v>
      </c>
      <c r="P49">
        <v>1.58</v>
      </c>
      <c r="Q49">
        <v>4.1500000000000004</v>
      </c>
      <c r="R49">
        <v>5.7</v>
      </c>
      <c r="S49">
        <v>0.65928873035472013</v>
      </c>
      <c r="T49">
        <v>0.17720766451730918</v>
      </c>
      <c r="U49">
        <v>0.1635036051279706</v>
      </c>
      <c r="V49">
        <v>0.64761667082605445</v>
      </c>
      <c r="W49">
        <v>0.17968555028699776</v>
      </c>
      <c r="X49">
        <v>0.17269777888694784</v>
      </c>
      <c r="Y49">
        <v>0.63833714834231703</v>
      </c>
      <c r="Z49">
        <v>0.18472027369612837</v>
      </c>
      <c r="AA49">
        <v>0.17694257796155458</v>
      </c>
      <c r="AB49">
        <v>0.65113281996945294</v>
      </c>
      <c r="AC49">
        <v>0.17970528825443613</v>
      </c>
      <c r="AD49">
        <v>0.16916189177611091</v>
      </c>
      <c r="AE49" t="s">
        <v>149</v>
      </c>
      <c r="AF49" t="s">
        <v>141</v>
      </c>
      <c r="AG49">
        <v>271.52999999999997</v>
      </c>
      <c r="AH49">
        <v>27</v>
      </c>
      <c r="AI49">
        <v>6</v>
      </c>
      <c r="AJ49">
        <v>7</v>
      </c>
      <c r="AK49">
        <v>27.4</v>
      </c>
      <c r="AL49">
        <v>77</v>
      </c>
      <c r="AM49">
        <v>5396</v>
      </c>
      <c r="AN49">
        <v>80</v>
      </c>
      <c r="AO49">
        <v>79</v>
      </c>
      <c r="AP49">
        <v>78</v>
      </c>
      <c r="AQ49">
        <v>4.5</v>
      </c>
      <c r="AR49" t="s">
        <v>29</v>
      </c>
      <c r="AS49" t="s">
        <v>158</v>
      </c>
      <c r="AT49" t="s">
        <v>141</v>
      </c>
      <c r="AU49">
        <v>23.13</v>
      </c>
      <c r="AV49">
        <v>21</v>
      </c>
      <c r="AW49">
        <v>5</v>
      </c>
      <c r="AX49">
        <v>1</v>
      </c>
      <c r="AY49">
        <v>27.5</v>
      </c>
      <c r="AZ49">
        <v>581</v>
      </c>
      <c r="BA49">
        <v>1089</v>
      </c>
      <c r="BB49">
        <v>73</v>
      </c>
      <c r="BC49">
        <v>72</v>
      </c>
      <c r="BD49">
        <v>72</v>
      </c>
      <c r="BE49">
        <v>3.5</v>
      </c>
      <c r="BF49" t="s">
        <v>29</v>
      </c>
      <c r="BG49">
        <v>2</v>
      </c>
      <c r="BH49">
        <v>6</v>
      </c>
      <c r="BI49">
        <v>0.33300000000000002</v>
      </c>
      <c r="BJ49" t="s">
        <v>270</v>
      </c>
      <c r="BK49">
        <v>0.51160000000000005</v>
      </c>
      <c r="BL49">
        <v>0.5</v>
      </c>
      <c r="BM49">
        <v>1.79</v>
      </c>
      <c r="BN49">
        <v>1.3</v>
      </c>
    </row>
    <row r="50" spans="1:66" x14ac:dyDescent="0.25">
      <c r="A50" s="42">
        <v>1</v>
      </c>
      <c r="B50" s="4">
        <v>2</v>
      </c>
      <c r="C50" s="42"/>
      <c r="D50">
        <v>2.14</v>
      </c>
      <c r="E50">
        <v>3.4624999999999999</v>
      </c>
      <c r="F50">
        <v>3.5249999999999999</v>
      </c>
      <c r="J50">
        <v>2.1</v>
      </c>
      <c r="K50">
        <v>3.5</v>
      </c>
      <c r="L50">
        <v>3.6</v>
      </c>
      <c r="M50">
        <v>2.1800000000000002</v>
      </c>
      <c r="N50">
        <v>3.5</v>
      </c>
      <c r="O50">
        <v>3.5</v>
      </c>
      <c r="P50">
        <v>2.1800000000000002</v>
      </c>
      <c r="Q50">
        <v>3.35</v>
      </c>
      <c r="R50">
        <v>3.4</v>
      </c>
      <c r="S50">
        <v>0.47625243981782694</v>
      </c>
      <c r="T50">
        <v>0.24593363695510737</v>
      </c>
      <c r="U50">
        <v>0.27781392322706572</v>
      </c>
      <c r="V50">
        <v>0.46300520025545117</v>
      </c>
      <c r="W50">
        <v>0.24860870358543927</v>
      </c>
      <c r="X50">
        <v>0.2883860961591096</v>
      </c>
      <c r="Y50">
        <v>0.45231208514109839</v>
      </c>
      <c r="Z50">
        <v>0.25767604850372683</v>
      </c>
      <c r="AA50">
        <v>0.29001186635517484</v>
      </c>
      <c r="AB50">
        <v>0.46695554125805089</v>
      </c>
      <c r="AC50">
        <v>0.24953800649984523</v>
      </c>
      <c r="AD50">
        <v>0.28350645224210397</v>
      </c>
      <c r="AE50" t="s">
        <v>142</v>
      </c>
      <c r="AF50" t="s">
        <v>141</v>
      </c>
      <c r="AG50">
        <v>328.38</v>
      </c>
      <c r="AH50">
        <v>26</v>
      </c>
      <c r="AI50">
        <v>14</v>
      </c>
      <c r="AJ50">
        <v>8</v>
      </c>
      <c r="AK50">
        <v>25.8</v>
      </c>
      <c r="AL50">
        <v>11</v>
      </c>
      <c r="AM50">
        <v>9770</v>
      </c>
      <c r="AN50">
        <v>81</v>
      </c>
      <c r="AO50">
        <v>81</v>
      </c>
      <c r="AP50">
        <v>81</v>
      </c>
      <c r="AQ50">
        <v>4.5</v>
      </c>
      <c r="AR50" t="s">
        <v>29</v>
      </c>
      <c r="AS50" t="s">
        <v>151</v>
      </c>
      <c r="AT50" t="s">
        <v>141</v>
      </c>
      <c r="AU50">
        <v>106.95</v>
      </c>
      <c r="AV50">
        <v>31</v>
      </c>
      <c r="AW50">
        <v>8</v>
      </c>
      <c r="AX50">
        <v>3</v>
      </c>
      <c r="AY50">
        <v>27.6</v>
      </c>
      <c r="AZ50">
        <v>116</v>
      </c>
      <c r="BA50">
        <v>4556</v>
      </c>
      <c r="BB50">
        <v>77</v>
      </c>
      <c r="BC50">
        <v>77</v>
      </c>
      <c r="BD50">
        <v>76</v>
      </c>
      <c r="BE50">
        <v>4</v>
      </c>
      <c r="BF50" t="s">
        <v>29</v>
      </c>
      <c r="BG50">
        <v>30</v>
      </c>
      <c r="BH50">
        <v>38</v>
      </c>
      <c r="BI50">
        <v>0.53100000000000003</v>
      </c>
      <c r="BJ50" t="s">
        <v>270</v>
      </c>
      <c r="BK50">
        <v>0.36</v>
      </c>
      <c r="BL50">
        <v>0.3659</v>
      </c>
      <c r="BM50">
        <v>1.24</v>
      </c>
      <c r="BN50">
        <v>1.32</v>
      </c>
    </row>
    <row r="51" spans="1:66" x14ac:dyDescent="0.25">
      <c r="A51" s="42">
        <v>3</v>
      </c>
      <c r="B51" s="4">
        <v>-1</v>
      </c>
      <c r="C51" s="42"/>
      <c r="D51">
        <v>1.9375</v>
      </c>
      <c r="E51">
        <v>3.5625</v>
      </c>
      <c r="F51">
        <v>4.2125000000000004</v>
      </c>
      <c r="J51">
        <v>1.92</v>
      </c>
      <c r="K51">
        <v>3.55</v>
      </c>
      <c r="L51">
        <v>4.2</v>
      </c>
      <c r="M51">
        <v>1.95</v>
      </c>
      <c r="N51">
        <v>3.6</v>
      </c>
      <c r="O51">
        <v>4.2</v>
      </c>
      <c r="P51">
        <v>1.93</v>
      </c>
      <c r="Q51">
        <v>3.5</v>
      </c>
      <c r="R51">
        <v>4.1500000000000004</v>
      </c>
      <c r="S51">
        <v>0.52453765401790942</v>
      </c>
      <c r="T51">
        <v>0.23567370414533209</v>
      </c>
      <c r="U51">
        <v>0.23978864183675852</v>
      </c>
      <c r="V51">
        <v>0.52285898261429486</v>
      </c>
      <c r="W51">
        <v>0.23438506117192534</v>
      </c>
      <c r="X51">
        <v>0.24275595621377977</v>
      </c>
      <c r="Y51">
        <v>0.51939563189139115</v>
      </c>
      <c r="Z51">
        <v>0.23905411038562438</v>
      </c>
      <c r="AA51">
        <v>0.24155025772298433</v>
      </c>
      <c r="AB51">
        <v>0.52339101260915766</v>
      </c>
      <c r="AC51">
        <v>0.23586405398639074</v>
      </c>
      <c r="AD51">
        <v>0.24074493340445152</v>
      </c>
      <c r="AE51" t="s">
        <v>259</v>
      </c>
      <c r="AF51" t="s">
        <v>253</v>
      </c>
      <c r="AG51">
        <v>705.55</v>
      </c>
      <c r="AH51">
        <v>27</v>
      </c>
      <c r="AI51">
        <v>17</v>
      </c>
      <c r="AJ51">
        <v>17</v>
      </c>
      <c r="AK51">
        <v>26</v>
      </c>
      <c r="AL51">
        <v>42</v>
      </c>
      <c r="AM51">
        <v>6821</v>
      </c>
      <c r="AN51">
        <v>85</v>
      </c>
      <c r="AO51">
        <v>85</v>
      </c>
      <c r="AP51">
        <v>82</v>
      </c>
      <c r="AQ51">
        <v>4.5</v>
      </c>
      <c r="AR51" t="s">
        <v>29</v>
      </c>
      <c r="AS51" t="s">
        <v>262</v>
      </c>
      <c r="AT51" t="s">
        <v>253</v>
      </c>
      <c r="AU51">
        <v>411.05</v>
      </c>
      <c r="AV51">
        <v>29</v>
      </c>
      <c r="AW51">
        <v>18</v>
      </c>
      <c r="AX51">
        <v>12</v>
      </c>
      <c r="AY51">
        <v>25.7</v>
      </c>
      <c r="AZ51">
        <v>149</v>
      </c>
      <c r="BA51">
        <v>3982</v>
      </c>
      <c r="BB51">
        <v>80</v>
      </c>
      <c r="BC51">
        <v>78</v>
      </c>
      <c r="BD51">
        <v>79</v>
      </c>
      <c r="BE51">
        <v>4</v>
      </c>
      <c r="BF51" t="s">
        <v>29</v>
      </c>
      <c r="BG51">
        <v>22</v>
      </c>
      <c r="BH51">
        <v>68</v>
      </c>
      <c r="BI51">
        <v>0.36</v>
      </c>
      <c r="BJ51" t="s">
        <v>267</v>
      </c>
      <c r="BK51">
        <v>0.53569999999999995</v>
      </c>
      <c r="BL51">
        <v>0.52380000000000004</v>
      </c>
      <c r="BM51">
        <v>2.09</v>
      </c>
      <c r="BN51">
        <v>1.62</v>
      </c>
    </row>
    <row r="52" spans="1:66" x14ac:dyDescent="0.25">
      <c r="A52" s="42">
        <v>1</v>
      </c>
      <c r="B52" s="4">
        <v>1</v>
      </c>
      <c r="C52" s="42"/>
      <c r="D52">
        <v>1.5625</v>
      </c>
      <c r="E52">
        <v>3.7725</v>
      </c>
      <c r="F52">
        <v>6.65</v>
      </c>
      <c r="J52">
        <v>1.53</v>
      </c>
      <c r="K52">
        <v>3.75</v>
      </c>
      <c r="L52">
        <v>6.4</v>
      </c>
      <c r="M52">
        <v>1.59</v>
      </c>
      <c r="N52">
        <v>3.8</v>
      </c>
      <c r="O52">
        <v>7.2</v>
      </c>
      <c r="P52">
        <v>1.58</v>
      </c>
      <c r="Q52">
        <v>3.8</v>
      </c>
      <c r="R52">
        <v>6.6</v>
      </c>
      <c r="S52">
        <v>0.65081500159158123</v>
      </c>
      <c r="T52">
        <v>0.19359953709043151</v>
      </c>
      <c r="U52">
        <v>0.15558546131798739</v>
      </c>
      <c r="V52">
        <v>0.66220799582355172</v>
      </c>
      <c r="W52">
        <v>0.19155440509874724</v>
      </c>
      <c r="X52">
        <v>0.14623759907770104</v>
      </c>
      <c r="Y52">
        <v>0.65024469172812915</v>
      </c>
      <c r="Z52">
        <v>0.19409066994907637</v>
      </c>
      <c r="AA52">
        <v>0.15566463832279456</v>
      </c>
      <c r="AB52">
        <v>0.65274035409586284</v>
      </c>
      <c r="AC52">
        <v>0.19367189008302066</v>
      </c>
      <c r="AD52">
        <v>0.15358775582111658</v>
      </c>
      <c r="AE52" t="s">
        <v>33</v>
      </c>
      <c r="AF52" t="s">
        <v>23</v>
      </c>
      <c r="AG52">
        <v>287.7</v>
      </c>
      <c r="AH52">
        <v>27</v>
      </c>
      <c r="AI52">
        <v>18</v>
      </c>
      <c r="AJ52">
        <v>10</v>
      </c>
      <c r="AK52">
        <v>23.7</v>
      </c>
      <c r="AL52">
        <v>131</v>
      </c>
      <c r="AM52">
        <v>4207</v>
      </c>
      <c r="AN52">
        <v>77</v>
      </c>
      <c r="AO52">
        <v>77</v>
      </c>
      <c r="AP52">
        <v>76</v>
      </c>
      <c r="AQ52">
        <v>4</v>
      </c>
      <c r="AR52" t="s">
        <v>29</v>
      </c>
      <c r="AS52" t="s">
        <v>48</v>
      </c>
      <c r="AT52" t="s">
        <v>23</v>
      </c>
      <c r="AU52">
        <v>62.58</v>
      </c>
      <c r="AV52">
        <v>32</v>
      </c>
      <c r="AW52">
        <v>21</v>
      </c>
      <c r="AX52">
        <v>10</v>
      </c>
      <c r="AY52">
        <v>24.9</v>
      </c>
      <c r="AZ52">
        <v>426</v>
      </c>
      <c r="BA52">
        <v>1736</v>
      </c>
      <c r="BB52">
        <v>73</v>
      </c>
      <c r="BC52">
        <v>72</v>
      </c>
      <c r="BD52">
        <v>72</v>
      </c>
      <c r="BE52">
        <v>3.5</v>
      </c>
      <c r="BF52" t="s">
        <v>46</v>
      </c>
      <c r="BG52">
        <v>3</v>
      </c>
      <c r="BH52">
        <v>27</v>
      </c>
      <c r="BI52">
        <v>0.4</v>
      </c>
      <c r="BJ52" t="s">
        <v>266</v>
      </c>
      <c r="BK52">
        <v>0.47499999999999998</v>
      </c>
      <c r="BL52">
        <v>0.26669999999999999</v>
      </c>
      <c r="BM52">
        <v>1.3</v>
      </c>
      <c r="BN52">
        <v>0.93</v>
      </c>
    </row>
    <row r="53" spans="1:66" x14ac:dyDescent="0.25">
      <c r="A53" s="42">
        <v>1</v>
      </c>
      <c r="B53" s="4">
        <v>1</v>
      </c>
      <c r="C53" s="42"/>
      <c r="D53">
        <v>2.3274999999999997</v>
      </c>
      <c r="E53">
        <v>2.9750000000000001</v>
      </c>
      <c r="F53">
        <v>3.4750000000000001</v>
      </c>
      <c r="J53">
        <v>2.2999999999999998</v>
      </c>
      <c r="K53">
        <v>2.9</v>
      </c>
      <c r="L53">
        <v>3.4</v>
      </c>
      <c r="M53">
        <v>2.34</v>
      </c>
      <c r="N53">
        <v>3.05</v>
      </c>
      <c r="O53">
        <v>3.6</v>
      </c>
      <c r="P53">
        <v>2.35</v>
      </c>
      <c r="Q53">
        <v>3</v>
      </c>
      <c r="R53">
        <v>3.5</v>
      </c>
      <c r="S53">
        <v>0.42007060010085728</v>
      </c>
      <c r="T53">
        <v>0.29576399394856279</v>
      </c>
      <c r="U53">
        <v>0.28416540595057987</v>
      </c>
      <c r="V53">
        <v>0.43294270833333337</v>
      </c>
      <c r="W53">
        <v>0.28564453125</v>
      </c>
      <c r="X53">
        <v>0.28141276041666669</v>
      </c>
      <c r="Y53">
        <v>0.42506380357300005</v>
      </c>
      <c r="Z53">
        <v>0.28953621402798563</v>
      </c>
      <c r="AA53">
        <v>0.28539998239901432</v>
      </c>
      <c r="AB53">
        <v>0.42469547313531475</v>
      </c>
      <c r="AC53">
        <v>0.29079270358201426</v>
      </c>
      <c r="AD53">
        <v>0.28451182328267099</v>
      </c>
      <c r="AE53" t="s">
        <v>41</v>
      </c>
      <c r="AF53" t="s">
        <v>23</v>
      </c>
      <c r="AG53">
        <v>82.35</v>
      </c>
      <c r="AH53">
        <v>31</v>
      </c>
      <c r="AI53">
        <v>16</v>
      </c>
      <c r="AJ53">
        <v>8</v>
      </c>
      <c r="AK53">
        <v>26.4</v>
      </c>
      <c r="AL53">
        <v>266</v>
      </c>
      <c r="AM53">
        <v>2690</v>
      </c>
      <c r="AN53">
        <v>74</v>
      </c>
      <c r="AO53">
        <v>75</v>
      </c>
      <c r="AP53">
        <v>74</v>
      </c>
      <c r="AQ53">
        <v>3.5</v>
      </c>
      <c r="AR53" t="s">
        <v>29</v>
      </c>
      <c r="AS53" t="s">
        <v>37</v>
      </c>
      <c r="AT53" t="s">
        <v>23</v>
      </c>
      <c r="AU53">
        <v>73.25</v>
      </c>
      <c r="AV53">
        <v>26</v>
      </c>
      <c r="AW53">
        <v>17</v>
      </c>
      <c r="AX53">
        <v>8</v>
      </c>
      <c r="AY53">
        <v>23.9</v>
      </c>
      <c r="AZ53">
        <v>223</v>
      </c>
      <c r="BA53">
        <v>3054</v>
      </c>
      <c r="BB53">
        <v>71</v>
      </c>
      <c r="BC53">
        <v>73</v>
      </c>
      <c r="BD53">
        <v>73</v>
      </c>
      <c r="BE53">
        <v>3.5</v>
      </c>
      <c r="BF53" t="s">
        <v>29</v>
      </c>
      <c r="BG53">
        <v>-4</v>
      </c>
      <c r="BH53">
        <v>1</v>
      </c>
      <c r="BI53">
        <v>0.23499999999999999</v>
      </c>
      <c r="BJ53" t="s">
        <v>266</v>
      </c>
      <c r="BK53">
        <v>0.40629999999999999</v>
      </c>
      <c r="BL53">
        <v>0.35289999999999999</v>
      </c>
      <c r="BM53">
        <v>1.28</v>
      </c>
      <c r="BN53">
        <v>0.88</v>
      </c>
    </row>
    <row r="54" spans="1:66" x14ac:dyDescent="0.25">
      <c r="A54" s="42">
        <v>3</v>
      </c>
      <c r="B54" s="4">
        <v>-2</v>
      </c>
      <c r="C54" s="42"/>
      <c r="D54">
        <v>2.7824999999999998</v>
      </c>
      <c r="E54">
        <v>3.15</v>
      </c>
      <c r="F54">
        <v>2.65</v>
      </c>
      <c r="J54">
        <v>2.75</v>
      </c>
      <c r="K54">
        <v>3.1</v>
      </c>
      <c r="L54">
        <v>2.6</v>
      </c>
      <c r="M54">
        <v>2.85</v>
      </c>
      <c r="N54">
        <v>3.25</v>
      </c>
      <c r="O54">
        <v>2.7</v>
      </c>
      <c r="P54">
        <v>2.78</v>
      </c>
      <c r="Q54">
        <v>3.15</v>
      </c>
      <c r="R54">
        <v>2.7</v>
      </c>
      <c r="S54">
        <v>0.34933639193839094</v>
      </c>
      <c r="T54">
        <v>0.28117319351138792</v>
      </c>
      <c r="U54">
        <v>0.36949041455022119</v>
      </c>
      <c r="V54">
        <v>0.3534429142603287</v>
      </c>
      <c r="W54">
        <v>0.27347845402043536</v>
      </c>
      <c r="X54">
        <v>0.37307863171923589</v>
      </c>
      <c r="Y54">
        <v>0.3548730129546166</v>
      </c>
      <c r="Z54">
        <v>0.27973921815137076</v>
      </c>
      <c r="AA54">
        <v>0.36538776889401264</v>
      </c>
      <c r="AB54">
        <v>0.3517471777729318</v>
      </c>
      <c r="AC54">
        <v>0.27889101479864548</v>
      </c>
      <c r="AD54">
        <v>0.36936180742842273</v>
      </c>
      <c r="AE54" t="s">
        <v>42</v>
      </c>
      <c r="AF54" t="s">
        <v>23</v>
      </c>
      <c r="AG54">
        <v>42.38</v>
      </c>
      <c r="AH54">
        <v>24</v>
      </c>
      <c r="AI54">
        <v>13</v>
      </c>
      <c r="AJ54">
        <v>9</v>
      </c>
      <c r="AK54">
        <v>26</v>
      </c>
      <c r="AL54">
        <v>273</v>
      </c>
      <c r="AM54">
        <v>2608</v>
      </c>
      <c r="AN54">
        <v>72</v>
      </c>
      <c r="AO54">
        <v>72</v>
      </c>
      <c r="AP54">
        <v>70</v>
      </c>
      <c r="AQ54">
        <v>3.5</v>
      </c>
      <c r="AR54" t="s">
        <v>43</v>
      </c>
      <c r="AS54" t="s">
        <v>45</v>
      </c>
      <c r="AT54" t="s">
        <v>23</v>
      </c>
      <c r="AU54">
        <v>59.28</v>
      </c>
      <c r="AV54">
        <v>25</v>
      </c>
      <c r="AW54">
        <v>5</v>
      </c>
      <c r="AX54">
        <v>1</v>
      </c>
      <c r="AY54">
        <v>25.2</v>
      </c>
      <c r="AZ54">
        <v>347</v>
      </c>
      <c r="BA54">
        <v>2156</v>
      </c>
      <c r="BB54">
        <v>72</v>
      </c>
      <c r="BC54">
        <v>72</v>
      </c>
      <c r="BD54">
        <v>72</v>
      </c>
      <c r="BE54">
        <v>3.5</v>
      </c>
      <c r="BF54" t="s">
        <v>29</v>
      </c>
      <c r="BG54">
        <v>15</v>
      </c>
      <c r="BH54">
        <v>28</v>
      </c>
      <c r="BI54">
        <v>0.41699999999999998</v>
      </c>
      <c r="BJ54" t="s">
        <v>266</v>
      </c>
      <c r="BK54">
        <v>0.30299999999999999</v>
      </c>
      <c r="BL54">
        <v>0.28129999999999999</v>
      </c>
      <c r="BM54">
        <v>1.1200000000000001</v>
      </c>
      <c r="BN54">
        <v>1.22</v>
      </c>
    </row>
    <row r="55" spans="1:66" x14ac:dyDescent="0.25">
      <c r="A55" s="42">
        <v>3</v>
      </c>
      <c r="B55" s="4">
        <v>-2</v>
      </c>
      <c r="C55" s="42"/>
      <c r="D55">
        <v>3.25</v>
      </c>
      <c r="E55">
        <v>3.1875</v>
      </c>
      <c r="F55">
        <v>2.3024999999999998</v>
      </c>
      <c r="J55">
        <v>3.2</v>
      </c>
      <c r="K55">
        <v>3.1</v>
      </c>
      <c r="L55">
        <v>2.25</v>
      </c>
      <c r="M55">
        <v>3.3</v>
      </c>
      <c r="N55">
        <v>3.3</v>
      </c>
      <c r="O55">
        <v>2.35</v>
      </c>
      <c r="P55">
        <v>3.25</v>
      </c>
      <c r="Q55">
        <v>3.2</v>
      </c>
      <c r="R55">
        <v>2.33</v>
      </c>
      <c r="S55">
        <v>0.29852898759734642</v>
      </c>
      <c r="T55">
        <v>0.27689645226420534</v>
      </c>
      <c r="U55">
        <v>0.42457456013844824</v>
      </c>
      <c r="V55">
        <v>0.30520353577252057</v>
      </c>
      <c r="W55">
        <v>0.26621277569585494</v>
      </c>
      <c r="X55">
        <v>0.4285836885316246</v>
      </c>
      <c r="Y55">
        <v>0.30385997969504208</v>
      </c>
      <c r="Z55">
        <v>0.2723009928333327</v>
      </c>
      <c r="AA55">
        <v>0.42383902747162516</v>
      </c>
      <c r="AB55">
        <v>0.30168899498743501</v>
      </c>
      <c r="AC55">
        <v>0.27245189432410322</v>
      </c>
      <c r="AD55">
        <v>0.42585911068846183</v>
      </c>
      <c r="AE55" t="s">
        <v>47</v>
      </c>
      <c r="AF55" t="s">
        <v>23</v>
      </c>
      <c r="AG55">
        <v>46.88</v>
      </c>
      <c r="AH55">
        <v>27</v>
      </c>
      <c r="AI55">
        <v>10</v>
      </c>
      <c r="AJ55">
        <v>7</v>
      </c>
      <c r="AK55">
        <v>25.4</v>
      </c>
      <c r="AL55">
        <v>368</v>
      </c>
      <c r="AM55">
        <v>2020</v>
      </c>
      <c r="AN55">
        <v>72</v>
      </c>
      <c r="AO55">
        <v>70</v>
      </c>
      <c r="AP55">
        <v>72</v>
      </c>
      <c r="AQ55">
        <v>3.5</v>
      </c>
      <c r="AR55" t="s">
        <v>46</v>
      </c>
      <c r="AS55" t="s">
        <v>32</v>
      </c>
      <c r="AT55" t="s">
        <v>23</v>
      </c>
      <c r="AU55">
        <v>196.35</v>
      </c>
      <c r="AV55">
        <v>33</v>
      </c>
      <c r="AW55">
        <v>6</v>
      </c>
      <c r="AX55">
        <v>5</v>
      </c>
      <c r="AY55">
        <v>24.3</v>
      </c>
      <c r="AZ55">
        <v>102</v>
      </c>
      <c r="BA55">
        <v>4815</v>
      </c>
      <c r="BB55">
        <v>76</v>
      </c>
      <c r="BC55">
        <v>77</v>
      </c>
      <c r="BD55">
        <v>76</v>
      </c>
      <c r="BE55">
        <v>4</v>
      </c>
      <c r="BF55" t="s">
        <v>29</v>
      </c>
      <c r="BG55">
        <v>-6</v>
      </c>
      <c r="BH55">
        <v>-10</v>
      </c>
      <c r="BI55">
        <v>0.125</v>
      </c>
      <c r="BJ55" t="s">
        <v>266</v>
      </c>
      <c r="BK55">
        <v>0.25</v>
      </c>
      <c r="BL55">
        <v>0.47499999999999998</v>
      </c>
      <c r="BM55">
        <v>1.0900000000000001</v>
      </c>
      <c r="BN55">
        <v>1.43</v>
      </c>
    </row>
    <row r="56" spans="1:66" x14ac:dyDescent="0.25">
      <c r="A56" s="42">
        <v>3</v>
      </c>
      <c r="B56" s="4">
        <v>-1</v>
      </c>
      <c r="C56" s="42"/>
      <c r="D56">
        <v>1.6124999999999998</v>
      </c>
      <c r="E56">
        <v>4.3624999999999998</v>
      </c>
      <c r="F56">
        <v>4.9124999999999996</v>
      </c>
      <c r="J56">
        <v>1.6</v>
      </c>
      <c r="K56">
        <v>4.3499999999999996</v>
      </c>
      <c r="L56">
        <v>4.5999999999999996</v>
      </c>
      <c r="M56">
        <v>1.65</v>
      </c>
      <c r="N56">
        <v>4.3</v>
      </c>
      <c r="O56">
        <v>5.2</v>
      </c>
      <c r="P56">
        <v>1.6</v>
      </c>
      <c r="Q56">
        <v>4.4000000000000004</v>
      </c>
      <c r="R56">
        <v>5.15</v>
      </c>
      <c r="S56">
        <v>0.60754716981132073</v>
      </c>
      <c r="T56">
        <v>0.18113207547169816</v>
      </c>
      <c r="U56">
        <v>0.21132075471698114</v>
      </c>
      <c r="V56">
        <v>0.6186582319429218</v>
      </c>
      <c r="W56">
        <v>0.1850367521521126</v>
      </c>
      <c r="X56">
        <v>0.1963050159049656</v>
      </c>
      <c r="Y56">
        <v>0.62674466894173297</v>
      </c>
      <c r="Z56">
        <v>0.1785385407074373</v>
      </c>
      <c r="AA56">
        <v>0.19471679035082964</v>
      </c>
      <c r="AB56">
        <v>0.61631981827774351</v>
      </c>
      <c r="AC56">
        <v>0.18098141786927532</v>
      </c>
      <c r="AD56">
        <v>0.20269876385298119</v>
      </c>
      <c r="AE56" t="s">
        <v>10</v>
      </c>
      <c r="AF56" t="s">
        <v>23</v>
      </c>
      <c r="AG56">
        <v>801.45</v>
      </c>
      <c r="AH56">
        <v>31</v>
      </c>
      <c r="AI56">
        <v>21</v>
      </c>
      <c r="AJ56">
        <v>13</v>
      </c>
      <c r="AK56">
        <v>25.6</v>
      </c>
      <c r="AL56">
        <v>12</v>
      </c>
      <c r="AM56">
        <v>9495</v>
      </c>
      <c r="AN56">
        <v>88</v>
      </c>
      <c r="AO56">
        <v>84</v>
      </c>
      <c r="AP56">
        <v>83</v>
      </c>
      <c r="AQ56">
        <v>5</v>
      </c>
      <c r="AR56" t="s">
        <v>28</v>
      </c>
      <c r="AS56" t="s">
        <v>34</v>
      </c>
      <c r="AT56" t="s">
        <v>23</v>
      </c>
      <c r="AU56">
        <v>224.6</v>
      </c>
      <c r="AV56">
        <v>35</v>
      </c>
      <c r="AW56">
        <v>11</v>
      </c>
      <c r="AX56">
        <v>8</v>
      </c>
      <c r="AY56">
        <v>24.6</v>
      </c>
      <c r="AZ56">
        <v>145</v>
      </c>
      <c r="BA56">
        <v>4008</v>
      </c>
      <c r="BB56">
        <v>80</v>
      </c>
      <c r="BC56">
        <v>78</v>
      </c>
      <c r="BD56">
        <v>77</v>
      </c>
      <c r="BE56">
        <v>4</v>
      </c>
      <c r="BF56" t="s">
        <v>29</v>
      </c>
      <c r="BG56">
        <v>24</v>
      </c>
      <c r="BH56">
        <v>53</v>
      </c>
      <c r="BI56">
        <v>0.46800000000000003</v>
      </c>
      <c r="BJ56" t="s">
        <v>266</v>
      </c>
      <c r="BK56">
        <v>0.81630000000000003</v>
      </c>
      <c r="BL56">
        <v>0.54549999999999998</v>
      </c>
      <c r="BM56">
        <v>2.78</v>
      </c>
      <c r="BN56">
        <v>1.48</v>
      </c>
    </row>
    <row r="57" spans="1:66" x14ac:dyDescent="0.25">
      <c r="A57" s="42">
        <v>1</v>
      </c>
      <c r="B57" s="4">
        <v>1</v>
      </c>
      <c r="C57" s="42"/>
      <c r="D57">
        <v>2.3075000000000001</v>
      </c>
      <c r="E57">
        <v>2.9874999999999998</v>
      </c>
      <c r="F57">
        <v>3.1750000000000003</v>
      </c>
      <c r="J57">
        <v>2.2000000000000002</v>
      </c>
      <c r="K57">
        <v>2.95</v>
      </c>
      <c r="L57">
        <v>3.15</v>
      </c>
      <c r="M57">
        <v>2.4</v>
      </c>
      <c r="N57">
        <v>3</v>
      </c>
      <c r="O57">
        <v>3.2</v>
      </c>
      <c r="P57">
        <v>2.4</v>
      </c>
      <c r="Q57">
        <v>3</v>
      </c>
      <c r="R57">
        <v>3.2</v>
      </c>
      <c r="S57">
        <v>0.41975351261780647</v>
      </c>
      <c r="T57">
        <v>0.28708530396658266</v>
      </c>
      <c r="U57">
        <v>0.29316118341561087</v>
      </c>
      <c r="V57">
        <v>0.40603015075376891</v>
      </c>
      <c r="W57">
        <v>0.28944723618090451</v>
      </c>
      <c r="X57">
        <v>0.30452261306532663</v>
      </c>
      <c r="Y57">
        <v>0.40603015075376891</v>
      </c>
      <c r="Z57">
        <v>0.28944723618090451</v>
      </c>
      <c r="AA57">
        <v>0.30452261306532663</v>
      </c>
      <c r="AB57">
        <v>0.41277253099412298</v>
      </c>
      <c r="AC57">
        <v>0.28747061495517934</v>
      </c>
      <c r="AD57">
        <v>0.29975685405069774</v>
      </c>
      <c r="AE57" t="s">
        <v>118</v>
      </c>
      <c r="AF57" t="s">
        <v>108</v>
      </c>
      <c r="AG57">
        <v>36.35</v>
      </c>
      <c r="AH57">
        <v>43</v>
      </c>
      <c r="AI57">
        <v>3</v>
      </c>
      <c r="AJ57">
        <v>0</v>
      </c>
      <c r="AK57">
        <v>25.3</v>
      </c>
      <c r="AL57">
        <v>89</v>
      </c>
      <c r="AM57">
        <v>5108</v>
      </c>
      <c r="AN57">
        <v>71</v>
      </c>
      <c r="AO57">
        <v>74</v>
      </c>
      <c r="AP57">
        <v>72</v>
      </c>
      <c r="AQ57">
        <v>3.5</v>
      </c>
      <c r="AR57" t="s">
        <v>29</v>
      </c>
      <c r="AS57" t="s">
        <v>115</v>
      </c>
      <c r="AT57" t="s">
        <v>108</v>
      </c>
      <c r="AU57">
        <v>62.68</v>
      </c>
      <c r="AV57">
        <v>34</v>
      </c>
      <c r="AW57">
        <v>5</v>
      </c>
      <c r="AX57">
        <v>3</v>
      </c>
      <c r="AY57">
        <v>25.6</v>
      </c>
      <c r="AZ57">
        <v>64</v>
      </c>
      <c r="BA57">
        <v>6079</v>
      </c>
      <c r="BB57">
        <v>72</v>
      </c>
      <c r="BC57">
        <v>74</v>
      </c>
      <c r="BD57">
        <v>72</v>
      </c>
      <c r="BE57">
        <v>3.5</v>
      </c>
      <c r="BF57" t="s">
        <v>29</v>
      </c>
      <c r="BG57">
        <v>-2</v>
      </c>
      <c r="BH57">
        <v>7</v>
      </c>
      <c r="BI57">
        <v>0.31</v>
      </c>
      <c r="BJ57" t="s">
        <v>236</v>
      </c>
      <c r="BK57">
        <v>0.4839</v>
      </c>
      <c r="BL57">
        <v>0.3448</v>
      </c>
      <c r="BM57">
        <v>1.52</v>
      </c>
      <c r="BN57">
        <v>1.1599999999999999</v>
      </c>
    </row>
    <row r="58" spans="1:66" x14ac:dyDescent="0.25">
      <c r="A58" s="42">
        <v>2</v>
      </c>
      <c r="B58" s="4">
        <v>0</v>
      </c>
      <c r="C58" s="42"/>
      <c r="D58">
        <v>1.7124999999999999</v>
      </c>
      <c r="E58">
        <v>3.4125000000000001</v>
      </c>
      <c r="F58">
        <v>4.9000000000000004</v>
      </c>
      <c r="J58">
        <v>1.64</v>
      </c>
      <c r="K58">
        <v>3.4</v>
      </c>
      <c r="L58">
        <v>4.8</v>
      </c>
      <c r="M58">
        <v>1.77</v>
      </c>
      <c r="N58">
        <v>3.4</v>
      </c>
      <c r="O58">
        <v>5</v>
      </c>
      <c r="P58">
        <v>1.78</v>
      </c>
      <c r="Q58">
        <v>3.4</v>
      </c>
      <c r="R58">
        <v>4.9000000000000004</v>
      </c>
      <c r="S58">
        <v>0.57669755570374115</v>
      </c>
      <c r="T58">
        <v>0.22626411276414729</v>
      </c>
      <c r="U58">
        <v>0.19703833153211159</v>
      </c>
      <c r="V58">
        <v>0.56606312989367513</v>
      </c>
      <c r="W58">
        <v>0.23355052212396385</v>
      </c>
      <c r="X58">
        <v>0.20038634798236099</v>
      </c>
      <c r="Y58">
        <v>0.56144899781595969</v>
      </c>
      <c r="Z58">
        <v>0.23459606012028361</v>
      </c>
      <c r="AA58">
        <v>0.20395494206375672</v>
      </c>
      <c r="AB58">
        <v>0.5708940774369804</v>
      </c>
      <c r="AC58">
        <v>0.22969221106053642</v>
      </c>
      <c r="AD58">
        <v>0.19941371150248313</v>
      </c>
      <c r="AE58" t="s">
        <v>110</v>
      </c>
      <c r="AF58" t="s">
        <v>108</v>
      </c>
      <c r="AG58">
        <v>68.63</v>
      </c>
      <c r="AH58">
        <v>35</v>
      </c>
      <c r="AI58">
        <v>2</v>
      </c>
      <c r="AJ58">
        <v>3</v>
      </c>
      <c r="AK58">
        <v>27.4</v>
      </c>
      <c r="AL58">
        <v>9</v>
      </c>
      <c r="AM58">
        <v>10366</v>
      </c>
      <c r="AN58">
        <v>72</v>
      </c>
      <c r="AO58">
        <v>75</v>
      </c>
      <c r="AP58">
        <v>74</v>
      </c>
      <c r="AQ58">
        <v>4</v>
      </c>
      <c r="AR58" t="s">
        <v>29</v>
      </c>
      <c r="AS58" t="s">
        <v>120</v>
      </c>
      <c r="AT58" t="s">
        <v>108</v>
      </c>
      <c r="AU58">
        <v>16.53</v>
      </c>
      <c r="AV58">
        <v>31</v>
      </c>
      <c r="AW58">
        <v>3</v>
      </c>
      <c r="AX58">
        <v>0</v>
      </c>
      <c r="AY58">
        <v>28.7</v>
      </c>
      <c r="AZ58">
        <v>106</v>
      </c>
      <c r="BA58">
        <v>4727</v>
      </c>
      <c r="BB58">
        <v>68</v>
      </c>
      <c r="BC58">
        <v>71</v>
      </c>
      <c r="BD58">
        <v>70</v>
      </c>
      <c r="BE58">
        <v>3</v>
      </c>
      <c r="BF58" t="s">
        <v>28</v>
      </c>
      <c r="BG58">
        <v>2</v>
      </c>
      <c r="BH58">
        <v>0</v>
      </c>
      <c r="BI58">
        <v>0.5</v>
      </c>
      <c r="BJ58" t="s">
        <v>236</v>
      </c>
      <c r="BK58">
        <v>0.47299999999999998</v>
      </c>
      <c r="BL58">
        <v>0.4032</v>
      </c>
      <c r="BM58">
        <v>1.36</v>
      </c>
      <c r="BN58">
        <v>1.26</v>
      </c>
    </row>
    <row r="59" spans="1:66" x14ac:dyDescent="0.25">
      <c r="A59" s="42">
        <v>1</v>
      </c>
      <c r="B59" s="4">
        <v>1</v>
      </c>
      <c r="C59" s="42"/>
      <c r="D59">
        <v>4.0375000000000005</v>
      </c>
      <c r="E59">
        <v>3.2874999999999996</v>
      </c>
      <c r="F59">
        <v>1.8925000000000001</v>
      </c>
      <c r="J59">
        <v>3.9</v>
      </c>
      <c r="K59">
        <v>3.25</v>
      </c>
      <c r="L59">
        <v>1.83</v>
      </c>
      <c r="M59">
        <v>4.2</v>
      </c>
      <c r="N59">
        <v>3.3</v>
      </c>
      <c r="O59">
        <v>1.94</v>
      </c>
      <c r="P59">
        <v>4.1500000000000004</v>
      </c>
      <c r="Q59">
        <v>3.3</v>
      </c>
      <c r="R59">
        <v>1.95</v>
      </c>
      <c r="S59">
        <v>0.23963576958193264</v>
      </c>
      <c r="T59">
        <v>0.24966504934181755</v>
      </c>
      <c r="U59">
        <v>0.51069918107624979</v>
      </c>
      <c r="V59">
        <v>0.23645482470949625</v>
      </c>
      <c r="W59">
        <v>0.25163266818747071</v>
      </c>
      <c r="X59">
        <v>0.51191250710303315</v>
      </c>
      <c r="Y59">
        <v>0.23904630807988986</v>
      </c>
      <c r="Z59">
        <v>0.25221411318598547</v>
      </c>
      <c r="AA59">
        <v>0.50873957873412468</v>
      </c>
      <c r="AB59">
        <v>0.23931776087131396</v>
      </c>
      <c r="AC59">
        <v>0.25023318586731325</v>
      </c>
      <c r="AD59">
        <v>0.5104490532613728</v>
      </c>
      <c r="AE59" t="s">
        <v>121</v>
      </c>
      <c r="AF59" t="s">
        <v>108</v>
      </c>
      <c r="AG59">
        <v>18.579999999999998</v>
      </c>
      <c r="AH59">
        <v>40</v>
      </c>
      <c r="AI59">
        <v>5</v>
      </c>
      <c r="AJ59">
        <v>1</v>
      </c>
      <c r="AK59">
        <v>25.5</v>
      </c>
      <c r="AL59">
        <v>128</v>
      </c>
      <c r="AM59">
        <v>4227</v>
      </c>
      <c r="AN59">
        <v>72</v>
      </c>
      <c r="AO59">
        <v>72</v>
      </c>
      <c r="AP59">
        <v>71</v>
      </c>
      <c r="AQ59">
        <v>3.5</v>
      </c>
      <c r="AR59" t="s">
        <v>29</v>
      </c>
      <c r="AS59" t="s">
        <v>112</v>
      </c>
      <c r="AT59" t="s">
        <v>108</v>
      </c>
      <c r="AU59">
        <v>55.08</v>
      </c>
      <c r="AV59">
        <v>36</v>
      </c>
      <c r="AW59">
        <v>7</v>
      </c>
      <c r="AX59">
        <v>2</v>
      </c>
      <c r="AY59">
        <v>26.4</v>
      </c>
      <c r="AZ59">
        <v>17</v>
      </c>
      <c r="BA59">
        <v>9035</v>
      </c>
      <c r="BB59">
        <v>73</v>
      </c>
      <c r="BC59">
        <v>74</v>
      </c>
      <c r="BD59">
        <v>74</v>
      </c>
      <c r="BE59">
        <v>3.5</v>
      </c>
      <c r="BF59" t="s">
        <v>29</v>
      </c>
      <c r="BG59">
        <v>-7</v>
      </c>
      <c r="BH59">
        <v>-8</v>
      </c>
      <c r="BI59">
        <v>0.3</v>
      </c>
      <c r="BJ59" t="s">
        <v>236</v>
      </c>
      <c r="BK59">
        <v>0.31580000000000003</v>
      </c>
      <c r="BL59">
        <v>0.52939999999999998</v>
      </c>
      <c r="BM59">
        <v>1.1399999999999999</v>
      </c>
      <c r="BN59">
        <v>1.5</v>
      </c>
    </row>
    <row r="60" spans="1:66" x14ac:dyDescent="0.25">
      <c r="A60" s="42">
        <v>3</v>
      </c>
      <c r="B60" s="4">
        <v>-1</v>
      </c>
      <c r="C60" s="42"/>
      <c r="D60">
        <v>2.6425000000000001</v>
      </c>
      <c r="E60">
        <v>2.9250000000000003</v>
      </c>
      <c r="F60">
        <v>2.7675000000000005</v>
      </c>
      <c r="J60">
        <v>2.6</v>
      </c>
      <c r="K60">
        <v>2.85</v>
      </c>
      <c r="L60">
        <v>2.65</v>
      </c>
      <c r="M60">
        <v>2.7</v>
      </c>
      <c r="N60">
        <v>3</v>
      </c>
      <c r="O60">
        <v>2.85</v>
      </c>
      <c r="P60">
        <v>2.67</v>
      </c>
      <c r="Q60">
        <v>2.97</v>
      </c>
      <c r="R60">
        <v>2.87</v>
      </c>
      <c r="S60">
        <v>0.35290907106211117</v>
      </c>
      <c r="T60">
        <v>0.30084051959393082</v>
      </c>
      <c r="U60">
        <v>0.34625040934395812</v>
      </c>
      <c r="V60">
        <v>0.36319543509272467</v>
      </c>
      <c r="W60">
        <v>0.29272467902995725</v>
      </c>
      <c r="X60">
        <v>0.34407988587731814</v>
      </c>
      <c r="Y60">
        <v>0.36526034216215181</v>
      </c>
      <c r="Z60">
        <v>0.29493299805633416</v>
      </c>
      <c r="AA60">
        <v>0.33980665978151403</v>
      </c>
      <c r="AB60">
        <v>0.35963098158077977</v>
      </c>
      <c r="AC60">
        <v>0.29685203866704657</v>
      </c>
      <c r="AD60">
        <v>0.34351697975217366</v>
      </c>
      <c r="AE60" t="s">
        <v>123</v>
      </c>
      <c r="AF60" t="s">
        <v>108</v>
      </c>
      <c r="AG60">
        <v>23.65</v>
      </c>
      <c r="AH60">
        <v>37</v>
      </c>
      <c r="AI60">
        <v>6</v>
      </c>
      <c r="AJ60">
        <v>2</v>
      </c>
      <c r="AK60">
        <v>25</v>
      </c>
      <c r="AL60">
        <v>155</v>
      </c>
      <c r="AM60">
        <v>3912</v>
      </c>
      <c r="AN60">
        <v>73</v>
      </c>
      <c r="AO60">
        <v>72</v>
      </c>
      <c r="AP60">
        <v>71</v>
      </c>
      <c r="AQ60">
        <v>3.5</v>
      </c>
      <c r="AR60" t="s">
        <v>29</v>
      </c>
      <c r="AS60" t="s">
        <v>268</v>
      </c>
      <c r="AT60" t="s">
        <v>108</v>
      </c>
      <c r="AU60">
        <v>34.35</v>
      </c>
      <c r="AV60">
        <v>43</v>
      </c>
      <c r="AW60">
        <v>3</v>
      </c>
      <c r="AX60">
        <v>0</v>
      </c>
      <c r="AY60">
        <v>24.9</v>
      </c>
      <c r="AZ60">
        <v>136</v>
      </c>
      <c r="BA60">
        <v>4140</v>
      </c>
      <c r="BB60">
        <v>72</v>
      </c>
      <c r="BC60">
        <v>71</v>
      </c>
      <c r="BD60">
        <v>73</v>
      </c>
      <c r="BE60">
        <v>3.5</v>
      </c>
      <c r="BF60" t="s">
        <v>29</v>
      </c>
      <c r="BG60">
        <v>12</v>
      </c>
      <c r="BH60">
        <v>19</v>
      </c>
      <c r="BI60">
        <v>0.42899999999999999</v>
      </c>
      <c r="BJ60" t="s">
        <v>236</v>
      </c>
      <c r="BK60">
        <v>0.22409999999999999</v>
      </c>
      <c r="BL60">
        <v>0.29509999999999997</v>
      </c>
      <c r="BM60">
        <v>0.91</v>
      </c>
      <c r="BN60">
        <v>0.87</v>
      </c>
    </row>
    <row r="61" spans="1:66" x14ac:dyDescent="0.25">
      <c r="A61" s="42">
        <v>1</v>
      </c>
      <c r="B61" s="4">
        <v>2</v>
      </c>
      <c r="C61" s="42"/>
      <c r="D61">
        <v>1.5725</v>
      </c>
      <c r="E61">
        <v>3.8</v>
      </c>
      <c r="F61">
        <v>5.1124999999999998</v>
      </c>
      <c r="J61">
        <v>1.58</v>
      </c>
      <c r="K61">
        <v>3.7</v>
      </c>
      <c r="L61">
        <v>5</v>
      </c>
      <c r="M61">
        <v>1.58</v>
      </c>
      <c r="N61">
        <v>3.9</v>
      </c>
      <c r="O61">
        <v>5.2</v>
      </c>
      <c r="P61">
        <v>1.55</v>
      </c>
      <c r="Q61">
        <v>3.9</v>
      </c>
      <c r="R61">
        <v>5.25</v>
      </c>
      <c r="S61">
        <v>0.60331877486299268</v>
      </c>
      <c r="T61">
        <v>0.20603249228030152</v>
      </c>
      <c r="U61">
        <v>0.19064873285670567</v>
      </c>
      <c r="V61">
        <v>0.61637288265208579</v>
      </c>
      <c r="W61">
        <v>0.19634458761901122</v>
      </c>
      <c r="X61">
        <v>0.187282529728903</v>
      </c>
      <c r="Y61">
        <v>0.62215417652556027</v>
      </c>
      <c r="Z61">
        <v>0.19416220945260773</v>
      </c>
      <c r="AA61">
        <v>0.18368361402183209</v>
      </c>
      <c r="AB61">
        <v>0.61129115222590791</v>
      </c>
      <c r="AC61">
        <v>0.2006429454080555</v>
      </c>
      <c r="AD61">
        <v>0.18806590236603662</v>
      </c>
      <c r="AE61" t="s">
        <v>133</v>
      </c>
      <c r="AF61" t="s">
        <v>134</v>
      </c>
      <c r="AG61">
        <v>11.73</v>
      </c>
      <c r="AH61">
        <v>21</v>
      </c>
      <c r="AI61">
        <v>7</v>
      </c>
      <c r="AJ61">
        <v>2</v>
      </c>
      <c r="AK61">
        <v>27.2</v>
      </c>
      <c r="AL61">
        <v>192</v>
      </c>
      <c r="AM61">
        <v>3470</v>
      </c>
      <c r="AN61">
        <v>67</v>
      </c>
      <c r="AO61">
        <v>72</v>
      </c>
      <c r="AP61">
        <v>68</v>
      </c>
      <c r="AQ61">
        <v>3</v>
      </c>
      <c r="AR61" t="s">
        <v>29</v>
      </c>
      <c r="AS61" t="s">
        <v>139</v>
      </c>
      <c r="AT61" t="s">
        <v>134</v>
      </c>
      <c r="AU61">
        <v>12.53</v>
      </c>
      <c r="AV61">
        <v>26</v>
      </c>
      <c r="AW61">
        <v>5</v>
      </c>
      <c r="AX61">
        <v>0</v>
      </c>
      <c r="AY61">
        <v>27.3</v>
      </c>
      <c r="AZ61">
        <v>931</v>
      </c>
      <c r="BA61">
        <v>139</v>
      </c>
      <c r="BB61">
        <v>68</v>
      </c>
      <c r="BC61">
        <v>66</v>
      </c>
      <c r="BD61">
        <v>63</v>
      </c>
      <c r="BE61">
        <v>2</v>
      </c>
      <c r="BF61" t="s">
        <v>29</v>
      </c>
      <c r="BG61">
        <v>-4</v>
      </c>
      <c r="BH61">
        <v>-2</v>
      </c>
      <c r="BI61">
        <v>0.188</v>
      </c>
      <c r="BJ61" t="s">
        <v>134</v>
      </c>
      <c r="BK61">
        <v>0.5</v>
      </c>
      <c r="BL61">
        <v>0.30769999999999997</v>
      </c>
      <c r="BM61">
        <v>1.95</v>
      </c>
      <c r="BN61">
        <v>1.21</v>
      </c>
    </row>
    <row r="62" spans="1:66" x14ac:dyDescent="0.25">
      <c r="A62" s="42">
        <v>3</v>
      </c>
      <c r="B62" s="4">
        <v>-1</v>
      </c>
      <c r="C62" s="42"/>
      <c r="D62">
        <v>2.0474999999999999</v>
      </c>
      <c r="E62">
        <v>3.1625000000000001</v>
      </c>
      <c r="F62">
        <v>3.4375</v>
      </c>
      <c r="J62">
        <v>2</v>
      </c>
      <c r="K62">
        <v>3.15</v>
      </c>
      <c r="L62">
        <v>3.4</v>
      </c>
      <c r="M62">
        <v>2.09</v>
      </c>
      <c r="N62">
        <v>3.2</v>
      </c>
      <c r="O62">
        <v>3.5</v>
      </c>
      <c r="P62">
        <v>2.1</v>
      </c>
      <c r="Q62">
        <v>3.15</v>
      </c>
      <c r="R62">
        <v>3.45</v>
      </c>
      <c r="S62">
        <v>0.46303501945525288</v>
      </c>
      <c r="T62">
        <v>0.26459143968871596</v>
      </c>
      <c r="U62">
        <v>0.2723735408560311</v>
      </c>
      <c r="V62">
        <v>0.46021436825118545</v>
      </c>
      <c r="W62">
        <v>0.26497190899310674</v>
      </c>
      <c r="X62">
        <v>0.27481372275570787</v>
      </c>
      <c r="Y62">
        <v>0.45449485109935989</v>
      </c>
      <c r="Z62">
        <v>0.26885610910102986</v>
      </c>
      <c r="AA62">
        <v>0.27664903979961036</v>
      </c>
      <c r="AB62">
        <v>0.46019481456526273</v>
      </c>
      <c r="AC62">
        <v>0.2657527243678921</v>
      </c>
      <c r="AD62">
        <v>0.27405246106684511</v>
      </c>
      <c r="AE62" t="s">
        <v>250</v>
      </c>
      <c r="AF62" t="s">
        <v>246</v>
      </c>
      <c r="AG62">
        <v>6.43</v>
      </c>
      <c r="AH62">
        <v>29</v>
      </c>
      <c r="AI62">
        <v>0</v>
      </c>
      <c r="AJ62">
        <v>1</v>
      </c>
      <c r="AK62">
        <v>26.2</v>
      </c>
      <c r="AL62">
        <v>528</v>
      </c>
      <c r="AM62">
        <v>1260</v>
      </c>
      <c r="AN62">
        <v>65</v>
      </c>
      <c r="AO62">
        <v>65</v>
      </c>
      <c r="AP62">
        <v>62</v>
      </c>
      <c r="AQ62">
        <v>1.5</v>
      </c>
      <c r="AR62" t="s">
        <v>29</v>
      </c>
      <c r="AS62" t="s">
        <v>248</v>
      </c>
      <c r="AT62" t="s">
        <v>246</v>
      </c>
      <c r="AU62">
        <v>4.43</v>
      </c>
      <c r="AV62">
        <v>32</v>
      </c>
      <c r="AW62">
        <v>2</v>
      </c>
      <c r="AX62">
        <v>0</v>
      </c>
      <c r="AY62">
        <v>24.6</v>
      </c>
      <c r="AZ62">
        <v>411</v>
      </c>
      <c r="BA62">
        <v>1794</v>
      </c>
      <c r="BB62">
        <v>64</v>
      </c>
      <c r="BC62">
        <v>64</v>
      </c>
      <c r="BD62">
        <v>63</v>
      </c>
      <c r="BE62">
        <v>2</v>
      </c>
      <c r="BF62" t="s">
        <v>29</v>
      </c>
      <c r="BG62">
        <v>3</v>
      </c>
      <c r="BH62">
        <v>6</v>
      </c>
      <c r="BI62">
        <v>0.35</v>
      </c>
      <c r="BJ62" t="s">
        <v>246</v>
      </c>
      <c r="BK62">
        <v>0.37209999999999999</v>
      </c>
      <c r="BL62">
        <v>0.4884</v>
      </c>
      <c r="BM62">
        <v>1.37</v>
      </c>
      <c r="BN62">
        <v>1.95</v>
      </c>
    </row>
    <row r="63" spans="1:66" x14ac:dyDescent="0.25">
      <c r="A63" s="4">
        <v>2</v>
      </c>
      <c r="B63" s="4">
        <v>0</v>
      </c>
      <c r="C63" s="4"/>
      <c r="D63">
        <v>1.5774999999999999</v>
      </c>
      <c r="E63">
        <v>3.9</v>
      </c>
      <c r="F63">
        <v>5.875</v>
      </c>
      <c r="J63">
        <v>1.55</v>
      </c>
      <c r="K63">
        <v>3.85</v>
      </c>
      <c r="L63">
        <v>6.25</v>
      </c>
      <c r="M63">
        <v>1.61</v>
      </c>
      <c r="N63">
        <v>3.9</v>
      </c>
      <c r="O63">
        <v>5.4</v>
      </c>
      <c r="P63">
        <v>1.6</v>
      </c>
      <c r="Q63">
        <v>4</v>
      </c>
      <c r="R63">
        <v>5.6</v>
      </c>
      <c r="S63">
        <v>0.647593591710802</v>
      </c>
      <c r="T63">
        <v>0.19180319754491904</v>
      </c>
      <c r="U63">
        <v>0.16060321074427891</v>
      </c>
      <c r="V63">
        <v>0.61812184713843843</v>
      </c>
      <c r="W63">
        <v>0.19758626880732344</v>
      </c>
      <c r="X63">
        <v>0.1842918840542381</v>
      </c>
      <c r="Y63">
        <v>0.62835906232132643</v>
      </c>
      <c r="Z63">
        <v>0.19210977701543738</v>
      </c>
      <c r="AA63">
        <v>0.17953116066323616</v>
      </c>
      <c r="AB63">
        <v>0.63541702322034221</v>
      </c>
      <c r="AC63">
        <v>0.19332561022814973</v>
      </c>
      <c r="AD63">
        <v>0.17125736655150803</v>
      </c>
      <c r="AE63" t="s">
        <v>114</v>
      </c>
      <c r="AF63" t="s">
        <v>108</v>
      </c>
      <c r="AG63">
        <v>41.98</v>
      </c>
      <c r="AH63">
        <v>33</v>
      </c>
      <c r="AI63">
        <v>5</v>
      </c>
      <c r="AJ63">
        <v>1</v>
      </c>
      <c r="AK63">
        <v>25.2</v>
      </c>
      <c r="AL63">
        <v>40</v>
      </c>
      <c r="AM63">
        <v>7098</v>
      </c>
      <c r="AN63">
        <v>74</v>
      </c>
      <c r="AO63">
        <v>73</v>
      </c>
      <c r="AP63">
        <v>73</v>
      </c>
      <c r="AQ63">
        <v>3.5</v>
      </c>
      <c r="AR63" t="s">
        <v>29</v>
      </c>
      <c r="AS63" t="s">
        <v>237</v>
      </c>
      <c r="AT63" t="s">
        <v>238</v>
      </c>
      <c r="AU63">
        <v>18.579999999999998</v>
      </c>
      <c r="AV63">
        <v>32</v>
      </c>
      <c r="AW63">
        <v>7</v>
      </c>
      <c r="AX63">
        <v>3</v>
      </c>
      <c r="AY63">
        <v>29.5</v>
      </c>
      <c r="AZ63">
        <v>109</v>
      </c>
      <c r="BA63">
        <v>4640</v>
      </c>
      <c r="BB63">
        <v>74</v>
      </c>
      <c r="BC63">
        <v>72</v>
      </c>
      <c r="BD63">
        <v>71</v>
      </c>
      <c r="BE63">
        <v>3.5</v>
      </c>
      <c r="BF63" t="s">
        <v>29</v>
      </c>
      <c r="BG63">
        <v>0</v>
      </c>
      <c r="BH63">
        <v>0</v>
      </c>
      <c r="BI63">
        <v>0</v>
      </c>
      <c r="BJ63" t="s">
        <v>271</v>
      </c>
      <c r="BK63">
        <v>0.39389999999999997</v>
      </c>
      <c r="BL63">
        <v>0.47620000000000001</v>
      </c>
      <c r="BM63">
        <v>1.3</v>
      </c>
      <c r="BN63">
        <v>1.17</v>
      </c>
    </row>
    <row r="64" spans="1:66" x14ac:dyDescent="0.25">
      <c r="A64" s="4">
        <v>1</v>
      </c>
      <c r="B64" s="4">
        <v>1</v>
      </c>
      <c r="C64" s="4"/>
      <c r="D64">
        <v>3.6749999999999998</v>
      </c>
      <c r="E64">
        <v>3.3624999999999998</v>
      </c>
      <c r="F64">
        <v>2.06</v>
      </c>
      <c r="J64">
        <v>3.5</v>
      </c>
      <c r="K64">
        <v>3.35</v>
      </c>
      <c r="L64">
        <v>2.04</v>
      </c>
      <c r="M64">
        <v>3.85</v>
      </c>
      <c r="N64">
        <v>3.45</v>
      </c>
      <c r="O64">
        <v>2.09</v>
      </c>
      <c r="P64">
        <v>3.8</v>
      </c>
      <c r="Q64">
        <v>3.3</v>
      </c>
      <c r="R64">
        <v>2.0699999999999998</v>
      </c>
      <c r="S64">
        <v>0.27521533628310235</v>
      </c>
      <c r="T64">
        <v>0.25260148872137889</v>
      </c>
      <c r="U64">
        <v>0.47218317499551876</v>
      </c>
      <c r="V64">
        <v>0.26414965754591607</v>
      </c>
      <c r="W64">
        <v>0.24925886802739636</v>
      </c>
      <c r="X64">
        <v>0.48659147442668765</v>
      </c>
      <c r="Y64">
        <v>0.26170778428195063</v>
      </c>
      <c r="Z64">
        <v>0.25786246679466179</v>
      </c>
      <c r="AA64">
        <v>0.48042974892338763</v>
      </c>
      <c r="AB64">
        <v>0.2684421597723875</v>
      </c>
      <c r="AC64">
        <v>0.25312067367136587</v>
      </c>
      <c r="AD64">
        <v>0.47843716655624674</v>
      </c>
      <c r="AE64" t="s">
        <v>38</v>
      </c>
      <c r="AF64" t="s">
        <v>23</v>
      </c>
      <c r="AG64">
        <v>82.2</v>
      </c>
      <c r="AH64">
        <v>30</v>
      </c>
      <c r="AI64">
        <v>12</v>
      </c>
      <c r="AJ64">
        <v>5</v>
      </c>
      <c r="AK64">
        <v>25.7</v>
      </c>
      <c r="AL64">
        <v>228</v>
      </c>
      <c r="AM64">
        <v>3029</v>
      </c>
      <c r="AN64">
        <v>78</v>
      </c>
      <c r="AO64">
        <v>74</v>
      </c>
      <c r="AP64">
        <v>75</v>
      </c>
      <c r="AQ64">
        <v>4</v>
      </c>
      <c r="AR64" t="s">
        <v>29</v>
      </c>
      <c r="AS64" t="s">
        <v>30</v>
      </c>
      <c r="AT64" t="s">
        <v>23</v>
      </c>
      <c r="AU64">
        <v>358.75</v>
      </c>
      <c r="AV64">
        <v>28</v>
      </c>
      <c r="AW64">
        <v>19</v>
      </c>
      <c r="AX64">
        <v>10</v>
      </c>
      <c r="AY64">
        <v>24.8</v>
      </c>
      <c r="AZ64">
        <v>60</v>
      </c>
      <c r="BA64">
        <v>6154</v>
      </c>
      <c r="BB64">
        <v>79</v>
      </c>
      <c r="BC64">
        <v>78</v>
      </c>
      <c r="BD64">
        <v>77</v>
      </c>
      <c r="BE64">
        <v>4.5</v>
      </c>
      <c r="BF64" t="s">
        <v>29</v>
      </c>
      <c r="BG64">
        <v>-26</v>
      </c>
      <c r="BH64">
        <v>-28</v>
      </c>
      <c r="BI64">
        <v>0.25900000000000001</v>
      </c>
      <c r="BJ64" t="s">
        <v>266</v>
      </c>
      <c r="BK64">
        <v>0.42420000000000002</v>
      </c>
      <c r="BL64">
        <v>0.44679999999999997</v>
      </c>
      <c r="BM64">
        <v>1.33</v>
      </c>
      <c r="BN64">
        <v>1.7</v>
      </c>
    </row>
    <row r="65" spans="1:66" x14ac:dyDescent="0.25">
      <c r="A65" s="4">
        <v>1</v>
      </c>
      <c r="B65" s="4">
        <v>1</v>
      </c>
      <c r="C65" s="4"/>
      <c r="D65">
        <v>1.3374999999999999</v>
      </c>
      <c r="E65">
        <v>4.9375</v>
      </c>
      <c r="F65">
        <v>9.5625</v>
      </c>
      <c r="J65">
        <v>1.34</v>
      </c>
      <c r="K65">
        <v>5</v>
      </c>
      <c r="L65">
        <v>9</v>
      </c>
      <c r="M65">
        <v>1.33</v>
      </c>
      <c r="N65">
        <v>4.9000000000000004</v>
      </c>
      <c r="O65">
        <v>10</v>
      </c>
      <c r="P65">
        <v>1.34</v>
      </c>
      <c r="Q65">
        <v>4.8499999999999996</v>
      </c>
      <c r="R65">
        <v>10.25</v>
      </c>
      <c r="S65">
        <v>0.75477628425059928</v>
      </c>
      <c r="T65">
        <v>0.13284591342764487</v>
      </c>
      <c r="U65">
        <v>0.1123778023217559</v>
      </c>
      <c r="V65">
        <v>0.76728629210127386</v>
      </c>
      <c r="W65">
        <v>0.13066463104925663</v>
      </c>
      <c r="X65">
        <v>0.10204907684946943</v>
      </c>
      <c r="Y65">
        <v>0.76812681665353877</v>
      </c>
      <c r="Z65">
        <v>0.13145465316931573</v>
      </c>
      <c r="AA65">
        <v>0.10041853017714555</v>
      </c>
      <c r="AB65">
        <v>0.7612414193140028</v>
      </c>
      <c r="AC65">
        <v>0.13195277776846551</v>
      </c>
      <c r="AD65">
        <v>0.10680580291753169</v>
      </c>
      <c r="AE65" t="s">
        <v>112</v>
      </c>
      <c r="AF65" t="s">
        <v>108</v>
      </c>
      <c r="AG65">
        <v>55.08</v>
      </c>
      <c r="AH65">
        <v>36</v>
      </c>
      <c r="AI65">
        <v>7</v>
      </c>
      <c r="AJ65">
        <v>2</v>
      </c>
      <c r="AK65">
        <v>26.4</v>
      </c>
      <c r="AL65">
        <v>17</v>
      </c>
      <c r="AM65">
        <v>9035</v>
      </c>
      <c r="AN65">
        <v>73</v>
      </c>
      <c r="AO65">
        <v>74</v>
      </c>
      <c r="AP65">
        <v>74</v>
      </c>
      <c r="AQ65">
        <v>3.5</v>
      </c>
      <c r="AR65" t="s">
        <v>29</v>
      </c>
      <c r="AS65" t="s">
        <v>68</v>
      </c>
      <c r="AT65" t="s">
        <v>63</v>
      </c>
      <c r="AU65">
        <v>17.579999999999998</v>
      </c>
      <c r="AV65">
        <v>31</v>
      </c>
      <c r="AW65">
        <v>3</v>
      </c>
      <c r="AX65">
        <v>2</v>
      </c>
      <c r="AY65">
        <v>25.9</v>
      </c>
      <c r="AZ65">
        <v>129</v>
      </c>
      <c r="BA65">
        <v>4227</v>
      </c>
      <c r="BB65">
        <v>73</v>
      </c>
      <c r="BC65">
        <v>69</v>
      </c>
      <c r="BD65">
        <v>69</v>
      </c>
      <c r="BE65">
        <v>3.5</v>
      </c>
      <c r="BF65" t="s">
        <v>46</v>
      </c>
      <c r="BG65">
        <v>0</v>
      </c>
      <c r="BH65">
        <v>0</v>
      </c>
      <c r="BI65">
        <v>0</v>
      </c>
      <c r="BJ65" t="s">
        <v>271</v>
      </c>
      <c r="BK65">
        <v>0.52939999999999998</v>
      </c>
      <c r="BL65">
        <v>0.38890000000000002</v>
      </c>
      <c r="BM65">
        <v>1.5</v>
      </c>
      <c r="BN65">
        <v>1.39</v>
      </c>
    </row>
    <row r="66" spans="1:66" x14ac:dyDescent="0.25">
      <c r="A66" s="4">
        <v>1</v>
      </c>
      <c r="B66" s="4">
        <v>2</v>
      </c>
      <c r="C66" s="4"/>
      <c r="D66">
        <v>3.0125000000000002</v>
      </c>
      <c r="E66">
        <v>3.25</v>
      </c>
      <c r="F66">
        <v>2.4</v>
      </c>
      <c r="J66">
        <v>3</v>
      </c>
      <c r="K66">
        <v>3.25</v>
      </c>
      <c r="L66">
        <v>2.4</v>
      </c>
      <c r="M66">
        <v>3</v>
      </c>
      <c r="N66">
        <v>3.25</v>
      </c>
      <c r="O66">
        <v>2.4</v>
      </c>
      <c r="P66">
        <v>3.05</v>
      </c>
      <c r="Q66">
        <v>3.25</v>
      </c>
      <c r="R66">
        <v>2.4</v>
      </c>
      <c r="S66">
        <v>0.32513049962714391</v>
      </c>
      <c r="T66">
        <v>0.26845637583892623</v>
      </c>
      <c r="U66">
        <v>0.40641312453392991</v>
      </c>
      <c r="V66">
        <v>0.32513049962714391</v>
      </c>
      <c r="W66">
        <v>0.26845637583892623</v>
      </c>
      <c r="X66">
        <v>0.40641312453392991</v>
      </c>
      <c r="Y66">
        <v>0.32191088654111166</v>
      </c>
      <c r="Z66">
        <v>0.268994028479559</v>
      </c>
      <c r="AA66">
        <v>0.40909508497932939</v>
      </c>
      <c r="AB66">
        <v>0.32432559635563585</v>
      </c>
      <c r="AC66">
        <v>0.2685907889990844</v>
      </c>
      <c r="AD66">
        <v>0.40708361464527981</v>
      </c>
      <c r="AE66" t="s">
        <v>125</v>
      </c>
      <c r="AF66" t="s">
        <v>126</v>
      </c>
      <c r="AG66">
        <v>13.2</v>
      </c>
      <c r="AH66">
        <v>33</v>
      </c>
      <c r="AI66">
        <v>6</v>
      </c>
      <c r="AJ66">
        <v>2</v>
      </c>
      <c r="AK66">
        <v>25.8</v>
      </c>
      <c r="AL66">
        <v>648</v>
      </c>
      <c r="AM66">
        <v>911</v>
      </c>
      <c r="AN66">
        <v>73</v>
      </c>
      <c r="AO66">
        <v>70</v>
      </c>
      <c r="AP66">
        <v>72</v>
      </c>
      <c r="AQ66">
        <v>3.5</v>
      </c>
      <c r="AR66" t="s">
        <v>28</v>
      </c>
      <c r="AS66" t="s">
        <v>110</v>
      </c>
      <c r="AT66" t="s">
        <v>108</v>
      </c>
      <c r="AU66">
        <v>68.63</v>
      </c>
      <c r="AV66">
        <v>35</v>
      </c>
      <c r="AW66">
        <v>2</v>
      </c>
      <c r="AX66">
        <v>3</v>
      </c>
      <c r="AY66">
        <v>27.4</v>
      </c>
      <c r="AZ66">
        <v>9</v>
      </c>
      <c r="BA66">
        <v>10366</v>
      </c>
      <c r="BB66">
        <v>72</v>
      </c>
      <c r="BC66">
        <v>75</v>
      </c>
      <c r="BD66">
        <v>74</v>
      </c>
      <c r="BE66">
        <v>4</v>
      </c>
      <c r="BF66" t="s">
        <v>29</v>
      </c>
      <c r="BG66">
        <v>1</v>
      </c>
      <c r="BH66">
        <v>6</v>
      </c>
      <c r="BI66">
        <v>0.75</v>
      </c>
      <c r="BJ66" t="s">
        <v>271</v>
      </c>
      <c r="BK66">
        <v>0.51060000000000005</v>
      </c>
      <c r="BL66">
        <v>0.47299999999999998</v>
      </c>
      <c r="BM66">
        <v>1.74</v>
      </c>
      <c r="BN66">
        <v>1.36</v>
      </c>
    </row>
    <row r="67" spans="1:66" x14ac:dyDescent="0.25">
      <c r="A67" s="4">
        <v>1</v>
      </c>
      <c r="B67" s="4">
        <v>1</v>
      </c>
      <c r="C67" s="4"/>
      <c r="D67">
        <v>1.2549999999999999</v>
      </c>
      <c r="E67">
        <v>6.5374999999999996</v>
      </c>
      <c r="F67">
        <v>8.8000000000000007</v>
      </c>
      <c r="J67">
        <v>1.25</v>
      </c>
      <c r="K67">
        <v>6.25</v>
      </c>
      <c r="L67">
        <v>8.5</v>
      </c>
      <c r="M67">
        <v>1.26</v>
      </c>
      <c r="N67">
        <v>7</v>
      </c>
      <c r="O67">
        <v>8.1999999999999993</v>
      </c>
      <c r="P67">
        <v>1.26</v>
      </c>
      <c r="Q67">
        <v>6.5</v>
      </c>
      <c r="R67">
        <v>10</v>
      </c>
      <c r="S67">
        <v>0.77840789750052508</v>
      </c>
      <c r="T67">
        <v>0.10712035286704474</v>
      </c>
      <c r="U67">
        <v>0.11447174963243015</v>
      </c>
      <c r="V67">
        <v>0.78135575107754773</v>
      </c>
      <c r="W67">
        <v>9.8582267659316755E-2</v>
      </c>
      <c r="X67">
        <v>0.1200619812631354</v>
      </c>
      <c r="Y67">
        <v>0.79807432388945387</v>
      </c>
      <c r="Z67">
        <v>0.10136831130047501</v>
      </c>
      <c r="AA67">
        <v>0.10055736481007119</v>
      </c>
      <c r="AB67">
        <v>0.78451160863618297</v>
      </c>
      <c r="AC67">
        <v>0.10303148280221648</v>
      </c>
      <c r="AD67">
        <v>0.11245690856160054</v>
      </c>
      <c r="AE67" t="s">
        <v>10</v>
      </c>
      <c r="AF67" t="s">
        <v>23</v>
      </c>
      <c r="AG67">
        <v>801.45</v>
      </c>
      <c r="AH67">
        <v>31</v>
      </c>
      <c r="AI67">
        <v>21</v>
      </c>
      <c r="AJ67">
        <v>13</v>
      </c>
      <c r="AK67">
        <v>25.6</v>
      </c>
      <c r="AL67">
        <v>12</v>
      </c>
      <c r="AM67">
        <v>9495</v>
      </c>
      <c r="AN67">
        <v>88</v>
      </c>
      <c r="AO67">
        <v>84</v>
      </c>
      <c r="AP67">
        <v>83</v>
      </c>
      <c r="AQ67">
        <v>5</v>
      </c>
      <c r="AR67" t="s">
        <v>28</v>
      </c>
      <c r="AS67" t="s">
        <v>48</v>
      </c>
      <c r="AT67" t="s">
        <v>23</v>
      </c>
      <c r="AU67">
        <v>62.58</v>
      </c>
      <c r="AV67">
        <v>32</v>
      </c>
      <c r="AW67">
        <v>21</v>
      </c>
      <c r="AX67">
        <v>10</v>
      </c>
      <c r="AY67">
        <v>24.9</v>
      </c>
      <c r="AZ67">
        <v>426</v>
      </c>
      <c r="BA67">
        <v>1736</v>
      </c>
      <c r="BB67">
        <v>73</v>
      </c>
      <c r="BC67">
        <v>72</v>
      </c>
      <c r="BD67">
        <v>72</v>
      </c>
      <c r="BE67">
        <v>3.5</v>
      </c>
      <c r="BF67" t="s">
        <v>46</v>
      </c>
      <c r="BG67">
        <v>54</v>
      </c>
      <c r="BH67">
        <v>83</v>
      </c>
      <c r="BI67">
        <v>0.57399999999999995</v>
      </c>
      <c r="BJ67" t="s">
        <v>266</v>
      </c>
      <c r="BK67">
        <v>0.81630000000000003</v>
      </c>
      <c r="BL67">
        <v>0.26669999999999999</v>
      </c>
      <c r="BM67">
        <v>2.78</v>
      </c>
      <c r="BN67">
        <v>0.93</v>
      </c>
    </row>
    <row r="68" spans="1:66" x14ac:dyDescent="0.25">
      <c r="A68" s="4">
        <v>3</v>
      </c>
      <c r="B68" s="4">
        <v>-1</v>
      </c>
      <c r="C68" s="4"/>
      <c r="D68">
        <v>2.1775000000000002</v>
      </c>
      <c r="E68">
        <v>3.3374999999999999</v>
      </c>
      <c r="F68">
        <v>3.35</v>
      </c>
      <c r="J68">
        <v>2.14</v>
      </c>
      <c r="K68">
        <v>3.35</v>
      </c>
      <c r="L68">
        <v>3.4</v>
      </c>
      <c r="M68">
        <v>2.21</v>
      </c>
      <c r="N68">
        <v>3.3</v>
      </c>
      <c r="O68">
        <v>3.3</v>
      </c>
      <c r="P68">
        <v>2.2200000000000002</v>
      </c>
      <c r="Q68">
        <v>3.35</v>
      </c>
      <c r="R68">
        <v>3.3</v>
      </c>
      <c r="S68">
        <v>0.45649581717633575</v>
      </c>
      <c r="T68">
        <v>0.25618034495385278</v>
      </c>
      <c r="U68">
        <v>0.28732383786981136</v>
      </c>
      <c r="V68">
        <v>0.44225612431422373</v>
      </c>
      <c r="W68">
        <v>0.26156628940261406</v>
      </c>
      <c r="X68">
        <v>0.29617758628316204</v>
      </c>
      <c r="Y68">
        <v>0.44327917907603703</v>
      </c>
      <c r="Z68">
        <v>0.25851482772735607</v>
      </c>
      <c r="AA68">
        <v>0.29820599319660673</v>
      </c>
      <c r="AB68">
        <v>0.44963173443573307</v>
      </c>
      <c r="AC68">
        <v>0.25811045175941894</v>
      </c>
      <c r="AD68">
        <v>0.29225781380484783</v>
      </c>
      <c r="AE68" t="s">
        <v>91</v>
      </c>
      <c r="AF68" t="s">
        <v>85</v>
      </c>
      <c r="AG68">
        <v>59.6</v>
      </c>
      <c r="AH68">
        <v>34</v>
      </c>
      <c r="AI68">
        <v>4</v>
      </c>
      <c r="AJ68">
        <v>3</v>
      </c>
      <c r="AK68">
        <v>27.8</v>
      </c>
      <c r="AL68">
        <v>97</v>
      </c>
      <c r="AM68">
        <v>4926</v>
      </c>
      <c r="AN68">
        <v>78</v>
      </c>
      <c r="AO68">
        <v>76</v>
      </c>
      <c r="AP68">
        <v>75</v>
      </c>
      <c r="AQ68">
        <v>4</v>
      </c>
      <c r="AR68" t="s">
        <v>29</v>
      </c>
      <c r="AS68" t="s">
        <v>247</v>
      </c>
      <c r="AT68" t="s">
        <v>246</v>
      </c>
      <c r="AU68">
        <v>12.3</v>
      </c>
      <c r="AV68">
        <v>30</v>
      </c>
      <c r="AW68">
        <v>6</v>
      </c>
      <c r="AX68">
        <v>2</v>
      </c>
      <c r="AY68">
        <v>24.6</v>
      </c>
      <c r="AZ68">
        <v>215</v>
      </c>
      <c r="BA68">
        <v>3127</v>
      </c>
      <c r="BB68">
        <v>73</v>
      </c>
      <c r="BC68">
        <v>70</v>
      </c>
      <c r="BD68">
        <v>69</v>
      </c>
      <c r="BE68">
        <v>3</v>
      </c>
      <c r="BF68" t="s">
        <v>46</v>
      </c>
      <c r="BG68">
        <v>3</v>
      </c>
      <c r="BH68">
        <v>7</v>
      </c>
      <c r="BI68">
        <v>0.33300000000000002</v>
      </c>
      <c r="BJ68" t="s">
        <v>271</v>
      </c>
      <c r="BK68">
        <v>0.42859999999999998</v>
      </c>
      <c r="BL68">
        <v>0.5</v>
      </c>
      <c r="BM68">
        <v>1.35</v>
      </c>
      <c r="BN68">
        <v>1.42</v>
      </c>
    </row>
    <row r="69" spans="1:66" x14ac:dyDescent="0.25">
      <c r="A69" s="4">
        <v>1</v>
      </c>
      <c r="B69" s="4">
        <v>3</v>
      </c>
      <c r="C69" s="4"/>
      <c r="D69">
        <v>1.62</v>
      </c>
      <c r="E69">
        <v>3.9874999999999998</v>
      </c>
      <c r="F69">
        <v>5.5750000000000002</v>
      </c>
      <c r="J69">
        <v>1.55</v>
      </c>
      <c r="K69">
        <v>4</v>
      </c>
      <c r="L69">
        <v>5.7</v>
      </c>
      <c r="M69">
        <v>1.62</v>
      </c>
      <c r="N69">
        <v>3.95</v>
      </c>
      <c r="O69">
        <v>5.4</v>
      </c>
      <c r="P69">
        <v>1.62</v>
      </c>
      <c r="Q69">
        <v>4</v>
      </c>
      <c r="R69">
        <v>5.5</v>
      </c>
      <c r="S69">
        <v>0.63809371501679202</v>
      </c>
      <c r="T69">
        <v>0.18838957300495765</v>
      </c>
      <c r="U69">
        <v>0.17351671197825044</v>
      </c>
      <c r="V69">
        <v>0.61834032935098482</v>
      </c>
      <c r="W69">
        <v>0.19615757184371971</v>
      </c>
      <c r="X69">
        <v>0.18550209880529542</v>
      </c>
      <c r="Y69">
        <v>3.0106055422511123E-2</v>
      </c>
      <c r="Z69">
        <v>8.3133766678070486E-2</v>
      </c>
      <c r="AA69">
        <v>0.88676017789941841</v>
      </c>
      <c r="AB69">
        <v>0.48115845370177002</v>
      </c>
      <c r="AC69">
        <v>0.16401762113292637</v>
      </c>
      <c r="AD69">
        <v>0.35482392516530364</v>
      </c>
      <c r="AE69" t="s">
        <v>94</v>
      </c>
      <c r="AF69" t="s">
        <v>85</v>
      </c>
      <c r="AG69">
        <v>13.9</v>
      </c>
      <c r="AH69">
        <v>22</v>
      </c>
      <c r="AI69">
        <v>3</v>
      </c>
      <c r="AJ69">
        <v>0</v>
      </c>
      <c r="AK69">
        <v>27.1</v>
      </c>
      <c r="AL69">
        <v>126</v>
      </c>
      <c r="AM69">
        <v>4236</v>
      </c>
      <c r="AN69">
        <v>72</v>
      </c>
      <c r="AO69">
        <v>72</v>
      </c>
      <c r="AP69">
        <v>71</v>
      </c>
      <c r="AQ69">
        <v>3.5</v>
      </c>
      <c r="AR69" t="s">
        <v>28</v>
      </c>
      <c r="AS69" t="s">
        <v>139</v>
      </c>
      <c r="AT69" t="s">
        <v>134</v>
      </c>
      <c r="AU69">
        <v>12.53</v>
      </c>
      <c r="AV69">
        <v>26</v>
      </c>
      <c r="AW69">
        <v>5</v>
      </c>
      <c r="AX69">
        <v>0</v>
      </c>
      <c r="AY69">
        <v>27.3</v>
      </c>
      <c r="AZ69">
        <v>931</v>
      </c>
      <c r="BA69">
        <v>139</v>
      </c>
      <c r="BB69">
        <v>68</v>
      </c>
      <c r="BC69">
        <v>66</v>
      </c>
      <c r="BD69">
        <v>63</v>
      </c>
      <c r="BE69">
        <v>2</v>
      </c>
      <c r="BF69" t="s">
        <v>29</v>
      </c>
      <c r="BG69">
        <v>0</v>
      </c>
      <c r="BH69">
        <v>0</v>
      </c>
      <c r="BI69">
        <v>0</v>
      </c>
      <c r="BJ69" t="s">
        <v>271</v>
      </c>
      <c r="BK69">
        <v>0.43140000000000001</v>
      </c>
      <c r="BL69">
        <v>0.30769999999999997</v>
      </c>
      <c r="BM69">
        <v>1.31</v>
      </c>
      <c r="BN69">
        <v>1.21</v>
      </c>
    </row>
    <row r="70" spans="1:66" x14ac:dyDescent="0.25">
      <c r="A70" s="4">
        <v>2</v>
      </c>
      <c r="B70" s="4">
        <v>0</v>
      </c>
      <c r="C70" s="4"/>
      <c r="D70">
        <v>2.04</v>
      </c>
      <c r="E70">
        <v>3.3</v>
      </c>
      <c r="F70">
        <v>3.7374999999999998</v>
      </c>
      <c r="J70">
        <v>2.02</v>
      </c>
      <c r="K70">
        <v>3.3</v>
      </c>
      <c r="L70">
        <v>3.7</v>
      </c>
      <c r="M70">
        <v>2.06</v>
      </c>
      <c r="N70">
        <v>3.25</v>
      </c>
      <c r="O70">
        <v>3.75</v>
      </c>
      <c r="P70">
        <v>2.06</v>
      </c>
      <c r="Q70">
        <v>3.35</v>
      </c>
      <c r="R70">
        <v>3.8</v>
      </c>
      <c r="S70">
        <v>0.48155779742069005</v>
      </c>
      <c r="T70">
        <v>0.25553767533882504</v>
      </c>
      <c r="U70">
        <v>0.26290452724048485</v>
      </c>
      <c r="V70">
        <v>0.47715559575681687</v>
      </c>
      <c r="W70">
        <v>0.26072693030743843</v>
      </c>
      <c r="X70">
        <v>0.26211747393574475</v>
      </c>
      <c r="Y70">
        <v>0.48364892594612846</v>
      </c>
      <c r="Z70">
        <v>0.25416244577781244</v>
      </c>
      <c r="AA70">
        <v>0.26218862827605915</v>
      </c>
      <c r="AB70">
        <v>0.48098002913608129</v>
      </c>
      <c r="AC70">
        <v>0.25649118169072521</v>
      </c>
      <c r="AD70">
        <v>0.26252878917319339</v>
      </c>
      <c r="AE70" t="s">
        <v>116</v>
      </c>
      <c r="AF70" t="s">
        <v>108</v>
      </c>
      <c r="AG70">
        <v>50.33</v>
      </c>
      <c r="AH70">
        <v>33</v>
      </c>
      <c r="AI70">
        <v>4</v>
      </c>
      <c r="AJ70">
        <v>1</v>
      </c>
      <c r="AK70">
        <v>25.3</v>
      </c>
      <c r="AL70">
        <v>75</v>
      </c>
      <c r="AM70">
        <v>5476</v>
      </c>
      <c r="AN70">
        <v>75</v>
      </c>
      <c r="AO70">
        <v>75</v>
      </c>
      <c r="AP70">
        <v>75</v>
      </c>
      <c r="AQ70">
        <v>4</v>
      </c>
      <c r="AR70" t="s">
        <v>29</v>
      </c>
      <c r="AS70" t="s">
        <v>84</v>
      </c>
      <c r="AT70" t="s">
        <v>85</v>
      </c>
      <c r="AU70">
        <v>115.65</v>
      </c>
      <c r="AV70">
        <v>32</v>
      </c>
      <c r="AW70">
        <v>7</v>
      </c>
      <c r="AX70">
        <v>7</v>
      </c>
      <c r="AY70">
        <v>27.6</v>
      </c>
      <c r="AZ70">
        <v>4</v>
      </c>
      <c r="BA70">
        <v>11425</v>
      </c>
      <c r="BB70">
        <v>78</v>
      </c>
      <c r="BC70">
        <v>78</v>
      </c>
      <c r="BD70">
        <v>77</v>
      </c>
      <c r="BE70">
        <v>4</v>
      </c>
      <c r="BF70" t="s">
        <v>29</v>
      </c>
      <c r="BG70">
        <v>2</v>
      </c>
      <c r="BH70">
        <v>8</v>
      </c>
      <c r="BI70">
        <v>0.5</v>
      </c>
      <c r="BJ70" t="s">
        <v>271</v>
      </c>
      <c r="BK70">
        <v>0.44619999999999999</v>
      </c>
      <c r="BL70">
        <v>0.65310000000000001</v>
      </c>
      <c r="BM70">
        <v>1.69</v>
      </c>
      <c r="BN70">
        <v>2.12</v>
      </c>
    </row>
    <row r="71" spans="1:66" x14ac:dyDescent="0.25">
      <c r="A71" s="42">
        <v>1</v>
      </c>
      <c r="B71" s="4">
        <v>3</v>
      </c>
      <c r="C71" s="42"/>
      <c r="D71">
        <v>3.0749999999999997</v>
      </c>
      <c r="E71">
        <v>3.1374999999999997</v>
      </c>
      <c r="F71">
        <v>2.4350000000000001</v>
      </c>
      <c r="J71">
        <v>3.1</v>
      </c>
      <c r="K71">
        <v>3.1</v>
      </c>
      <c r="L71">
        <v>2.4500000000000002</v>
      </c>
      <c r="M71">
        <v>3.05</v>
      </c>
      <c r="N71">
        <v>3.2</v>
      </c>
      <c r="O71">
        <v>2.38</v>
      </c>
      <c r="P71">
        <v>3.05</v>
      </c>
      <c r="Q71">
        <v>3.15</v>
      </c>
      <c r="R71">
        <v>2.46</v>
      </c>
      <c r="S71">
        <v>0.3169312660539102</v>
      </c>
      <c r="T71">
        <v>0.28205366261257075</v>
      </c>
      <c r="U71">
        <v>0.40101507133351899</v>
      </c>
      <c r="V71">
        <v>0.31905438344646297</v>
      </c>
      <c r="W71">
        <v>0.27207340247298567</v>
      </c>
      <c r="X71">
        <v>0.4088722140805513</v>
      </c>
      <c r="Y71">
        <v>0.32234862004616516</v>
      </c>
      <c r="Z71">
        <v>0.27799150550635349</v>
      </c>
      <c r="AA71">
        <v>0.39965987444748119</v>
      </c>
      <c r="AB71">
        <v>0.31881638390011213</v>
      </c>
      <c r="AC71">
        <v>0.27854305830112014</v>
      </c>
      <c r="AD71">
        <v>0.40264055779876762</v>
      </c>
      <c r="AE71" t="s">
        <v>133</v>
      </c>
      <c r="AF71" t="s">
        <v>134</v>
      </c>
      <c r="AG71">
        <v>11.73</v>
      </c>
      <c r="AH71">
        <v>21</v>
      </c>
      <c r="AI71">
        <v>7</v>
      </c>
      <c r="AJ71">
        <v>2</v>
      </c>
      <c r="AK71">
        <v>27.2</v>
      </c>
      <c r="AL71">
        <v>192</v>
      </c>
      <c r="AM71">
        <v>3470</v>
      </c>
      <c r="AN71">
        <v>67</v>
      </c>
      <c r="AO71">
        <v>72</v>
      </c>
      <c r="AP71">
        <v>68</v>
      </c>
      <c r="AQ71">
        <v>3</v>
      </c>
      <c r="AR71" t="s">
        <v>29</v>
      </c>
      <c r="AS71" t="s">
        <v>107</v>
      </c>
      <c r="AT71" t="s">
        <v>108</v>
      </c>
      <c r="AU71">
        <v>118.25</v>
      </c>
      <c r="AV71">
        <v>29</v>
      </c>
      <c r="AW71">
        <v>3</v>
      </c>
      <c r="AX71">
        <v>6</v>
      </c>
      <c r="AY71">
        <v>26.1</v>
      </c>
      <c r="AZ71">
        <v>2</v>
      </c>
      <c r="BA71">
        <v>13486</v>
      </c>
      <c r="BB71">
        <v>78</v>
      </c>
      <c r="BC71">
        <v>76</v>
      </c>
      <c r="BD71">
        <v>74</v>
      </c>
      <c r="BE71">
        <v>4</v>
      </c>
      <c r="BF71" t="s">
        <v>29</v>
      </c>
      <c r="BG71">
        <v>-3</v>
      </c>
      <c r="BH71">
        <v>-2</v>
      </c>
      <c r="BI71">
        <v>0</v>
      </c>
      <c r="BJ71" t="s">
        <v>271</v>
      </c>
      <c r="BK71">
        <v>0.5</v>
      </c>
      <c r="BL71">
        <v>0.62860000000000005</v>
      </c>
      <c r="BM71">
        <v>1.95</v>
      </c>
      <c r="BN71">
        <v>1.87</v>
      </c>
    </row>
    <row r="72" spans="1:66" x14ac:dyDescent="0.25">
      <c r="A72" s="42">
        <v>3</v>
      </c>
      <c r="B72" s="4">
        <v>-2</v>
      </c>
      <c r="C72" s="42"/>
      <c r="D72">
        <v>2.0874999999999999</v>
      </c>
      <c r="E72">
        <v>3.25</v>
      </c>
      <c r="F72">
        <v>3.6749999999999998</v>
      </c>
      <c r="J72">
        <v>2.02</v>
      </c>
      <c r="K72">
        <v>3.35</v>
      </c>
      <c r="L72">
        <v>3.7</v>
      </c>
      <c r="M72">
        <v>2.14</v>
      </c>
      <c r="N72">
        <v>3.15</v>
      </c>
      <c r="O72">
        <v>3.65</v>
      </c>
      <c r="P72">
        <v>2.17</v>
      </c>
      <c r="Q72">
        <v>3.15</v>
      </c>
      <c r="R72">
        <v>3.65</v>
      </c>
      <c r="S72">
        <v>0.48368516026838149</v>
      </c>
      <c r="T72">
        <v>0.25224888736888057</v>
      </c>
      <c r="U72">
        <v>0.264065952362738</v>
      </c>
      <c r="V72">
        <v>0.45959408506106753</v>
      </c>
      <c r="W72">
        <v>0.27094527328668999</v>
      </c>
      <c r="X72">
        <v>0.26946064165224243</v>
      </c>
      <c r="Y72">
        <v>0.45648043483489265</v>
      </c>
      <c r="Z72">
        <v>0.27213256692080129</v>
      </c>
      <c r="AA72">
        <v>0.27138699824430607</v>
      </c>
      <c r="AB72">
        <v>0.47086121010818083</v>
      </c>
      <c r="AC72">
        <v>0.26189390373631311</v>
      </c>
      <c r="AD72">
        <v>0.26724488615550612</v>
      </c>
      <c r="AE72" t="s">
        <v>239</v>
      </c>
      <c r="AF72" t="s">
        <v>238</v>
      </c>
      <c r="AG72">
        <v>21.75</v>
      </c>
      <c r="AH72">
        <v>30</v>
      </c>
      <c r="AI72">
        <v>7</v>
      </c>
      <c r="AJ72">
        <v>4</v>
      </c>
      <c r="AK72">
        <v>27.8</v>
      </c>
      <c r="AL72">
        <v>129</v>
      </c>
      <c r="AM72">
        <v>4117</v>
      </c>
      <c r="AN72">
        <v>70</v>
      </c>
      <c r="AO72">
        <v>70</v>
      </c>
      <c r="AP72">
        <v>71</v>
      </c>
      <c r="AQ72">
        <v>3</v>
      </c>
      <c r="AR72" t="s">
        <v>29</v>
      </c>
      <c r="AS72" t="s">
        <v>86</v>
      </c>
      <c r="AT72" t="s">
        <v>85</v>
      </c>
      <c r="AU72">
        <v>80.2</v>
      </c>
      <c r="AV72">
        <v>31</v>
      </c>
      <c r="AW72">
        <v>6</v>
      </c>
      <c r="AX72">
        <v>4</v>
      </c>
      <c r="AY72">
        <v>26.9</v>
      </c>
      <c r="AZ72">
        <v>10</v>
      </c>
      <c r="BA72">
        <v>9954</v>
      </c>
      <c r="BB72">
        <v>75</v>
      </c>
      <c r="BC72">
        <v>76</v>
      </c>
      <c r="BD72">
        <v>76</v>
      </c>
      <c r="BE72">
        <v>4</v>
      </c>
      <c r="BF72" t="s">
        <v>46</v>
      </c>
      <c r="BG72">
        <v>-8</v>
      </c>
      <c r="BH72">
        <v>-14</v>
      </c>
      <c r="BI72">
        <v>0</v>
      </c>
      <c r="BJ72" t="s">
        <v>271</v>
      </c>
      <c r="BK72">
        <v>0.5</v>
      </c>
      <c r="BL72">
        <v>0.56000000000000005</v>
      </c>
      <c r="BM72">
        <v>1.77</v>
      </c>
      <c r="BN72">
        <v>1.5</v>
      </c>
    </row>
    <row r="73" spans="1:66" x14ac:dyDescent="0.25">
      <c r="A73" s="42">
        <v>3</v>
      </c>
      <c r="B73" s="4">
        <v>-1</v>
      </c>
      <c r="C73" s="42"/>
      <c r="D73">
        <v>2.0525000000000002</v>
      </c>
      <c r="E73">
        <v>3.4750000000000001</v>
      </c>
      <c r="F73">
        <v>3.5874999999999999</v>
      </c>
      <c r="J73">
        <v>2.06</v>
      </c>
      <c r="K73">
        <v>3.4</v>
      </c>
      <c r="L73">
        <v>3.6</v>
      </c>
      <c r="M73">
        <v>2.09</v>
      </c>
      <c r="N73">
        <v>3.4</v>
      </c>
      <c r="O73">
        <v>3.45</v>
      </c>
      <c r="P73">
        <v>2</v>
      </c>
      <c r="Q73">
        <v>3.7</v>
      </c>
      <c r="R73">
        <v>3.7</v>
      </c>
      <c r="S73">
        <v>0.47670522105718299</v>
      </c>
      <c r="T73">
        <v>0.25051345800454006</v>
      </c>
      <c r="U73">
        <v>0.27278132093827689</v>
      </c>
      <c r="V73">
        <v>0.46631853603988066</v>
      </c>
      <c r="W73">
        <v>0.25118704647509027</v>
      </c>
      <c r="X73">
        <v>0.28249441748502913</v>
      </c>
      <c r="Y73">
        <v>0.49948078920041544</v>
      </c>
      <c r="Z73">
        <v>0.23052959501557635</v>
      </c>
      <c r="AA73">
        <v>0.26998961578400832</v>
      </c>
      <c r="AB73">
        <v>0.47980244183866549</v>
      </c>
      <c r="AC73">
        <v>0.24568588937493668</v>
      </c>
      <c r="AD73">
        <v>0.27451166878639782</v>
      </c>
      <c r="AE73" t="s">
        <v>272</v>
      </c>
      <c r="AF73" t="s">
        <v>134</v>
      </c>
      <c r="AG73">
        <v>16.5</v>
      </c>
      <c r="AH73">
        <v>31</v>
      </c>
      <c r="AI73">
        <v>8</v>
      </c>
      <c r="AJ73">
        <v>2</v>
      </c>
      <c r="AK73">
        <v>27.5</v>
      </c>
      <c r="AL73">
        <v>546</v>
      </c>
      <c r="AM73">
        <v>1204</v>
      </c>
      <c r="AN73">
        <v>69</v>
      </c>
      <c r="AO73">
        <v>66</v>
      </c>
      <c r="AP73">
        <v>68</v>
      </c>
      <c r="AQ73">
        <v>2.5</v>
      </c>
      <c r="AR73" t="s">
        <v>29</v>
      </c>
      <c r="AS73" t="s">
        <v>66</v>
      </c>
      <c r="AT73" t="s">
        <v>63</v>
      </c>
      <c r="AU73">
        <v>23.33</v>
      </c>
      <c r="AV73">
        <v>27</v>
      </c>
      <c r="AW73">
        <v>2</v>
      </c>
      <c r="AX73">
        <v>1</v>
      </c>
      <c r="AY73">
        <v>29.3</v>
      </c>
      <c r="AZ73">
        <v>93</v>
      </c>
      <c r="BA73">
        <v>5011</v>
      </c>
      <c r="BB73">
        <v>74</v>
      </c>
      <c r="BC73">
        <v>69</v>
      </c>
      <c r="BD73">
        <v>68</v>
      </c>
      <c r="BE73">
        <v>3</v>
      </c>
      <c r="BF73" t="s">
        <v>28</v>
      </c>
      <c r="BG73">
        <v>4</v>
      </c>
      <c r="BH73">
        <v>6</v>
      </c>
      <c r="BI73">
        <v>1</v>
      </c>
      <c r="BJ73" t="s">
        <v>271</v>
      </c>
      <c r="BK73">
        <v>0.5</v>
      </c>
      <c r="BL73">
        <v>0.4</v>
      </c>
      <c r="BM73">
        <v>1.48</v>
      </c>
      <c r="BN73">
        <v>1.28</v>
      </c>
    </row>
    <row r="74" spans="1:66" x14ac:dyDescent="0.25">
      <c r="A74" s="42">
        <v>1</v>
      </c>
      <c r="B74" s="4">
        <v>3</v>
      </c>
      <c r="C74" s="42"/>
      <c r="D74">
        <v>1.4175</v>
      </c>
      <c r="E74">
        <v>4.5999999999999996</v>
      </c>
      <c r="F74">
        <v>7.5</v>
      </c>
      <c r="J74">
        <v>1.41</v>
      </c>
      <c r="K74">
        <v>4.7</v>
      </c>
      <c r="L74">
        <v>7.25</v>
      </c>
      <c r="M74">
        <v>1.42</v>
      </c>
      <c r="N74">
        <v>4.5</v>
      </c>
      <c r="O74">
        <v>7.8</v>
      </c>
      <c r="P74">
        <v>1.43</v>
      </c>
      <c r="Q74">
        <v>4.5</v>
      </c>
      <c r="R74">
        <v>7.7</v>
      </c>
      <c r="S74">
        <v>0.71103192740212184</v>
      </c>
      <c r="T74">
        <v>0.15068462188932744</v>
      </c>
      <c r="U74">
        <v>0.13828345070855058</v>
      </c>
      <c r="V74">
        <v>0.71526889080682132</v>
      </c>
      <c r="W74">
        <v>0.15451549061039851</v>
      </c>
      <c r="X74">
        <v>0.13021561858278027</v>
      </c>
      <c r="Y74">
        <v>0.71212019133598337</v>
      </c>
      <c r="Z74">
        <v>0.15562891598733411</v>
      </c>
      <c r="AA74">
        <v>0.13225089267668261</v>
      </c>
      <c r="AB74">
        <v>0.71236323423676218</v>
      </c>
      <c r="AC74">
        <v>0.15287841259409687</v>
      </c>
      <c r="AD74">
        <v>0.134758353169141</v>
      </c>
      <c r="AE74" t="s">
        <v>240</v>
      </c>
      <c r="AF74" t="s">
        <v>238</v>
      </c>
      <c r="AG74">
        <v>18.55</v>
      </c>
      <c r="AH74">
        <v>30</v>
      </c>
      <c r="AI74">
        <v>9</v>
      </c>
      <c r="AJ74">
        <v>1</v>
      </c>
      <c r="AK74">
        <v>25.7</v>
      </c>
      <c r="AL74">
        <v>199</v>
      </c>
      <c r="AM74">
        <v>3306</v>
      </c>
      <c r="AN74">
        <v>69</v>
      </c>
      <c r="AO74">
        <v>67</v>
      </c>
      <c r="AP74">
        <v>64</v>
      </c>
      <c r="AQ74">
        <v>2.5</v>
      </c>
      <c r="AR74" t="s">
        <v>46</v>
      </c>
      <c r="AS74" t="s">
        <v>106</v>
      </c>
      <c r="AT74" t="s">
        <v>85</v>
      </c>
      <c r="AU74">
        <v>4.55</v>
      </c>
      <c r="AV74">
        <v>22</v>
      </c>
      <c r="AW74">
        <v>0</v>
      </c>
      <c r="AX74">
        <v>0</v>
      </c>
      <c r="AY74">
        <v>29.5</v>
      </c>
      <c r="AZ74">
        <v>751</v>
      </c>
      <c r="BA74">
        <v>501</v>
      </c>
      <c r="BB74">
        <v>64</v>
      </c>
      <c r="BC74">
        <v>60</v>
      </c>
      <c r="BD74">
        <v>64</v>
      </c>
      <c r="BE74">
        <v>2</v>
      </c>
      <c r="BF74" t="s">
        <v>46</v>
      </c>
      <c r="BG74">
        <v>0</v>
      </c>
      <c r="BH74">
        <v>0</v>
      </c>
      <c r="BI74">
        <v>0</v>
      </c>
      <c r="BJ74" t="s">
        <v>271</v>
      </c>
      <c r="BK74">
        <v>0.54</v>
      </c>
      <c r="BL74">
        <v>0.28570000000000001</v>
      </c>
      <c r="BM74">
        <v>1.4</v>
      </c>
      <c r="BN74">
        <v>1</v>
      </c>
    </row>
    <row r="75" spans="1:66" x14ac:dyDescent="0.25">
      <c r="A75" s="42">
        <v>2</v>
      </c>
      <c r="B75" s="4">
        <v>0</v>
      </c>
      <c r="C75" s="42"/>
      <c r="D75">
        <v>2.395</v>
      </c>
      <c r="E75">
        <v>3.25</v>
      </c>
      <c r="F75">
        <v>2.76</v>
      </c>
      <c r="J75">
        <v>2.25</v>
      </c>
      <c r="K75">
        <v>3.3</v>
      </c>
      <c r="L75">
        <v>2.75</v>
      </c>
      <c r="M75">
        <v>2.5</v>
      </c>
      <c r="N75">
        <v>3.25</v>
      </c>
      <c r="O75">
        <v>2.8</v>
      </c>
      <c r="P75">
        <v>2.58</v>
      </c>
      <c r="Q75">
        <v>3.15</v>
      </c>
      <c r="R75">
        <v>2.74</v>
      </c>
      <c r="S75">
        <v>0.40832610581092799</v>
      </c>
      <c r="T75">
        <v>0.25758889852558542</v>
      </c>
      <c r="U75">
        <v>0.33408499566348654</v>
      </c>
      <c r="V75">
        <v>0.38650306748466257</v>
      </c>
      <c r="W75">
        <v>0.26840490797546013</v>
      </c>
      <c r="X75">
        <v>0.34509202453987731</v>
      </c>
      <c r="Y75">
        <v>0.3725215939041257</v>
      </c>
      <c r="Z75">
        <v>0.27670989796717205</v>
      </c>
      <c r="AA75">
        <v>0.35076850812870225</v>
      </c>
      <c r="AB75">
        <v>0.39391921825266107</v>
      </c>
      <c r="AC75">
        <v>0.26507315074845073</v>
      </c>
      <c r="AD75">
        <v>0.3410076309988882</v>
      </c>
      <c r="AE75" t="s">
        <v>265</v>
      </c>
      <c r="AF75" t="s">
        <v>253</v>
      </c>
      <c r="AG75">
        <v>154.28</v>
      </c>
      <c r="AH75">
        <v>25</v>
      </c>
      <c r="AI75">
        <v>10</v>
      </c>
      <c r="AJ75">
        <v>6</v>
      </c>
      <c r="AK75">
        <v>27.6</v>
      </c>
      <c r="AL75">
        <v>163</v>
      </c>
      <c r="AM75">
        <v>3781</v>
      </c>
      <c r="AN75">
        <v>77</v>
      </c>
      <c r="AO75">
        <v>76</v>
      </c>
      <c r="AP75">
        <v>76</v>
      </c>
      <c r="AQ75">
        <v>4</v>
      </c>
      <c r="AR75" t="s">
        <v>46</v>
      </c>
      <c r="AS75" t="s">
        <v>264</v>
      </c>
      <c r="AT75" t="s">
        <v>253</v>
      </c>
      <c r="AU75">
        <v>140.75</v>
      </c>
      <c r="AV75">
        <v>24</v>
      </c>
      <c r="AW75">
        <v>10</v>
      </c>
      <c r="AX75">
        <v>7</v>
      </c>
      <c r="AY75">
        <v>28</v>
      </c>
      <c r="AZ75">
        <v>157</v>
      </c>
      <c r="BA75">
        <v>3883</v>
      </c>
      <c r="BB75">
        <v>73</v>
      </c>
      <c r="BC75">
        <v>77</v>
      </c>
      <c r="BD75">
        <v>75</v>
      </c>
      <c r="BE75">
        <v>4</v>
      </c>
      <c r="BF75" t="s">
        <v>46</v>
      </c>
      <c r="BG75">
        <v>-8</v>
      </c>
      <c r="BH75">
        <v>-12</v>
      </c>
      <c r="BI75">
        <v>0.33300000000000002</v>
      </c>
      <c r="BJ75" t="s">
        <v>267</v>
      </c>
      <c r="BK75">
        <v>0.29270000000000002</v>
      </c>
      <c r="BL75">
        <v>0.2</v>
      </c>
      <c r="BM75">
        <v>0.98</v>
      </c>
      <c r="BN75">
        <v>0.63</v>
      </c>
    </row>
    <row r="76" spans="1:66" x14ac:dyDescent="0.25">
      <c r="A76" s="42">
        <v>3</v>
      </c>
      <c r="B76" s="4">
        <v>-2</v>
      </c>
      <c r="C76" s="42"/>
      <c r="D76">
        <v>2.0049999999999999</v>
      </c>
      <c r="E76">
        <v>3.3250000000000002</v>
      </c>
      <c r="F76">
        <v>3.9375</v>
      </c>
      <c r="J76">
        <v>1.97</v>
      </c>
      <c r="K76">
        <v>3.25</v>
      </c>
      <c r="L76">
        <v>3.8</v>
      </c>
      <c r="M76">
        <v>2.02</v>
      </c>
      <c r="N76">
        <v>3.45</v>
      </c>
      <c r="O76">
        <v>4.0999999999999996</v>
      </c>
      <c r="P76">
        <v>2.0299999999999998</v>
      </c>
      <c r="Q76">
        <v>3.3</v>
      </c>
      <c r="R76">
        <v>4</v>
      </c>
      <c r="S76">
        <v>0.48951888247134678</v>
      </c>
      <c r="T76">
        <v>0.25670422319482344</v>
      </c>
      <c r="U76">
        <v>0.25377689433382977</v>
      </c>
      <c r="V76">
        <v>0.50489607005604009</v>
      </c>
      <c r="W76">
        <v>0.24635025640415478</v>
      </c>
      <c r="X76">
        <v>0.24875367353980515</v>
      </c>
      <c r="Y76">
        <v>0.49341742041120223</v>
      </c>
      <c r="Z76">
        <v>0.25617323873011266</v>
      </c>
      <c r="AA76">
        <v>0.2504093408586851</v>
      </c>
      <c r="AB76">
        <v>0.49456955820280019</v>
      </c>
      <c r="AC76">
        <v>0.2535011970981963</v>
      </c>
      <c r="AD76">
        <v>0.25192924469900357</v>
      </c>
      <c r="AE76" t="s">
        <v>34</v>
      </c>
      <c r="AF76" t="s">
        <v>23</v>
      </c>
      <c r="AG76">
        <v>224.6</v>
      </c>
      <c r="AH76">
        <v>35</v>
      </c>
      <c r="AI76">
        <v>11</v>
      </c>
      <c r="AJ76">
        <v>8</v>
      </c>
      <c r="AK76">
        <v>24.6</v>
      </c>
      <c r="AL76">
        <v>145</v>
      </c>
      <c r="AM76">
        <v>4008</v>
      </c>
      <c r="AN76">
        <v>80</v>
      </c>
      <c r="AO76">
        <v>78</v>
      </c>
      <c r="AP76">
        <v>77</v>
      </c>
      <c r="AQ76">
        <v>4</v>
      </c>
      <c r="AR76" t="s">
        <v>29</v>
      </c>
      <c r="AS76" t="s">
        <v>35</v>
      </c>
      <c r="AT76" t="s">
        <v>23</v>
      </c>
      <c r="AU76">
        <v>87.33</v>
      </c>
      <c r="AV76">
        <v>31</v>
      </c>
      <c r="AW76">
        <v>10</v>
      </c>
      <c r="AX76">
        <v>4</v>
      </c>
      <c r="AY76">
        <v>25.4</v>
      </c>
      <c r="AZ76">
        <v>169</v>
      </c>
      <c r="BA76">
        <v>3749</v>
      </c>
      <c r="BB76">
        <v>73</v>
      </c>
      <c r="BC76">
        <v>76</v>
      </c>
      <c r="BD76">
        <v>74</v>
      </c>
      <c r="BE76">
        <v>4</v>
      </c>
      <c r="BF76" t="s">
        <v>29</v>
      </c>
      <c r="BG76">
        <v>38</v>
      </c>
      <c r="BH76">
        <v>85</v>
      </c>
      <c r="BI76">
        <v>0.56100000000000005</v>
      </c>
      <c r="BJ76" t="s">
        <v>266</v>
      </c>
      <c r="BK76">
        <v>0.54549999999999998</v>
      </c>
      <c r="BL76">
        <v>0.33329999999999999</v>
      </c>
      <c r="BM76">
        <v>1.48</v>
      </c>
      <c r="BN76">
        <v>1.17</v>
      </c>
    </row>
    <row r="77" spans="1:66" x14ac:dyDescent="0.25">
      <c r="A77" s="4">
        <v>1</v>
      </c>
      <c r="B77" s="4">
        <v>3</v>
      </c>
      <c r="C77" s="4"/>
      <c r="D77">
        <v>1.1225000000000001</v>
      </c>
      <c r="E77">
        <v>10.375</v>
      </c>
      <c r="F77">
        <v>19.5</v>
      </c>
      <c r="J77">
        <v>1.1000000000000001</v>
      </c>
      <c r="K77">
        <v>10.5</v>
      </c>
      <c r="L77">
        <v>21</v>
      </c>
      <c r="M77">
        <v>1.1399999999999999</v>
      </c>
      <c r="N77">
        <v>11</v>
      </c>
      <c r="O77">
        <v>17</v>
      </c>
      <c r="P77">
        <v>1.1299999999999999</v>
      </c>
      <c r="Q77">
        <v>9.1999999999999993</v>
      </c>
      <c r="R77">
        <v>18</v>
      </c>
      <c r="S77">
        <v>0.90034541267725121</v>
      </c>
      <c r="T77">
        <v>5.2493637134892746E-2</v>
      </c>
      <c r="U77">
        <v>4.7160950187856016E-2</v>
      </c>
      <c r="V77">
        <v>0.88522967863822077</v>
      </c>
      <c r="W77">
        <v>5.5407860558980879E-2</v>
      </c>
      <c r="X77">
        <v>5.9362460802798327E-2</v>
      </c>
      <c r="Y77">
        <v>0.88278728840583964</v>
      </c>
      <c r="Z77">
        <v>6.1793287377571678E-2</v>
      </c>
      <c r="AA77">
        <v>5.5419424216588811E-2</v>
      </c>
      <c r="AB77">
        <v>0.89271574208777604</v>
      </c>
      <c r="AC77">
        <v>5.5312177982397639E-2</v>
      </c>
      <c r="AD77">
        <v>5.1972079929826331E-2</v>
      </c>
      <c r="AE77" t="s">
        <v>31</v>
      </c>
      <c r="AF77" t="s">
        <v>26</v>
      </c>
      <c r="AG77">
        <v>925.24</v>
      </c>
      <c r="AH77">
        <v>31</v>
      </c>
      <c r="AI77">
        <v>15</v>
      </c>
      <c r="AJ77">
        <v>15</v>
      </c>
      <c r="AK77">
        <v>25.3</v>
      </c>
      <c r="AL77">
        <v>6</v>
      </c>
      <c r="AM77">
        <v>10885</v>
      </c>
      <c r="AN77">
        <v>87</v>
      </c>
      <c r="AO77">
        <v>85</v>
      </c>
      <c r="AP77">
        <v>81</v>
      </c>
      <c r="AQ77">
        <v>5</v>
      </c>
      <c r="AR77" t="s">
        <v>29</v>
      </c>
      <c r="AS77" t="s">
        <v>53</v>
      </c>
      <c r="AT77" t="s">
        <v>26</v>
      </c>
      <c r="AU77">
        <v>195.83</v>
      </c>
      <c r="AV77">
        <v>29</v>
      </c>
      <c r="AW77">
        <v>18</v>
      </c>
      <c r="AX77">
        <v>11</v>
      </c>
      <c r="AY77">
        <v>25.3</v>
      </c>
      <c r="AZ77">
        <v>152</v>
      </c>
      <c r="BA77">
        <v>3938</v>
      </c>
      <c r="BB77">
        <v>76</v>
      </c>
      <c r="BC77">
        <v>77</v>
      </c>
      <c r="BD77">
        <v>76</v>
      </c>
      <c r="BE77">
        <v>4</v>
      </c>
      <c r="BF77" t="s">
        <v>29</v>
      </c>
      <c r="BG77">
        <v>124</v>
      </c>
      <c r="BH77">
        <v>167</v>
      </c>
      <c r="BI77">
        <v>0.57399999999999995</v>
      </c>
      <c r="BJ77" t="s">
        <v>273</v>
      </c>
      <c r="BK77">
        <v>0.83330000000000004</v>
      </c>
      <c r="BL77">
        <v>0.31580000000000003</v>
      </c>
      <c r="BM77">
        <v>3</v>
      </c>
      <c r="BN77">
        <v>1.29</v>
      </c>
    </row>
    <row r="78" spans="1:66" x14ac:dyDescent="0.25">
      <c r="A78" s="4">
        <v>2</v>
      </c>
      <c r="B78" s="4">
        <v>0</v>
      </c>
      <c r="C78" s="4"/>
      <c r="D78">
        <v>1.3675000000000002</v>
      </c>
      <c r="E78">
        <v>4.9625000000000004</v>
      </c>
      <c r="F78">
        <v>8.2750000000000004</v>
      </c>
      <c r="J78">
        <v>1.35</v>
      </c>
      <c r="K78">
        <v>4.8</v>
      </c>
      <c r="L78">
        <v>8</v>
      </c>
      <c r="M78">
        <v>1.38</v>
      </c>
      <c r="N78">
        <v>5.2</v>
      </c>
      <c r="O78">
        <v>8.4</v>
      </c>
      <c r="P78">
        <v>1.37</v>
      </c>
      <c r="Q78">
        <v>5.05</v>
      </c>
      <c r="R78">
        <v>8.6999999999999993</v>
      </c>
      <c r="S78">
        <v>0.73467339971860779</v>
      </c>
      <c r="T78">
        <v>0.14135046407887705</v>
      </c>
      <c r="U78">
        <v>0.12397613620251507</v>
      </c>
      <c r="V78">
        <v>0.74423489741203785</v>
      </c>
      <c r="W78">
        <v>0.1334979408702702</v>
      </c>
      <c r="X78">
        <v>0.12226716171769191</v>
      </c>
      <c r="Y78">
        <v>0.74739983904978247</v>
      </c>
      <c r="Z78">
        <v>0.13490616330674599</v>
      </c>
      <c r="AA78">
        <v>0.11769399764347152</v>
      </c>
      <c r="AB78">
        <v>0.73955106988179209</v>
      </c>
      <c r="AC78">
        <v>0.13813030259025597</v>
      </c>
      <c r="AD78">
        <v>0.12231862752795193</v>
      </c>
      <c r="AE78" t="s">
        <v>30</v>
      </c>
      <c r="AF78" t="s">
        <v>23</v>
      </c>
      <c r="AG78">
        <v>358.75</v>
      </c>
      <c r="AH78">
        <v>28</v>
      </c>
      <c r="AI78">
        <v>19</v>
      </c>
      <c r="AJ78">
        <v>10</v>
      </c>
      <c r="AK78">
        <v>24.8</v>
      </c>
      <c r="AL78">
        <v>60</v>
      </c>
      <c r="AM78">
        <v>6154</v>
      </c>
      <c r="AN78">
        <v>79</v>
      </c>
      <c r="AO78">
        <v>78</v>
      </c>
      <c r="AP78">
        <v>77</v>
      </c>
      <c r="AQ78">
        <v>4.5</v>
      </c>
      <c r="AR78" t="s">
        <v>29</v>
      </c>
      <c r="AS78" t="s">
        <v>47</v>
      </c>
      <c r="AT78" t="s">
        <v>23</v>
      </c>
      <c r="AU78">
        <v>46.88</v>
      </c>
      <c r="AV78">
        <v>27</v>
      </c>
      <c r="AW78">
        <v>10</v>
      </c>
      <c r="AX78">
        <v>7</v>
      </c>
      <c r="AY78">
        <v>25.4</v>
      </c>
      <c r="AZ78">
        <v>368</v>
      </c>
      <c r="BA78">
        <v>2020</v>
      </c>
      <c r="BB78">
        <v>72</v>
      </c>
      <c r="BC78">
        <v>70</v>
      </c>
      <c r="BD78">
        <v>72</v>
      </c>
      <c r="BE78">
        <v>3.5</v>
      </c>
      <c r="BF78" t="s">
        <v>46</v>
      </c>
      <c r="BG78">
        <v>10</v>
      </c>
      <c r="BH78">
        <v>15</v>
      </c>
      <c r="BI78">
        <v>0.77800000000000002</v>
      </c>
      <c r="BJ78" t="s">
        <v>266</v>
      </c>
      <c r="BK78">
        <v>0.44679999999999997</v>
      </c>
      <c r="BL78">
        <v>0.25</v>
      </c>
      <c r="BM78">
        <v>1.7</v>
      </c>
      <c r="BN78">
        <v>1.0900000000000001</v>
      </c>
    </row>
    <row r="79" spans="1:66" x14ac:dyDescent="0.25">
      <c r="A79" s="4">
        <v>3</v>
      </c>
      <c r="B79" s="4">
        <v>-1</v>
      </c>
      <c r="C79" s="4"/>
      <c r="D79">
        <v>2.08</v>
      </c>
      <c r="E79">
        <v>2.9250000000000003</v>
      </c>
      <c r="F79">
        <v>3.8374999999999999</v>
      </c>
      <c r="J79">
        <v>2.0499999999999998</v>
      </c>
      <c r="K79">
        <v>3.15</v>
      </c>
      <c r="L79">
        <v>3.9</v>
      </c>
      <c r="M79">
        <v>2.12</v>
      </c>
      <c r="N79">
        <v>2.15</v>
      </c>
      <c r="O79">
        <v>3.8</v>
      </c>
      <c r="P79">
        <v>2.1</v>
      </c>
      <c r="Q79">
        <v>3.15</v>
      </c>
      <c r="R79">
        <v>3.75</v>
      </c>
      <c r="S79">
        <v>0.48026077508149217</v>
      </c>
      <c r="T79">
        <v>0.26729445852951822</v>
      </c>
      <c r="U79">
        <v>0.25244476638898949</v>
      </c>
      <c r="V79">
        <v>0.4058643102315051</v>
      </c>
      <c r="W79">
        <v>0.36770612721828672</v>
      </c>
      <c r="X79">
        <v>0.22642956255020816</v>
      </c>
      <c r="Y79">
        <v>0.46830895560687713</v>
      </c>
      <c r="Z79">
        <v>0.26943802925327176</v>
      </c>
      <c r="AA79">
        <v>0.26225301513985122</v>
      </c>
      <c r="AB79">
        <v>0.45980541618735771</v>
      </c>
      <c r="AC79">
        <v>0.29120668184091919</v>
      </c>
      <c r="AD79">
        <v>0.24898790197172316</v>
      </c>
      <c r="AE79" t="s">
        <v>78</v>
      </c>
      <c r="AF79" t="s">
        <v>63</v>
      </c>
      <c r="AG79">
        <v>8.7799999999999994</v>
      </c>
      <c r="AH79">
        <v>36</v>
      </c>
      <c r="AI79">
        <v>3</v>
      </c>
      <c r="AJ79">
        <v>0</v>
      </c>
      <c r="AK79">
        <v>25.7</v>
      </c>
      <c r="AL79">
        <v>433</v>
      </c>
      <c r="AM79">
        <v>1716</v>
      </c>
      <c r="AN79">
        <v>63</v>
      </c>
      <c r="AO79">
        <v>64</v>
      </c>
      <c r="AP79">
        <v>64</v>
      </c>
      <c r="AQ79">
        <v>2</v>
      </c>
      <c r="AR79" t="s">
        <v>29</v>
      </c>
      <c r="AS79" t="s">
        <v>77</v>
      </c>
      <c r="AT79" t="s">
        <v>63</v>
      </c>
      <c r="AU79">
        <v>8.23</v>
      </c>
      <c r="AV79">
        <v>32</v>
      </c>
      <c r="AW79">
        <v>2</v>
      </c>
      <c r="AX79">
        <v>1</v>
      </c>
      <c r="AY79">
        <v>24.9</v>
      </c>
      <c r="AZ79">
        <v>362</v>
      </c>
      <c r="BA79">
        <v>2071</v>
      </c>
      <c r="BB79">
        <v>65</v>
      </c>
      <c r="BC79">
        <v>66</v>
      </c>
      <c r="BD79">
        <v>61</v>
      </c>
      <c r="BE79">
        <v>2</v>
      </c>
      <c r="BF79" t="s">
        <v>46</v>
      </c>
      <c r="BG79">
        <v>4</v>
      </c>
      <c r="BH79">
        <v>12</v>
      </c>
      <c r="BI79">
        <v>3.7499999999999999E-2</v>
      </c>
      <c r="BJ79" t="s">
        <v>63</v>
      </c>
      <c r="BK79">
        <v>0.18179999999999999</v>
      </c>
      <c r="BL79">
        <v>0.26090000000000002</v>
      </c>
      <c r="BM79">
        <v>0.59</v>
      </c>
      <c r="BN79">
        <v>1.22</v>
      </c>
    </row>
    <row r="80" spans="1:66" x14ac:dyDescent="0.25">
      <c r="A80" s="4">
        <v>1</v>
      </c>
      <c r="B80" s="4">
        <v>1</v>
      </c>
      <c r="C80" s="4"/>
      <c r="D80">
        <v>2.5674999999999999</v>
      </c>
      <c r="E80">
        <v>3.2374999999999998</v>
      </c>
      <c r="F80">
        <v>2.7675000000000001</v>
      </c>
      <c r="J80">
        <v>2.5499999999999998</v>
      </c>
      <c r="K80">
        <v>3.25</v>
      </c>
      <c r="L80">
        <v>2.75</v>
      </c>
      <c r="M80">
        <v>2.6</v>
      </c>
      <c r="N80">
        <v>3.25</v>
      </c>
      <c r="O80">
        <v>2.8</v>
      </c>
      <c r="P80">
        <v>2.57</v>
      </c>
      <c r="Q80">
        <v>3.2</v>
      </c>
      <c r="R80">
        <v>2.77</v>
      </c>
      <c r="S80">
        <v>0.37941937338315612</v>
      </c>
      <c r="T80">
        <v>0.2687553894797356</v>
      </c>
      <c r="U80">
        <v>0.35182523713710834</v>
      </c>
      <c r="V80">
        <v>0.37819083023543987</v>
      </c>
      <c r="W80">
        <v>0.27063197026022306</v>
      </c>
      <c r="X80">
        <v>0.35117719950433701</v>
      </c>
      <c r="Y80">
        <v>0.37701392913016174</v>
      </c>
      <c r="Z80">
        <v>0.27319336405954381</v>
      </c>
      <c r="AA80">
        <v>0.34979270681029445</v>
      </c>
      <c r="AB80">
        <v>0.37851087653297849</v>
      </c>
      <c r="AC80">
        <v>0.27033402831980952</v>
      </c>
      <c r="AD80">
        <v>0.3511550951472121</v>
      </c>
      <c r="AE80" t="s">
        <v>74</v>
      </c>
      <c r="AF80" t="s">
        <v>63</v>
      </c>
      <c r="AG80">
        <v>7.13</v>
      </c>
      <c r="AH80">
        <v>26</v>
      </c>
      <c r="AI80">
        <v>4</v>
      </c>
      <c r="AJ80">
        <v>1</v>
      </c>
      <c r="AK80">
        <v>26.3</v>
      </c>
      <c r="AL80">
        <v>254</v>
      </c>
      <c r="AM80">
        <v>2813</v>
      </c>
      <c r="AN80">
        <v>67</v>
      </c>
      <c r="AO80">
        <v>64</v>
      </c>
      <c r="AP80">
        <v>65</v>
      </c>
      <c r="AQ80">
        <v>2</v>
      </c>
      <c r="AR80" t="s">
        <v>46</v>
      </c>
      <c r="AS80" t="s">
        <v>65</v>
      </c>
      <c r="AT80" t="s">
        <v>63</v>
      </c>
      <c r="AU80">
        <v>12.28</v>
      </c>
      <c r="AV80">
        <v>29</v>
      </c>
      <c r="AW80">
        <v>2</v>
      </c>
      <c r="AX80">
        <v>0</v>
      </c>
      <c r="AY80">
        <v>25.3</v>
      </c>
      <c r="AZ80">
        <v>91</v>
      </c>
      <c r="BA80">
        <v>5087</v>
      </c>
      <c r="BB80">
        <v>70</v>
      </c>
      <c r="BC80">
        <v>67</v>
      </c>
      <c r="BD80">
        <v>68</v>
      </c>
      <c r="BE80">
        <v>2.5</v>
      </c>
      <c r="BF80" t="s">
        <v>29</v>
      </c>
      <c r="BG80">
        <v>-11</v>
      </c>
      <c r="BH80">
        <v>-8</v>
      </c>
      <c r="BI80">
        <v>0.25</v>
      </c>
      <c r="BJ80" t="s">
        <v>63</v>
      </c>
      <c r="BK80">
        <v>0.25</v>
      </c>
      <c r="BL80">
        <v>0.35289999999999999</v>
      </c>
      <c r="BM80">
        <v>1.17</v>
      </c>
      <c r="BN80">
        <v>1.24</v>
      </c>
    </row>
    <row r="81" spans="1:66" x14ac:dyDescent="0.25">
      <c r="A81" s="4">
        <v>3</v>
      </c>
      <c r="B81" s="4">
        <v>-2</v>
      </c>
      <c r="C81" s="4"/>
      <c r="D81">
        <v>2.2225000000000001</v>
      </c>
      <c r="E81">
        <v>3.0874999999999999</v>
      </c>
      <c r="F81">
        <v>3.5125000000000002</v>
      </c>
      <c r="J81">
        <v>2.2000000000000002</v>
      </c>
      <c r="K81">
        <v>3.1</v>
      </c>
      <c r="L81">
        <v>3.5</v>
      </c>
      <c r="M81">
        <v>2.25</v>
      </c>
      <c r="N81">
        <v>3.1</v>
      </c>
      <c r="O81">
        <v>3.55</v>
      </c>
      <c r="P81">
        <v>2.2400000000000002</v>
      </c>
      <c r="Q81">
        <v>3.05</v>
      </c>
      <c r="R81">
        <v>3.5</v>
      </c>
      <c r="S81">
        <v>0.44420498084291188</v>
      </c>
      <c r="T81">
        <v>0.27658045977011497</v>
      </c>
      <c r="U81">
        <v>0.2792145593869732</v>
      </c>
      <c r="V81">
        <v>0.44157051934087005</v>
      </c>
      <c r="W81">
        <v>0.27856084164026851</v>
      </c>
      <c r="X81">
        <v>0.27986863901886133</v>
      </c>
      <c r="Y81">
        <v>0.4378900744916448</v>
      </c>
      <c r="Z81">
        <v>0.28186027783370249</v>
      </c>
      <c r="AA81">
        <v>0.28024964767465277</v>
      </c>
      <c r="AB81">
        <v>0.44196763887958462</v>
      </c>
      <c r="AC81">
        <v>0.27839550975355021</v>
      </c>
      <c r="AD81">
        <v>0.27963685136686517</v>
      </c>
      <c r="AE81" t="s">
        <v>70</v>
      </c>
      <c r="AF81" t="s">
        <v>63</v>
      </c>
      <c r="AG81">
        <v>16.05</v>
      </c>
      <c r="AH81">
        <v>30</v>
      </c>
      <c r="AI81">
        <v>3</v>
      </c>
      <c r="AJ81">
        <v>0</v>
      </c>
      <c r="AK81">
        <v>26.3</v>
      </c>
      <c r="AL81">
        <v>200</v>
      </c>
      <c r="AM81">
        <v>3276</v>
      </c>
      <c r="AN81">
        <v>69</v>
      </c>
      <c r="AO81">
        <v>69</v>
      </c>
      <c r="AP81">
        <v>64</v>
      </c>
      <c r="AQ81">
        <v>3</v>
      </c>
      <c r="AR81" t="s">
        <v>29</v>
      </c>
      <c r="AS81" t="s">
        <v>73</v>
      </c>
      <c r="AT81" t="s">
        <v>63</v>
      </c>
      <c r="AU81">
        <v>10.88</v>
      </c>
      <c r="AV81">
        <v>26</v>
      </c>
      <c r="AW81">
        <v>4</v>
      </c>
      <c r="AX81">
        <v>2</v>
      </c>
      <c r="AY81">
        <v>26.5</v>
      </c>
      <c r="AZ81">
        <v>237</v>
      </c>
      <c r="BA81">
        <v>2952</v>
      </c>
      <c r="BB81">
        <v>69</v>
      </c>
      <c r="BC81">
        <v>68</v>
      </c>
      <c r="BD81">
        <v>68</v>
      </c>
      <c r="BE81">
        <v>2.5</v>
      </c>
      <c r="BF81" t="s">
        <v>29</v>
      </c>
      <c r="BG81">
        <v>7</v>
      </c>
      <c r="BH81">
        <v>19</v>
      </c>
      <c r="BI81">
        <v>0.44400000000000001</v>
      </c>
      <c r="BJ81" t="s">
        <v>63</v>
      </c>
      <c r="BK81">
        <v>0.36</v>
      </c>
      <c r="BL81">
        <v>0.31819999999999998</v>
      </c>
      <c r="BM81">
        <v>1.44</v>
      </c>
      <c r="BN81">
        <v>1.23</v>
      </c>
    </row>
    <row r="82" spans="1:66" x14ac:dyDescent="0.25">
      <c r="A82" s="42">
        <v>1</v>
      </c>
      <c r="B82" s="4">
        <v>1</v>
      </c>
      <c r="C82" s="42"/>
      <c r="D82">
        <v>1.6124999999999998</v>
      </c>
      <c r="E82">
        <v>4.0875000000000004</v>
      </c>
      <c r="F82">
        <v>5.7750000000000004</v>
      </c>
      <c r="J82">
        <v>1.6</v>
      </c>
      <c r="K82">
        <v>4.0999999999999996</v>
      </c>
      <c r="L82">
        <v>5.9</v>
      </c>
      <c r="M82">
        <v>1.61</v>
      </c>
      <c r="N82">
        <v>4.2</v>
      </c>
      <c r="O82">
        <v>5.8</v>
      </c>
      <c r="P82">
        <v>1.64</v>
      </c>
      <c r="Q82">
        <v>3.95</v>
      </c>
      <c r="R82">
        <v>5.5</v>
      </c>
      <c r="S82">
        <v>0.63943959820248475</v>
      </c>
      <c r="T82">
        <v>0.1871530531324346</v>
      </c>
      <c r="U82">
        <v>0.17340734866508062</v>
      </c>
      <c r="V82">
        <v>0.63831090439562388</v>
      </c>
      <c r="W82">
        <v>0.18450279283248733</v>
      </c>
      <c r="X82">
        <v>0.17718630277188871</v>
      </c>
      <c r="Y82">
        <v>0.61849242834752105</v>
      </c>
      <c r="Z82">
        <v>0.19708437483612717</v>
      </c>
      <c r="AA82">
        <v>0.18442319681635172</v>
      </c>
      <c r="AB82">
        <v>0.63392063228702855</v>
      </c>
      <c r="AC82">
        <v>0.18897331848337093</v>
      </c>
      <c r="AD82">
        <v>0.17710604922960044</v>
      </c>
      <c r="AE82" t="s">
        <v>149</v>
      </c>
      <c r="AF82" t="s">
        <v>141</v>
      </c>
      <c r="AG82">
        <v>271.52999999999997</v>
      </c>
      <c r="AH82">
        <v>27</v>
      </c>
      <c r="AI82">
        <v>6</v>
      </c>
      <c r="AJ82">
        <v>7</v>
      </c>
      <c r="AK82">
        <v>27.4</v>
      </c>
      <c r="AL82">
        <v>77</v>
      </c>
      <c r="AM82">
        <v>5396</v>
      </c>
      <c r="AN82">
        <v>80</v>
      </c>
      <c r="AO82">
        <v>79</v>
      </c>
      <c r="AP82">
        <v>78</v>
      </c>
      <c r="AQ82">
        <v>4.5</v>
      </c>
      <c r="AR82" t="s">
        <v>29</v>
      </c>
      <c r="AS82" t="s">
        <v>155</v>
      </c>
      <c r="AT82" t="s">
        <v>141</v>
      </c>
      <c r="AU82">
        <v>46.75</v>
      </c>
      <c r="AV82">
        <v>22</v>
      </c>
      <c r="AW82">
        <v>6</v>
      </c>
      <c r="AX82">
        <v>1</v>
      </c>
      <c r="AY82">
        <v>29</v>
      </c>
      <c r="AZ82">
        <v>159</v>
      </c>
      <c r="BA82">
        <v>3861</v>
      </c>
      <c r="BB82">
        <v>77</v>
      </c>
      <c r="BC82">
        <v>78</v>
      </c>
      <c r="BD82">
        <v>75</v>
      </c>
      <c r="BE82">
        <v>4</v>
      </c>
      <c r="BF82" t="s">
        <v>46</v>
      </c>
      <c r="BG82">
        <v>0</v>
      </c>
      <c r="BH82">
        <v>2</v>
      </c>
      <c r="BI82">
        <v>0.38500000000000001</v>
      </c>
      <c r="BJ82" t="s">
        <v>270</v>
      </c>
      <c r="BK82">
        <v>0.51160000000000005</v>
      </c>
      <c r="BL82">
        <v>0.31709999999999999</v>
      </c>
      <c r="BM82">
        <v>1.79</v>
      </c>
      <c r="BN82">
        <v>1.1499999999999999</v>
      </c>
    </row>
    <row r="83" spans="1:66" x14ac:dyDescent="0.25">
      <c r="A83" s="42">
        <v>1</v>
      </c>
      <c r="B83" s="4">
        <v>1</v>
      </c>
      <c r="C83" s="42"/>
      <c r="D83">
        <v>2</v>
      </c>
      <c r="E83">
        <v>3.2374999999999998</v>
      </c>
      <c r="F83">
        <v>4.3250000000000002</v>
      </c>
      <c r="J83">
        <v>2</v>
      </c>
      <c r="K83">
        <v>3.25</v>
      </c>
      <c r="L83">
        <v>4.3</v>
      </c>
      <c r="M83">
        <v>2</v>
      </c>
      <c r="N83">
        <v>3.3</v>
      </c>
      <c r="O83">
        <v>4.4000000000000004</v>
      </c>
      <c r="P83">
        <v>2</v>
      </c>
      <c r="Q83">
        <v>3.15</v>
      </c>
      <c r="R83">
        <v>4.3</v>
      </c>
      <c r="S83">
        <v>0.50669063311364093</v>
      </c>
      <c r="T83">
        <v>0.25763930497303777</v>
      </c>
      <c r="U83">
        <v>0.2356700619133214</v>
      </c>
      <c r="V83">
        <v>0.51271186440677963</v>
      </c>
      <c r="W83">
        <v>0.25423728813559326</v>
      </c>
      <c r="X83">
        <v>0.23305084745762711</v>
      </c>
      <c r="Y83">
        <v>0.50215119852489232</v>
      </c>
      <c r="Z83">
        <v>0.26429010448678547</v>
      </c>
      <c r="AA83">
        <v>0.23355869698832205</v>
      </c>
      <c r="AB83">
        <v>0.50706108228973845</v>
      </c>
      <c r="AC83">
        <v>0.25845150064211359</v>
      </c>
      <c r="AD83">
        <v>0.23448741706814799</v>
      </c>
      <c r="AE83" t="s">
        <v>145</v>
      </c>
      <c r="AF83" t="s">
        <v>141</v>
      </c>
      <c r="AG83">
        <v>155.69999999999999</v>
      </c>
      <c r="AH83">
        <v>26</v>
      </c>
      <c r="AI83">
        <v>14</v>
      </c>
      <c r="AJ83">
        <v>8</v>
      </c>
      <c r="AK83">
        <v>27.3</v>
      </c>
      <c r="AL83">
        <v>27</v>
      </c>
      <c r="AM83">
        <v>7881</v>
      </c>
      <c r="AN83">
        <v>80</v>
      </c>
      <c r="AO83">
        <v>77</v>
      </c>
      <c r="AP83">
        <v>78</v>
      </c>
      <c r="AQ83">
        <v>4</v>
      </c>
      <c r="AR83" t="s">
        <v>46</v>
      </c>
      <c r="AS83" t="s">
        <v>157</v>
      </c>
      <c r="AT83" t="s">
        <v>141</v>
      </c>
      <c r="AU83">
        <v>70.53</v>
      </c>
      <c r="AV83">
        <v>26</v>
      </c>
      <c r="AW83">
        <v>3</v>
      </c>
      <c r="AX83">
        <v>0</v>
      </c>
      <c r="AY83">
        <v>28.5</v>
      </c>
      <c r="AZ83">
        <v>202</v>
      </c>
      <c r="BA83">
        <v>3267</v>
      </c>
      <c r="BB83">
        <v>76</v>
      </c>
      <c r="BC83">
        <v>74</v>
      </c>
      <c r="BD83">
        <v>74</v>
      </c>
      <c r="BE83">
        <v>3.5</v>
      </c>
      <c r="BF83" t="s">
        <v>46</v>
      </c>
      <c r="BG83">
        <v>5</v>
      </c>
      <c r="BH83">
        <v>16</v>
      </c>
      <c r="BI83">
        <v>0.33300000000000002</v>
      </c>
      <c r="BJ83" t="s">
        <v>270</v>
      </c>
      <c r="BK83">
        <v>0.40820000000000001</v>
      </c>
      <c r="BL83">
        <v>0.38100000000000001</v>
      </c>
      <c r="BM83">
        <v>1.1399999999999999</v>
      </c>
      <c r="BN83">
        <v>1.31</v>
      </c>
    </row>
    <row r="84" spans="1:66" x14ac:dyDescent="0.25">
      <c r="A84" s="42">
        <v>1</v>
      </c>
      <c r="B84" s="4">
        <v>1</v>
      </c>
      <c r="C84" s="42"/>
      <c r="D84">
        <v>2.2549999999999999</v>
      </c>
      <c r="E84">
        <v>3.5749999999999997</v>
      </c>
      <c r="F84">
        <v>3.1625000000000001</v>
      </c>
      <c r="J84">
        <v>2.25</v>
      </c>
      <c r="K84">
        <v>3.6</v>
      </c>
      <c r="L84">
        <v>3.15</v>
      </c>
      <c r="M84">
        <v>2.27</v>
      </c>
      <c r="N84">
        <v>3.65</v>
      </c>
      <c r="O84">
        <v>3.15</v>
      </c>
      <c r="P84">
        <v>2.25</v>
      </c>
      <c r="Q84">
        <v>3.45</v>
      </c>
      <c r="R84">
        <v>3.2</v>
      </c>
      <c r="S84">
        <v>0.44187836797536562</v>
      </c>
      <c r="T84">
        <v>0.24249422632794457</v>
      </c>
      <c r="U84">
        <v>0.31562740569668973</v>
      </c>
      <c r="V84">
        <v>0.44158598318887377</v>
      </c>
      <c r="W84">
        <v>0.24019173686231868</v>
      </c>
      <c r="X84">
        <v>0.31822227994880742</v>
      </c>
      <c r="Y84">
        <v>0.43905999124215445</v>
      </c>
      <c r="Z84">
        <v>0.25222595241570572</v>
      </c>
      <c r="AA84">
        <v>0.30871405634213983</v>
      </c>
      <c r="AB84">
        <v>0.44110067759543992</v>
      </c>
      <c r="AC84">
        <v>0.2443515354834784</v>
      </c>
      <c r="AD84">
        <v>0.31454778692108165</v>
      </c>
      <c r="AE84" t="s">
        <v>153</v>
      </c>
      <c r="AF84" t="s">
        <v>141</v>
      </c>
      <c r="AG84">
        <v>128.25</v>
      </c>
      <c r="AH84">
        <v>26</v>
      </c>
      <c r="AI84">
        <v>8</v>
      </c>
      <c r="AJ84">
        <v>4</v>
      </c>
      <c r="AK84">
        <v>26.4</v>
      </c>
      <c r="AL84">
        <v>138</v>
      </c>
      <c r="AM84">
        <v>4059</v>
      </c>
      <c r="AN84">
        <v>80</v>
      </c>
      <c r="AO84">
        <v>77</v>
      </c>
      <c r="AP84">
        <v>76</v>
      </c>
      <c r="AQ84">
        <v>4</v>
      </c>
      <c r="AR84" t="s">
        <v>29</v>
      </c>
      <c r="AS84" t="s">
        <v>142</v>
      </c>
      <c r="AT84" t="s">
        <v>141</v>
      </c>
      <c r="AU84">
        <v>328.38</v>
      </c>
      <c r="AV84">
        <v>26</v>
      </c>
      <c r="AW84">
        <v>14</v>
      </c>
      <c r="AX84">
        <v>8</v>
      </c>
      <c r="AY84">
        <v>25.8</v>
      </c>
      <c r="AZ84">
        <v>11</v>
      </c>
      <c r="BA84">
        <v>9770</v>
      </c>
      <c r="BB84">
        <v>81</v>
      </c>
      <c r="BC84">
        <v>81</v>
      </c>
      <c r="BD84">
        <v>81</v>
      </c>
      <c r="BE84">
        <v>4.5</v>
      </c>
      <c r="BF84" t="s">
        <v>29</v>
      </c>
      <c r="BG84">
        <v>-66</v>
      </c>
      <c r="BH84">
        <v>-32</v>
      </c>
      <c r="BI84">
        <v>0.27600000000000002</v>
      </c>
      <c r="BJ84" t="s">
        <v>270</v>
      </c>
      <c r="BK84">
        <v>0.2195</v>
      </c>
      <c r="BL84">
        <v>0.36</v>
      </c>
      <c r="BM84">
        <v>1.07</v>
      </c>
      <c r="BN84">
        <v>1.24</v>
      </c>
    </row>
    <row r="85" spans="1:66" x14ac:dyDescent="0.25">
      <c r="A85" s="42">
        <v>3</v>
      </c>
      <c r="B85" s="4">
        <v>-2</v>
      </c>
      <c r="C85" s="42"/>
      <c r="D85">
        <v>1.33</v>
      </c>
      <c r="E85">
        <v>5.5875000000000004</v>
      </c>
      <c r="F85">
        <v>9.5749999999999993</v>
      </c>
      <c r="J85">
        <v>1.32</v>
      </c>
      <c r="K85">
        <v>5.6</v>
      </c>
      <c r="L85">
        <v>9.5</v>
      </c>
      <c r="M85">
        <v>1.35</v>
      </c>
      <c r="N85">
        <v>5.4</v>
      </c>
      <c r="O85">
        <v>9.4</v>
      </c>
      <c r="P85">
        <v>1.32</v>
      </c>
      <c r="Q85">
        <v>5.6</v>
      </c>
      <c r="R85">
        <v>9.4</v>
      </c>
      <c r="S85">
        <v>0.77344715463625124</v>
      </c>
      <c r="T85">
        <v>0.11908439861429063</v>
      </c>
      <c r="U85">
        <v>0.10746844674945807</v>
      </c>
      <c r="V85">
        <v>0.76534816477314616</v>
      </c>
      <c r="W85">
        <v>0.12473481156262543</v>
      </c>
      <c r="X85">
        <v>0.10991702366422844</v>
      </c>
      <c r="Y85">
        <v>0.77220537761839536</v>
      </c>
      <c r="Z85">
        <v>0.11935727148200025</v>
      </c>
      <c r="AA85">
        <v>0.10843735089960446</v>
      </c>
      <c r="AB85">
        <v>0.7728014691852656</v>
      </c>
      <c r="AC85">
        <v>0.1198010032609455</v>
      </c>
      <c r="AD85">
        <v>0.10739752755378895</v>
      </c>
      <c r="AE85" t="s">
        <v>258</v>
      </c>
      <c r="AF85" t="s">
        <v>253</v>
      </c>
      <c r="AG85">
        <v>761.38</v>
      </c>
      <c r="AH85">
        <v>33</v>
      </c>
      <c r="AI85">
        <v>18</v>
      </c>
      <c r="AJ85">
        <v>11</v>
      </c>
      <c r="AK85">
        <v>25.8</v>
      </c>
      <c r="AL85">
        <v>39</v>
      </c>
      <c r="AM85">
        <v>7151</v>
      </c>
      <c r="AN85">
        <v>83</v>
      </c>
      <c r="AO85">
        <v>81</v>
      </c>
      <c r="AP85">
        <v>81</v>
      </c>
      <c r="AQ85">
        <v>4.5</v>
      </c>
      <c r="AR85" t="s">
        <v>29</v>
      </c>
      <c r="AS85" t="s">
        <v>261</v>
      </c>
      <c r="AT85" t="s">
        <v>253</v>
      </c>
      <c r="AU85">
        <v>179.43</v>
      </c>
      <c r="AV85">
        <v>24</v>
      </c>
      <c r="AW85">
        <v>15</v>
      </c>
      <c r="AX85">
        <v>8</v>
      </c>
      <c r="AY85">
        <v>29</v>
      </c>
      <c r="AZ85">
        <v>135</v>
      </c>
      <c r="BA85">
        <v>4146</v>
      </c>
      <c r="BB85">
        <v>73</v>
      </c>
      <c r="BC85">
        <v>77</v>
      </c>
      <c r="BD85">
        <v>76</v>
      </c>
      <c r="BE85">
        <v>4</v>
      </c>
      <c r="BF85" t="s">
        <v>29</v>
      </c>
      <c r="BG85">
        <v>46</v>
      </c>
      <c r="BH85">
        <v>79</v>
      </c>
      <c r="BI85">
        <v>0.63800000000000001</v>
      </c>
      <c r="BJ85" t="s">
        <v>267</v>
      </c>
      <c r="BK85">
        <v>0.59650000000000003</v>
      </c>
      <c r="BL85">
        <v>0.29730000000000001</v>
      </c>
      <c r="BM85">
        <v>2.02</v>
      </c>
      <c r="BN85">
        <v>1</v>
      </c>
    </row>
    <row r="86" spans="1:66" x14ac:dyDescent="0.25">
      <c r="A86" s="42">
        <v>3</v>
      </c>
      <c r="B86" s="4">
        <v>-1</v>
      </c>
      <c r="C86" s="42"/>
      <c r="D86">
        <v>2.7050000000000001</v>
      </c>
      <c r="E86">
        <v>3.6500000000000004</v>
      </c>
      <c r="F86">
        <v>2.5300000000000002</v>
      </c>
      <c r="J86">
        <v>2.7</v>
      </c>
      <c r="K86">
        <v>3.55</v>
      </c>
      <c r="L86">
        <v>2.5</v>
      </c>
      <c r="M86">
        <v>2.7</v>
      </c>
      <c r="N86">
        <v>3.7</v>
      </c>
      <c r="O86">
        <v>2.5499999999999998</v>
      </c>
      <c r="P86">
        <v>2.67</v>
      </c>
      <c r="Q86">
        <v>3.7</v>
      </c>
      <c r="R86">
        <v>2.52</v>
      </c>
      <c r="S86">
        <v>0.36223061000852308</v>
      </c>
      <c r="T86">
        <v>0.246560331182272</v>
      </c>
      <c r="U86">
        <v>0.39120905880920498</v>
      </c>
      <c r="V86">
        <v>0.36978940982754138</v>
      </c>
      <c r="W86">
        <v>0.23866886211976776</v>
      </c>
      <c r="X86">
        <v>0.39154172805269094</v>
      </c>
      <c r="Y86">
        <v>0.37025561033452031</v>
      </c>
      <c r="Z86">
        <v>0.23744975490628556</v>
      </c>
      <c r="AA86">
        <v>0.39229463475919413</v>
      </c>
      <c r="AB86">
        <v>0.36668494938340923</v>
      </c>
      <c r="AC86">
        <v>0.24129129714775027</v>
      </c>
      <c r="AD86">
        <v>0.3920237534688405</v>
      </c>
      <c r="AE86" t="s">
        <v>60</v>
      </c>
      <c r="AF86" t="s">
        <v>26</v>
      </c>
      <c r="AG86">
        <v>94.35</v>
      </c>
      <c r="AH86">
        <v>32</v>
      </c>
      <c r="AI86">
        <v>11</v>
      </c>
      <c r="AJ86">
        <v>5</v>
      </c>
      <c r="AK86">
        <v>25.3</v>
      </c>
      <c r="AL86">
        <v>299</v>
      </c>
      <c r="AM86">
        <v>2454</v>
      </c>
      <c r="AN86">
        <v>76</v>
      </c>
      <c r="AO86">
        <v>75</v>
      </c>
      <c r="AP86">
        <v>73</v>
      </c>
      <c r="AQ86">
        <v>4</v>
      </c>
      <c r="AR86" t="s">
        <v>46</v>
      </c>
      <c r="AS86" t="s">
        <v>54</v>
      </c>
      <c r="AT86" t="s">
        <v>26</v>
      </c>
      <c r="AU86">
        <v>214.6</v>
      </c>
      <c r="AV86">
        <v>30</v>
      </c>
      <c r="AW86">
        <v>22</v>
      </c>
      <c r="AX86">
        <v>15</v>
      </c>
      <c r="AY86">
        <v>25.7</v>
      </c>
      <c r="AZ86">
        <v>194</v>
      </c>
      <c r="BA86">
        <v>3438</v>
      </c>
      <c r="BB86">
        <v>79</v>
      </c>
      <c r="BC86">
        <v>77</v>
      </c>
      <c r="BD86">
        <v>75</v>
      </c>
      <c r="BE86">
        <v>4</v>
      </c>
      <c r="BF86" t="s">
        <v>29</v>
      </c>
      <c r="BG86">
        <v>-10</v>
      </c>
      <c r="BH86">
        <v>3</v>
      </c>
      <c r="BI86">
        <v>0.34799999999999998</v>
      </c>
      <c r="BJ86" t="s">
        <v>273</v>
      </c>
      <c r="BK86">
        <v>0.27779999999999999</v>
      </c>
      <c r="BL86">
        <v>0.43240000000000001</v>
      </c>
      <c r="BM86">
        <v>1.56</v>
      </c>
      <c r="BN86">
        <v>1.65</v>
      </c>
    </row>
    <row r="87" spans="1:66" x14ac:dyDescent="0.25">
      <c r="A87" s="42">
        <v>3</v>
      </c>
      <c r="B87" s="4">
        <v>-1</v>
      </c>
      <c r="C87" s="42"/>
      <c r="D87">
        <v>2.2649999999999997</v>
      </c>
      <c r="E87">
        <v>3.4875000000000003</v>
      </c>
      <c r="F87">
        <v>3.2</v>
      </c>
      <c r="J87">
        <v>2.25</v>
      </c>
      <c r="K87">
        <v>3.4</v>
      </c>
      <c r="L87">
        <v>3.15</v>
      </c>
      <c r="M87">
        <v>2.25</v>
      </c>
      <c r="N87">
        <v>3.6</v>
      </c>
      <c r="O87">
        <v>3.25</v>
      </c>
      <c r="P87">
        <v>2.2599999999999998</v>
      </c>
      <c r="Q87">
        <v>3.45</v>
      </c>
      <c r="R87">
        <v>3.15</v>
      </c>
      <c r="S87">
        <v>0.43454790823211881</v>
      </c>
      <c r="T87">
        <v>0.25506072874493924</v>
      </c>
      <c r="U87">
        <v>0.31039136302294201</v>
      </c>
      <c r="V87">
        <v>0.44709471640549159</v>
      </c>
      <c r="W87">
        <v>0.24337817223686037</v>
      </c>
      <c r="X87">
        <v>0.30952711135764799</v>
      </c>
      <c r="Y87">
        <v>0.43545422456648186</v>
      </c>
      <c r="Z87">
        <v>0.25212464923661371</v>
      </c>
      <c r="AA87">
        <v>0.31242112619690443</v>
      </c>
      <c r="AB87">
        <v>0.43890860103594093</v>
      </c>
      <c r="AC87">
        <v>0.25041908525343592</v>
      </c>
      <c r="AD87">
        <v>0.31067231371062315</v>
      </c>
      <c r="AE87" t="s">
        <v>61</v>
      </c>
      <c r="AF87" t="s">
        <v>26</v>
      </c>
      <c r="AG87">
        <v>73.7</v>
      </c>
      <c r="AH87">
        <v>32</v>
      </c>
      <c r="AI87">
        <v>16</v>
      </c>
      <c r="AJ87">
        <v>2</v>
      </c>
      <c r="AK87">
        <v>23.9</v>
      </c>
      <c r="AL87">
        <v>671</v>
      </c>
      <c r="AM87">
        <v>828</v>
      </c>
      <c r="AN87">
        <v>73</v>
      </c>
      <c r="AO87">
        <v>70</v>
      </c>
      <c r="AP87">
        <v>69</v>
      </c>
      <c r="AQ87">
        <v>3.5</v>
      </c>
      <c r="AR87" t="s">
        <v>29</v>
      </c>
      <c r="AS87" t="s">
        <v>55</v>
      </c>
      <c r="AT87" t="s">
        <v>26</v>
      </c>
      <c r="AU87">
        <v>108.3</v>
      </c>
      <c r="AV87">
        <v>28</v>
      </c>
      <c r="AW87">
        <v>11</v>
      </c>
      <c r="AX87">
        <v>8</v>
      </c>
      <c r="AY87">
        <v>25.8</v>
      </c>
      <c r="AZ87">
        <v>213</v>
      </c>
      <c r="BA87">
        <v>3138</v>
      </c>
      <c r="BB87">
        <v>76</v>
      </c>
      <c r="BC87">
        <v>73</v>
      </c>
      <c r="BD87">
        <v>75</v>
      </c>
      <c r="BE87">
        <v>3.5</v>
      </c>
      <c r="BF87" t="s">
        <v>29</v>
      </c>
      <c r="BG87">
        <v>21</v>
      </c>
      <c r="BH87">
        <v>44</v>
      </c>
      <c r="BI87">
        <v>0.6</v>
      </c>
      <c r="BJ87" t="s">
        <v>273</v>
      </c>
      <c r="BK87">
        <v>0.51349999999999996</v>
      </c>
      <c r="BL87">
        <v>0.38890000000000002</v>
      </c>
      <c r="BM87">
        <v>1.78</v>
      </c>
      <c r="BN87">
        <v>1.39</v>
      </c>
    </row>
    <row r="88" spans="1:66" x14ac:dyDescent="0.25">
      <c r="A88" s="42">
        <v>3</v>
      </c>
      <c r="B88" s="4">
        <v>-3</v>
      </c>
      <c r="C88" s="42"/>
      <c r="D88">
        <v>2.6425000000000001</v>
      </c>
      <c r="E88">
        <v>3.5250000000000004</v>
      </c>
      <c r="F88">
        <v>2.65</v>
      </c>
      <c r="J88">
        <v>2.6</v>
      </c>
      <c r="K88">
        <v>3.55</v>
      </c>
      <c r="L88">
        <v>2.6</v>
      </c>
      <c r="M88">
        <v>2.65</v>
      </c>
      <c r="N88">
        <v>3.5</v>
      </c>
      <c r="O88">
        <v>2.7</v>
      </c>
      <c r="P88">
        <v>2.67</v>
      </c>
      <c r="Q88">
        <v>3.4</v>
      </c>
      <c r="R88">
        <v>2.65</v>
      </c>
      <c r="S88">
        <v>0.37658227848101267</v>
      </c>
      <c r="T88">
        <v>0.24683544303797464</v>
      </c>
      <c r="U88">
        <v>0.37658227848101267</v>
      </c>
      <c r="V88">
        <v>0.37702165267344234</v>
      </c>
      <c r="W88">
        <v>0.25293857711003087</v>
      </c>
      <c r="X88">
        <v>0.37003977021652673</v>
      </c>
      <c r="Y88">
        <v>0.36914695984064583</v>
      </c>
      <c r="Z88">
        <v>0.25892006552745822</v>
      </c>
      <c r="AA88">
        <v>0.37193297463189595</v>
      </c>
      <c r="AB88">
        <v>0.37534421129839352</v>
      </c>
      <c r="AC88">
        <v>0.25036054431962929</v>
      </c>
      <c r="AD88">
        <v>0.37429524438197714</v>
      </c>
      <c r="AE88" t="s">
        <v>56</v>
      </c>
      <c r="AF88" t="s">
        <v>26</v>
      </c>
      <c r="AG88">
        <v>123.65</v>
      </c>
      <c r="AH88">
        <v>40</v>
      </c>
      <c r="AI88">
        <v>20</v>
      </c>
      <c r="AJ88">
        <v>5</v>
      </c>
      <c r="AK88">
        <v>24.2</v>
      </c>
      <c r="AL88">
        <v>216</v>
      </c>
      <c r="AM88">
        <v>3121</v>
      </c>
      <c r="AN88">
        <v>77</v>
      </c>
      <c r="AO88">
        <v>76</v>
      </c>
      <c r="AP88">
        <v>77</v>
      </c>
      <c r="AQ88">
        <v>4</v>
      </c>
      <c r="AR88" t="s">
        <v>29</v>
      </c>
      <c r="AS88" t="s">
        <v>59</v>
      </c>
      <c r="AT88" t="s">
        <v>26</v>
      </c>
      <c r="AU88">
        <v>221.15</v>
      </c>
      <c r="AV88">
        <v>35</v>
      </c>
      <c r="AW88">
        <v>17</v>
      </c>
      <c r="AX88">
        <v>8</v>
      </c>
      <c r="AY88">
        <v>23.8</v>
      </c>
      <c r="AZ88">
        <v>258</v>
      </c>
      <c r="BA88">
        <v>2751</v>
      </c>
      <c r="BB88">
        <v>77</v>
      </c>
      <c r="BC88">
        <v>75</v>
      </c>
      <c r="BD88">
        <v>75</v>
      </c>
      <c r="BE88">
        <v>4</v>
      </c>
      <c r="BF88" t="s">
        <v>29</v>
      </c>
      <c r="BG88">
        <v>52</v>
      </c>
      <c r="BH88">
        <v>84</v>
      </c>
      <c r="BI88">
        <v>0.5</v>
      </c>
      <c r="BJ88" t="s">
        <v>273</v>
      </c>
      <c r="BK88">
        <v>0.27500000000000002</v>
      </c>
      <c r="BL88">
        <v>0.32429999999999998</v>
      </c>
      <c r="BM88">
        <v>1.43</v>
      </c>
      <c r="BN88">
        <v>1.57</v>
      </c>
    </row>
    <row r="89" spans="1:66" x14ac:dyDescent="0.25">
      <c r="A89" s="42">
        <v>1</v>
      </c>
      <c r="B89" s="4">
        <v>3</v>
      </c>
      <c r="C89" s="42"/>
      <c r="D89">
        <v>1.6400000000000001</v>
      </c>
      <c r="E89">
        <v>4.3624999999999998</v>
      </c>
      <c r="F89">
        <v>5.0749999999999993</v>
      </c>
      <c r="J89">
        <v>1.6</v>
      </c>
      <c r="K89">
        <v>4.3499999999999996</v>
      </c>
      <c r="L89">
        <v>5.0999999999999996</v>
      </c>
      <c r="M89">
        <v>1.66</v>
      </c>
      <c r="N89">
        <v>4.3</v>
      </c>
      <c r="O89">
        <v>5.2</v>
      </c>
      <c r="P89">
        <v>1.66</v>
      </c>
      <c r="Q89">
        <v>4.3</v>
      </c>
      <c r="R89">
        <v>4.8</v>
      </c>
      <c r="S89">
        <v>0.62387619749447309</v>
      </c>
      <c r="T89">
        <v>0.18039793662490788</v>
      </c>
      <c r="U89">
        <v>0.19572586588061902</v>
      </c>
      <c r="V89">
        <v>0.61730094281191927</v>
      </c>
      <c r="W89">
        <v>0.18563760236735255</v>
      </c>
      <c r="X89">
        <v>0.19706145482072807</v>
      </c>
      <c r="Y89">
        <v>0.60459431821016141</v>
      </c>
      <c r="Z89">
        <v>0.1863168134088245</v>
      </c>
      <c r="AA89">
        <v>0.20908886838101415</v>
      </c>
      <c r="AB89">
        <v>0.61777868912688305</v>
      </c>
      <c r="AC89">
        <v>0.18244634972246868</v>
      </c>
      <c r="AD89">
        <v>0.19977496115064822</v>
      </c>
      <c r="AE89" t="s">
        <v>50</v>
      </c>
      <c r="AF89" t="s">
        <v>26</v>
      </c>
      <c r="AG89">
        <v>559.54999999999995</v>
      </c>
      <c r="AH89">
        <v>29</v>
      </c>
      <c r="AI89">
        <v>17</v>
      </c>
      <c r="AJ89">
        <v>13</v>
      </c>
      <c r="AK89">
        <v>25</v>
      </c>
      <c r="AL89">
        <v>36</v>
      </c>
      <c r="AM89">
        <v>7276</v>
      </c>
      <c r="AN89">
        <v>83</v>
      </c>
      <c r="AO89">
        <v>83</v>
      </c>
      <c r="AP89">
        <v>82</v>
      </c>
      <c r="AQ89">
        <v>4.5</v>
      </c>
      <c r="AR89" t="s">
        <v>29</v>
      </c>
      <c r="AS89" t="s">
        <v>52</v>
      </c>
      <c r="AT89" t="s">
        <v>26</v>
      </c>
      <c r="AU89">
        <v>294.73</v>
      </c>
      <c r="AV89">
        <v>35</v>
      </c>
      <c r="AW89">
        <v>19</v>
      </c>
      <c r="AX89">
        <v>10</v>
      </c>
      <c r="AY89">
        <v>24.9</v>
      </c>
      <c r="AZ89">
        <v>76</v>
      </c>
      <c r="BA89">
        <v>5412</v>
      </c>
      <c r="BB89">
        <v>78</v>
      </c>
      <c r="BC89">
        <v>79</v>
      </c>
      <c r="BD89">
        <v>78</v>
      </c>
      <c r="BE89">
        <v>4.5</v>
      </c>
      <c r="BF89" t="s">
        <v>29</v>
      </c>
      <c r="BG89">
        <v>35</v>
      </c>
      <c r="BH89">
        <v>82</v>
      </c>
      <c r="BI89">
        <v>0.439</v>
      </c>
      <c r="BJ89" t="s">
        <v>273</v>
      </c>
      <c r="BK89">
        <v>0.60870000000000002</v>
      </c>
      <c r="BL89">
        <v>0.54759999999999998</v>
      </c>
      <c r="BM89">
        <v>2.2200000000000002</v>
      </c>
      <c r="BN89">
        <v>1.76</v>
      </c>
    </row>
    <row r="90" spans="1:66" x14ac:dyDescent="0.25">
      <c r="A90" s="42">
        <v>1</v>
      </c>
      <c r="B90" s="4">
        <v>1</v>
      </c>
      <c r="C90" s="42"/>
      <c r="D90">
        <v>2.75</v>
      </c>
      <c r="E90">
        <v>2.95</v>
      </c>
      <c r="F90">
        <v>2.6375000000000002</v>
      </c>
      <c r="J90">
        <v>2.63</v>
      </c>
      <c r="K90">
        <v>2.95</v>
      </c>
      <c r="L90">
        <v>2.5499999999999998</v>
      </c>
      <c r="M90">
        <v>2.85</v>
      </c>
      <c r="N90">
        <v>2.95</v>
      </c>
      <c r="O90">
        <v>2.7</v>
      </c>
      <c r="P90">
        <v>2.87</v>
      </c>
      <c r="Q90">
        <v>2.9</v>
      </c>
      <c r="R90">
        <v>2.7</v>
      </c>
      <c r="S90">
        <v>0.34920456072077077</v>
      </c>
      <c r="T90">
        <v>0.29063544135937563</v>
      </c>
      <c r="U90">
        <v>0.36015999791985376</v>
      </c>
      <c r="V90">
        <v>0.34204687952155877</v>
      </c>
      <c r="W90">
        <v>0.29690363653901802</v>
      </c>
      <c r="X90">
        <v>0.36104948393942315</v>
      </c>
      <c r="Y90">
        <v>0.33859904628389198</v>
      </c>
      <c r="Z90">
        <v>0.30148270822174877</v>
      </c>
      <c r="AA90">
        <v>0.35991824549435925</v>
      </c>
      <c r="AB90">
        <v>0.34565800833440474</v>
      </c>
      <c r="AC90">
        <v>0.29416860799543587</v>
      </c>
      <c r="AD90">
        <v>0.36017338367015939</v>
      </c>
      <c r="AE90" t="s">
        <v>120</v>
      </c>
      <c r="AF90" t="s">
        <v>108</v>
      </c>
      <c r="AG90">
        <v>16.53</v>
      </c>
      <c r="AH90">
        <v>31</v>
      </c>
      <c r="AI90">
        <v>3</v>
      </c>
      <c r="AJ90">
        <v>0</v>
      </c>
      <c r="AK90">
        <v>28.7</v>
      </c>
      <c r="AL90">
        <v>106</v>
      </c>
      <c r="AM90">
        <v>4727</v>
      </c>
      <c r="AN90">
        <v>68</v>
      </c>
      <c r="AO90">
        <v>71</v>
      </c>
      <c r="AP90">
        <v>70</v>
      </c>
      <c r="AQ90">
        <v>3</v>
      </c>
      <c r="AR90" t="s">
        <v>28</v>
      </c>
      <c r="AS90" t="s">
        <v>112</v>
      </c>
      <c r="AT90" t="s">
        <v>108</v>
      </c>
      <c r="AU90">
        <v>55.08</v>
      </c>
      <c r="AV90">
        <v>36</v>
      </c>
      <c r="AW90">
        <v>7</v>
      </c>
      <c r="AX90">
        <v>2</v>
      </c>
      <c r="AY90">
        <v>26.4</v>
      </c>
      <c r="AZ90">
        <v>17</v>
      </c>
      <c r="BA90">
        <v>9035</v>
      </c>
      <c r="BB90">
        <v>73</v>
      </c>
      <c r="BC90">
        <v>74</v>
      </c>
      <c r="BD90">
        <v>74</v>
      </c>
      <c r="BE90">
        <v>3.5</v>
      </c>
      <c r="BF90" t="s">
        <v>29</v>
      </c>
      <c r="BG90">
        <v>-5</v>
      </c>
      <c r="BH90">
        <v>-8</v>
      </c>
      <c r="BI90">
        <v>0</v>
      </c>
      <c r="BJ90" t="s">
        <v>236</v>
      </c>
      <c r="BK90">
        <v>0.4032</v>
      </c>
      <c r="BL90">
        <v>0.52939999999999998</v>
      </c>
      <c r="BM90">
        <v>1.26</v>
      </c>
      <c r="BN90">
        <v>1.5</v>
      </c>
    </row>
    <row r="91" spans="1:66" x14ac:dyDescent="0.25">
      <c r="A91" s="42">
        <v>2</v>
      </c>
      <c r="B91" s="4">
        <v>0</v>
      </c>
      <c r="C91" s="42"/>
      <c r="D91">
        <v>2.3174999999999999</v>
      </c>
      <c r="E91">
        <v>3.2124999999999999</v>
      </c>
      <c r="F91">
        <v>2.8574999999999999</v>
      </c>
      <c r="J91">
        <v>2.2999999999999998</v>
      </c>
      <c r="K91">
        <v>3.25</v>
      </c>
      <c r="L91">
        <v>2.8</v>
      </c>
      <c r="M91">
        <v>2.34</v>
      </c>
      <c r="N91">
        <v>3.2</v>
      </c>
      <c r="O91">
        <v>2.95</v>
      </c>
      <c r="P91">
        <v>2.33</v>
      </c>
      <c r="Q91">
        <v>3.15</v>
      </c>
      <c r="R91">
        <v>2.88</v>
      </c>
      <c r="S91">
        <v>0.40446988280185342</v>
      </c>
      <c r="T91">
        <v>0.2632869991823385</v>
      </c>
      <c r="U91">
        <v>0.33224311801580814</v>
      </c>
      <c r="V91">
        <v>0.40714791196675104</v>
      </c>
      <c r="W91">
        <v>0.26989408328674147</v>
      </c>
      <c r="X91">
        <v>0.32295800474650754</v>
      </c>
      <c r="Y91">
        <v>0.40208920419845001</v>
      </c>
      <c r="Z91">
        <v>0.27260946046044288</v>
      </c>
      <c r="AA91">
        <v>0.32530133534110711</v>
      </c>
      <c r="AB91">
        <v>0.40454422044222693</v>
      </c>
      <c r="AC91">
        <v>0.26726938552796536</v>
      </c>
      <c r="AD91">
        <v>0.3281863940298077</v>
      </c>
      <c r="AE91" t="s">
        <v>136</v>
      </c>
      <c r="AF91" t="s">
        <v>134</v>
      </c>
      <c r="AG91">
        <v>13.58</v>
      </c>
      <c r="AH91">
        <v>24</v>
      </c>
      <c r="AI91">
        <v>6</v>
      </c>
      <c r="AJ91">
        <v>3</v>
      </c>
      <c r="AK91">
        <v>27</v>
      </c>
      <c r="AL91">
        <v>359</v>
      </c>
      <c r="AM91">
        <v>2085</v>
      </c>
      <c r="AN91">
        <v>67</v>
      </c>
      <c r="AO91">
        <v>67</v>
      </c>
      <c r="AP91">
        <v>64</v>
      </c>
      <c r="AQ91">
        <v>2.5</v>
      </c>
      <c r="AR91" t="s">
        <v>46</v>
      </c>
      <c r="AS91" t="s">
        <v>135</v>
      </c>
      <c r="AT91" t="s">
        <v>134</v>
      </c>
      <c r="AU91">
        <v>17.579999999999998</v>
      </c>
      <c r="AV91">
        <v>27</v>
      </c>
      <c r="AW91">
        <v>8</v>
      </c>
      <c r="AX91">
        <v>4</v>
      </c>
      <c r="AY91">
        <v>27.3</v>
      </c>
      <c r="AZ91">
        <v>314</v>
      </c>
      <c r="BA91">
        <v>2387</v>
      </c>
      <c r="BB91">
        <v>67</v>
      </c>
      <c r="BC91">
        <v>69</v>
      </c>
      <c r="BD91">
        <v>66</v>
      </c>
      <c r="BE91">
        <v>2.5</v>
      </c>
      <c r="BF91" t="s">
        <v>28</v>
      </c>
      <c r="BG91">
        <v>3</v>
      </c>
      <c r="BH91">
        <v>4</v>
      </c>
      <c r="BI91">
        <v>0.35</v>
      </c>
      <c r="BJ91" t="s">
        <v>134</v>
      </c>
      <c r="BK91">
        <v>0.44119999999999998</v>
      </c>
      <c r="BL91">
        <v>0.56100000000000005</v>
      </c>
      <c r="BM91">
        <v>1.62</v>
      </c>
      <c r="BN91">
        <v>1.85</v>
      </c>
    </row>
    <row r="92" spans="1:66" x14ac:dyDescent="0.25">
      <c r="A92" s="42">
        <v>1</v>
      </c>
      <c r="B92" s="4">
        <v>3</v>
      </c>
      <c r="C92" s="42"/>
      <c r="D92">
        <v>1.575</v>
      </c>
      <c r="E92">
        <v>3.75</v>
      </c>
      <c r="F92">
        <v>5.05</v>
      </c>
      <c r="J92">
        <v>1.55</v>
      </c>
      <c r="K92">
        <v>3.6</v>
      </c>
      <c r="L92">
        <v>5.0999999999999996</v>
      </c>
      <c r="M92">
        <v>1.6</v>
      </c>
      <c r="N92">
        <v>3.9</v>
      </c>
      <c r="O92">
        <v>5</v>
      </c>
      <c r="P92">
        <v>1.6</v>
      </c>
      <c r="Q92">
        <v>3.9</v>
      </c>
      <c r="R92">
        <v>5</v>
      </c>
      <c r="S92">
        <v>0.60712952184322078</v>
      </c>
      <c r="T92">
        <v>0.20835072151815329</v>
      </c>
      <c r="U92">
        <v>0.18451975663862594</v>
      </c>
      <c r="V92">
        <v>0.60733763014377784</v>
      </c>
      <c r="W92">
        <v>0.19831432821021316</v>
      </c>
      <c r="X92">
        <v>0.19434804164600888</v>
      </c>
      <c r="Y92">
        <v>0.60733763014377784</v>
      </c>
      <c r="Z92">
        <v>0.19831432821021316</v>
      </c>
      <c r="AA92">
        <v>0.19434804164600888</v>
      </c>
      <c r="AB92">
        <v>0.60723357599349925</v>
      </c>
      <c r="AC92">
        <v>0.20333252486418321</v>
      </c>
      <c r="AD92">
        <v>0.18943389914231742</v>
      </c>
      <c r="AE92" t="s">
        <v>237</v>
      </c>
      <c r="AF92" t="s">
        <v>238</v>
      </c>
      <c r="AG92">
        <v>18.579999999999998</v>
      </c>
      <c r="AH92">
        <v>32</v>
      </c>
      <c r="AI92">
        <v>7</v>
      </c>
      <c r="AJ92">
        <v>3</v>
      </c>
      <c r="AK92">
        <v>29.5</v>
      </c>
      <c r="AL92">
        <v>109</v>
      </c>
      <c r="AM92">
        <v>4640</v>
      </c>
      <c r="AN92">
        <v>74</v>
      </c>
      <c r="AO92">
        <v>72</v>
      </c>
      <c r="AP92">
        <v>71</v>
      </c>
      <c r="AQ92">
        <v>3.5</v>
      </c>
      <c r="AR92" t="s">
        <v>29</v>
      </c>
      <c r="AS92" t="s">
        <v>243</v>
      </c>
      <c r="AT92" t="s">
        <v>238</v>
      </c>
      <c r="AU92">
        <v>3.43</v>
      </c>
      <c r="AV92">
        <v>35</v>
      </c>
      <c r="AW92">
        <v>11</v>
      </c>
      <c r="AX92">
        <v>0</v>
      </c>
      <c r="AY92">
        <v>26.5</v>
      </c>
      <c r="AZ92">
        <v>419</v>
      </c>
      <c r="BA92">
        <v>1470</v>
      </c>
      <c r="BB92">
        <v>62</v>
      </c>
      <c r="BC92">
        <v>60</v>
      </c>
      <c r="BD92">
        <v>61</v>
      </c>
      <c r="BE92">
        <v>1</v>
      </c>
      <c r="BF92" t="s">
        <v>46</v>
      </c>
      <c r="BG92">
        <v>14</v>
      </c>
      <c r="BH92">
        <v>21</v>
      </c>
      <c r="BI92">
        <v>0.61499999999999999</v>
      </c>
      <c r="BJ92" t="s">
        <v>238</v>
      </c>
      <c r="BK92">
        <v>0.47620000000000001</v>
      </c>
      <c r="BL92">
        <v>0.27029999999999998</v>
      </c>
      <c r="BM92">
        <v>1.17</v>
      </c>
      <c r="BN92">
        <v>1.1399999999999999</v>
      </c>
    </row>
    <row r="93" spans="1:66" x14ac:dyDescent="0.25">
      <c r="A93" s="4">
        <v>1</v>
      </c>
      <c r="B93" s="4">
        <v>1</v>
      </c>
      <c r="C93" s="4"/>
      <c r="D93">
        <v>1.77</v>
      </c>
      <c r="E93">
        <v>3.3499999999999996</v>
      </c>
      <c r="F93">
        <v>5.1624999999999996</v>
      </c>
      <c r="J93">
        <v>1.75</v>
      </c>
      <c r="K93">
        <v>3.35</v>
      </c>
      <c r="L93">
        <v>5.25</v>
      </c>
      <c r="M93">
        <v>1.83</v>
      </c>
      <c r="N93">
        <v>3.3</v>
      </c>
      <c r="O93">
        <v>5</v>
      </c>
      <c r="P93">
        <v>1.75</v>
      </c>
      <c r="Q93">
        <v>3.4</v>
      </c>
      <c r="R93">
        <v>5.15</v>
      </c>
      <c r="S93">
        <v>0.57461024498886404</v>
      </c>
      <c r="T93">
        <v>0.23385300668151446</v>
      </c>
      <c r="U93">
        <v>0.19153674832962136</v>
      </c>
      <c r="V93">
        <v>0.55427811579060049</v>
      </c>
      <c r="W93">
        <v>0.2428560938300397</v>
      </c>
      <c r="X93">
        <v>0.20286579037935978</v>
      </c>
      <c r="Y93">
        <v>0.57350894100010708</v>
      </c>
      <c r="Z93">
        <v>0.23160938001927397</v>
      </c>
      <c r="AA93">
        <v>0.19488167898061892</v>
      </c>
      <c r="AB93">
        <v>0.56925188669210891</v>
      </c>
      <c r="AC93">
        <v>0.23554287180308564</v>
      </c>
      <c r="AD93">
        <v>0.19520524150480534</v>
      </c>
      <c r="AE93" t="s">
        <v>68</v>
      </c>
      <c r="AF93" t="s">
        <v>63</v>
      </c>
      <c r="AG93">
        <v>17.579999999999998</v>
      </c>
      <c r="AH93">
        <v>31</v>
      </c>
      <c r="AI93">
        <v>3</v>
      </c>
      <c r="AJ93">
        <v>2</v>
      </c>
      <c r="AK93">
        <v>25.9</v>
      </c>
      <c r="AL93">
        <v>129</v>
      </c>
      <c r="AM93">
        <v>4227</v>
      </c>
      <c r="AN93">
        <v>73</v>
      </c>
      <c r="AO93">
        <v>69</v>
      </c>
      <c r="AP93">
        <v>69</v>
      </c>
      <c r="AQ93">
        <v>3.5</v>
      </c>
      <c r="AR93" t="s">
        <v>46</v>
      </c>
      <c r="AS93" t="s">
        <v>76</v>
      </c>
      <c r="AT93" t="s">
        <v>63</v>
      </c>
      <c r="AU93">
        <v>9.58</v>
      </c>
      <c r="AV93">
        <v>23</v>
      </c>
      <c r="AW93">
        <v>3</v>
      </c>
      <c r="AX93">
        <v>1</v>
      </c>
      <c r="AY93">
        <v>26.6</v>
      </c>
      <c r="AZ93">
        <v>349</v>
      </c>
      <c r="BA93">
        <v>2119</v>
      </c>
      <c r="BB93">
        <v>59</v>
      </c>
      <c r="BC93">
        <v>64</v>
      </c>
      <c r="BD93">
        <v>65</v>
      </c>
      <c r="BE93">
        <v>2</v>
      </c>
      <c r="BF93" t="s">
        <v>29</v>
      </c>
      <c r="BG93">
        <v>3</v>
      </c>
      <c r="BH93">
        <v>12</v>
      </c>
      <c r="BI93">
        <v>0.5</v>
      </c>
      <c r="BJ93" t="s">
        <v>63</v>
      </c>
      <c r="BK93">
        <v>0.38890000000000002</v>
      </c>
      <c r="BL93">
        <v>0.2727</v>
      </c>
      <c r="BM93">
        <v>1.39</v>
      </c>
      <c r="BN93">
        <v>0.82</v>
      </c>
    </row>
    <row r="94" spans="1:66" x14ac:dyDescent="0.25">
      <c r="A94" s="4">
        <v>1</v>
      </c>
      <c r="B94" s="4">
        <v>1</v>
      </c>
      <c r="C94" s="4"/>
      <c r="D94">
        <v>1.6425000000000001</v>
      </c>
      <c r="E94">
        <v>3.5</v>
      </c>
      <c r="F94">
        <v>6.0750000000000002</v>
      </c>
      <c r="J94">
        <v>1.62</v>
      </c>
      <c r="K94">
        <v>3.5</v>
      </c>
      <c r="L94">
        <v>6.25</v>
      </c>
      <c r="M94">
        <v>1.68</v>
      </c>
      <c r="N94">
        <v>3.5</v>
      </c>
      <c r="O94">
        <v>6</v>
      </c>
      <c r="P94">
        <v>1.65</v>
      </c>
      <c r="Q94">
        <v>3.5</v>
      </c>
      <c r="R94">
        <v>5.8</v>
      </c>
      <c r="S94">
        <v>0.62601547813467773</v>
      </c>
      <c r="T94">
        <v>0.21172130993281374</v>
      </c>
      <c r="U94">
        <v>0.16226321193250848</v>
      </c>
      <c r="V94">
        <v>0.61145991444735759</v>
      </c>
      <c r="W94">
        <v>0.21733130950738239</v>
      </c>
      <c r="X94">
        <v>0.17120877604526011</v>
      </c>
      <c r="Y94">
        <v>0.61000848176420708</v>
      </c>
      <c r="Z94">
        <v>0.21645462256149281</v>
      </c>
      <c r="AA94">
        <v>0.17353689567430028</v>
      </c>
      <c r="AB94">
        <v>0.61837483812023009</v>
      </c>
      <c r="AC94">
        <v>0.21430713798362566</v>
      </c>
      <c r="AD94">
        <v>0.16731802389614434</v>
      </c>
      <c r="AE94" t="s">
        <v>66</v>
      </c>
      <c r="AF94" t="s">
        <v>63</v>
      </c>
      <c r="AG94">
        <v>23.33</v>
      </c>
      <c r="AH94">
        <v>27</v>
      </c>
      <c r="AI94">
        <v>2</v>
      </c>
      <c r="AJ94">
        <v>1</v>
      </c>
      <c r="AK94">
        <v>29.3</v>
      </c>
      <c r="AL94">
        <v>93</v>
      </c>
      <c r="AM94">
        <v>5011</v>
      </c>
      <c r="AN94">
        <v>74</v>
      </c>
      <c r="AO94">
        <v>69</v>
      </c>
      <c r="AP94">
        <v>68</v>
      </c>
      <c r="AQ94">
        <v>3</v>
      </c>
      <c r="AR94" t="s">
        <v>28</v>
      </c>
      <c r="AS94" t="s">
        <v>75</v>
      </c>
      <c r="AT94" t="s">
        <v>63</v>
      </c>
      <c r="AU94">
        <v>11.18</v>
      </c>
      <c r="AV94">
        <v>31</v>
      </c>
      <c r="AW94">
        <v>3</v>
      </c>
      <c r="AX94">
        <v>0</v>
      </c>
      <c r="AY94">
        <v>27</v>
      </c>
      <c r="AZ94">
        <v>317</v>
      </c>
      <c r="BA94">
        <v>2374</v>
      </c>
      <c r="BB94">
        <v>69</v>
      </c>
      <c r="BC94">
        <v>66</v>
      </c>
      <c r="BD94">
        <v>64</v>
      </c>
      <c r="BE94">
        <v>2.5</v>
      </c>
      <c r="BF94" t="s">
        <v>46</v>
      </c>
      <c r="BG94">
        <v>4</v>
      </c>
      <c r="BH94">
        <v>22</v>
      </c>
      <c r="BI94">
        <v>0.375</v>
      </c>
      <c r="BJ94" t="s">
        <v>63</v>
      </c>
      <c r="BK94">
        <v>0.4</v>
      </c>
      <c r="BL94">
        <v>0.43480000000000002</v>
      </c>
      <c r="BM94">
        <v>1.28</v>
      </c>
      <c r="BN94">
        <v>1.43</v>
      </c>
    </row>
    <row r="95" spans="1:66" x14ac:dyDescent="0.25">
      <c r="A95" s="42">
        <v>1</v>
      </c>
      <c r="B95" s="4">
        <v>1</v>
      </c>
      <c r="C95" s="42"/>
      <c r="D95">
        <v>2.0649999999999999</v>
      </c>
      <c r="E95">
        <v>3.1124999999999998</v>
      </c>
      <c r="F95">
        <v>4.2749999999999995</v>
      </c>
      <c r="J95">
        <v>2.0499999999999998</v>
      </c>
      <c r="K95">
        <v>3.1</v>
      </c>
      <c r="L95">
        <v>4.3499999999999996</v>
      </c>
      <c r="M95">
        <v>2.1</v>
      </c>
      <c r="N95">
        <v>3.2</v>
      </c>
      <c r="O95">
        <v>4.0999999999999996</v>
      </c>
      <c r="P95">
        <v>2.06</v>
      </c>
      <c r="Q95">
        <v>3.05</v>
      </c>
      <c r="R95">
        <v>4.3</v>
      </c>
      <c r="S95">
        <v>0.4961518080193798</v>
      </c>
      <c r="T95">
        <v>0.27002952383355627</v>
      </c>
      <c r="U95">
        <v>0.23381866814706403</v>
      </c>
      <c r="V95">
        <v>0.48543189539792037</v>
      </c>
      <c r="W95">
        <v>0.26593225573973023</v>
      </c>
      <c r="X95">
        <v>0.24863584886234949</v>
      </c>
      <c r="Y95">
        <v>0.49071563298375076</v>
      </c>
      <c r="Z95">
        <v>0.2741973428426383</v>
      </c>
      <c r="AA95">
        <v>0.23508702417361083</v>
      </c>
      <c r="AB95">
        <v>0.49211278610510772</v>
      </c>
      <c r="AC95">
        <v>0.2700471615623703</v>
      </c>
      <c r="AD95">
        <v>0.23784005233252209</v>
      </c>
      <c r="AE95" t="s">
        <v>150</v>
      </c>
      <c r="AF95" t="s">
        <v>141</v>
      </c>
      <c r="AG95">
        <v>60.93</v>
      </c>
      <c r="AH95">
        <v>23</v>
      </c>
      <c r="AI95">
        <v>8</v>
      </c>
      <c r="AJ95">
        <v>4</v>
      </c>
      <c r="AK95">
        <v>28.2</v>
      </c>
      <c r="AL95">
        <v>103</v>
      </c>
      <c r="AM95">
        <v>4803</v>
      </c>
      <c r="AN95">
        <v>76</v>
      </c>
      <c r="AO95">
        <v>75</v>
      </c>
      <c r="AP95">
        <v>75</v>
      </c>
      <c r="AQ95">
        <v>4</v>
      </c>
      <c r="AR95" t="s">
        <v>46</v>
      </c>
      <c r="AS95" t="s">
        <v>156</v>
      </c>
      <c r="AT95" t="s">
        <v>141</v>
      </c>
      <c r="AU95">
        <v>84.05</v>
      </c>
      <c r="AV95">
        <v>33</v>
      </c>
      <c r="AW95">
        <v>9</v>
      </c>
      <c r="AX95">
        <v>5</v>
      </c>
      <c r="AY95">
        <v>26.2</v>
      </c>
      <c r="AZ95">
        <v>177</v>
      </c>
      <c r="BA95">
        <v>3663</v>
      </c>
      <c r="BB95">
        <v>76</v>
      </c>
      <c r="BC95">
        <v>75</v>
      </c>
      <c r="BD95">
        <v>76</v>
      </c>
      <c r="BE95">
        <v>4</v>
      </c>
      <c r="BF95" t="s">
        <v>43</v>
      </c>
      <c r="BG95">
        <v>3</v>
      </c>
      <c r="BH95">
        <v>8</v>
      </c>
      <c r="BI95">
        <v>0.5</v>
      </c>
      <c r="BJ95" t="s">
        <v>270</v>
      </c>
      <c r="BK95">
        <v>0.4889</v>
      </c>
      <c r="BL95">
        <v>0.25640000000000002</v>
      </c>
      <c r="BM95">
        <v>1.47</v>
      </c>
      <c r="BN95">
        <v>0.9</v>
      </c>
    </row>
    <row r="96" spans="1:66" x14ac:dyDescent="0.25">
      <c r="A96" s="42">
        <v>1</v>
      </c>
      <c r="B96" s="4">
        <v>2</v>
      </c>
      <c r="C96" s="42"/>
      <c r="D96">
        <v>1.875</v>
      </c>
      <c r="E96">
        <v>3.6</v>
      </c>
      <c r="F96">
        <v>4.375</v>
      </c>
      <c r="J96">
        <v>1.85</v>
      </c>
      <c r="K96">
        <v>3.6</v>
      </c>
      <c r="L96">
        <v>4.5</v>
      </c>
      <c r="M96">
        <v>1.9</v>
      </c>
      <c r="N96">
        <v>3.75</v>
      </c>
      <c r="O96">
        <v>4.2</v>
      </c>
      <c r="P96">
        <v>1.9</v>
      </c>
      <c r="Q96">
        <v>3.45</v>
      </c>
      <c r="R96">
        <v>4.3</v>
      </c>
      <c r="S96">
        <v>0.54645434757704203</v>
      </c>
      <c r="T96">
        <v>0.22889219841906294</v>
      </c>
      <c r="U96">
        <v>0.22465345400389505</v>
      </c>
      <c r="V96">
        <v>0.53433115060804492</v>
      </c>
      <c r="W96">
        <v>0.22394761459307766</v>
      </c>
      <c r="X96">
        <v>0.24172123479887742</v>
      </c>
      <c r="Y96">
        <v>0.52690912655622002</v>
      </c>
      <c r="Z96">
        <v>0.24027056170963637</v>
      </c>
      <c r="AA96">
        <v>0.23282031173414375</v>
      </c>
      <c r="AB96">
        <v>0.53853724307958728</v>
      </c>
      <c r="AC96">
        <v>0.23050064328520997</v>
      </c>
      <c r="AD96">
        <v>0.2309621136352028</v>
      </c>
      <c r="AE96" t="s">
        <v>152</v>
      </c>
      <c r="AF96" t="s">
        <v>141</v>
      </c>
      <c r="AG96">
        <v>214.25</v>
      </c>
      <c r="AH96">
        <v>24</v>
      </c>
      <c r="AI96">
        <v>10</v>
      </c>
      <c r="AJ96">
        <v>7</v>
      </c>
      <c r="AK96">
        <v>27.3</v>
      </c>
      <c r="AL96">
        <v>125</v>
      </c>
      <c r="AM96">
        <v>4257</v>
      </c>
      <c r="AN96">
        <v>81</v>
      </c>
      <c r="AO96">
        <v>81</v>
      </c>
      <c r="AP96">
        <v>78</v>
      </c>
      <c r="AQ96">
        <v>4.5</v>
      </c>
      <c r="AR96" t="s">
        <v>29</v>
      </c>
      <c r="AS96" t="s">
        <v>154</v>
      </c>
      <c r="AT96" t="s">
        <v>141</v>
      </c>
      <c r="AU96">
        <v>61.55</v>
      </c>
      <c r="AV96">
        <v>28</v>
      </c>
      <c r="AW96">
        <v>5</v>
      </c>
      <c r="AX96">
        <v>3</v>
      </c>
      <c r="AY96">
        <v>27.8</v>
      </c>
      <c r="AZ96">
        <v>139</v>
      </c>
      <c r="BA96">
        <v>4059</v>
      </c>
      <c r="BB96">
        <v>76</v>
      </c>
      <c r="BC96">
        <v>76</v>
      </c>
      <c r="BD96">
        <v>73</v>
      </c>
      <c r="BE96">
        <v>4</v>
      </c>
      <c r="BF96" t="s">
        <v>43</v>
      </c>
      <c r="BG96">
        <v>19</v>
      </c>
      <c r="BH96">
        <v>30</v>
      </c>
      <c r="BI96">
        <v>0.39700000000000002</v>
      </c>
      <c r="BJ96" t="s">
        <v>270</v>
      </c>
      <c r="BK96">
        <v>0.29970000000000002</v>
      </c>
      <c r="BL96">
        <v>0.24390000000000001</v>
      </c>
      <c r="BM96">
        <v>1.39</v>
      </c>
      <c r="BN96">
        <v>0.9</v>
      </c>
    </row>
    <row r="97" spans="1:66" x14ac:dyDescent="0.25">
      <c r="A97" s="42">
        <v>2</v>
      </c>
      <c r="B97" s="4">
        <v>0</v>
      </c>
      <c r="C97" s="42"/>
      <c r="D97">
        <v>4.8</v>
      </c>
      <c r="E97">
        <v>3.875</v>
      </c>
      <c r="F97">
        <v>1.7475000000000001</v>
      </c>
      <c r="J97">
        <v>4.8</v>
      </c>
      <c r="K97">
        <v>3.85</v>
      </c>
      <c r="L97">
        <v>1.75</v>
      </c>
      <c r="M97">
        <v>4.8</v>
      </c>
      <c r="N97">
        <v>4</v>
      </c>
      <c r="O97">
        <v>1.75</v>
      </c>
      <c r="P97">
        <v>4.8</v>
      </c>
      <c r="Q97">
        <v>3.8</v>
      </c>
      <c r="R97">
        <v>1.74</v>
      </c>
      <c r="S97">
        <v>0.21099730908028955</v>
      </c>
      <c r="T97">
        <v>0.21026721458520203</v>
      </c>
      <c r="U97">
        <v>0.57873547633450839</v>
      </c>
      <c r="V97">
        <v>0.21278099816202461</v>
      </c>
      <c r="W97">
        <v>0.20359112116499362</v>
      </c>
      <c r="X97">
        <v>0.58362788067298177</v>
      </c>
      <c r="Y97">
        <v>0.20964990658760457</v>
      </c>
      <c r="Z97">
        <v>0.21200552351555518</v>
      </c>
      <c r="AA97">
        <v>0.57834456989684013</v>
      </c>
      <c r="AB97">
        <v>0.21110638072755208</v>
      </c>
      <c r="AC97">
        <v>0.20903276846273822</v>
      </c>
      <c r="AD97">
        <v>0.57986085080970962</v>
      </c>
      <c r="AE97" t="s">
        <v>147</v>
      </c>
      <c r="AF97" t="s">
        <v>141</v>
      </c>
      <c r="AG97">
        <v>327.10000000000002</v>
      </c>
      <c r="AH97">
        <v>29</v>
      </c>
      <c r="AI97">
        <v>7</v>
      </c>
      <c r="AJ97">
        <v>5</v>
      </c>
      <c r="AK97">
        <v>25.9</v>
      </c>
      <c r="AL97">
        <v>32</v>
      </c>
      <c r="AM97">
        <v>7427</v>
      </c>
      <c r="AN97">
        <v>81</v>
      </c>
      <c r="AO97">
        <v>80</v>
      </c>
      <c r="AP97">
        <v>77</v>
      </c>
      <c r="AQ97">
        <v>4.5</v>
      </c>
      <c r="AR97" t="s">
        <v>28</v>
      </c>
      <c r="AS97" t="s">
        <v>144</v>
      </c>
      <c r="AT97" t="s">
        <v>141</v>
      </c>
      <c r="AU97">
        <v>1080</v>
      </c>
      <c r="AV97">
        <v>34</v>
      </c>
      <c r="AW97">
        <v>20</v>
      </c>
      <c r="AX97">
        <v>21</v>
      </c>
      <c r="AY97">
        <v>26.1</v>
      </c>
      <c r="AZ97">
        <v>18</v>
      </c>
      <c r="BA97">
        <v>8949</v>
      </c>
      <c r="BB97">
        <v>85</v>
      </c>
      <c r="BC97">
        <v>87</v>
      </c>
      <c r="BD97">
        <v>85</v>
      </c>
      <c r="BE97">
        <v>5</v>
      </c>
      <c r="BF97" t="s">
        <v>28</v>
      </c>
      <c r="BG97">
        <v>-134</v>
      </c>
      <c r="BH97">
        <v>-128</v>
      </c>
      <c r="BI97">
        <v>0.187</v>
      </c>
      <c r="BJ97" t="s">
        <v>270</v>
      </c>
      <c r="BK97">
        <v>0.52170000000000005</v>
      </c>
      <c r="BL97">
        <v>0.62749999999999995</v>
      </c>
      <c r="BM97">
        <v>1.76</v>
      </c>
      <c r="BN97">
        <v>1.94</v>
      </c>
    </row>
    <row r="98" spans="1:66" x14ac:dyDescent="0.25">
      <c r="A98" s="42">
        <v>3</v>
      </c>
      <c r="B98" s="4">
        <v>-2</v>
      </c>
      <c r="C98" s="42"/>
      <c r="D98">
        <v>3.2125000000000004</v>
      </c>
      <c r="E98">
        <v>3.7249999999999996</v>
      </c>
      <c r="F98">
        <v>2.1950000000000003</v>
      </c>
      <c r="J98">
        <v>3.2</v>
      </c>
      <c r="K98">
        <v>3.75</v>
      </c>
      <c r="L98">
        <v>2.17</v>
      </c>
      <c r="M98">
        <v>3.25</v>
      </c>
      <c r="N98">
        <v>3.65</v>
      </c>
      <c r="O98">
        <v>2.2200000000000002</v>
      </c>
      <c r="P98">
        <v>3.15</v>
      </c>
      <c r="Q98">
        <v>3.7</v>
      </c>
      <c r="R98">
        <v>2.1800000000000002</v>
      </c>
      <c r="S98">
        <v>0.31050354721109491</v>
      </c>
      <c r="T98">
        <v>0.23161103754673745</v>
      </c>
      <c r="U98">
        <v>0.45788541524216764</v>
      </c>
      <c r="V98">
        <v>0.30867815081153377</v>
      </c>
      <c r="W98">
        <v>0.23942815993734715</v>
      </c>
      <c r="X98">
        <v>0.45189368925111917</v>
      </c>
      <c r="Y98">
        <v>0.31316815838232737</v>
      </c>
      <c r="Z98">
        <v>0.23431821826706203</v>
      </c>
      <c r="AA98">
        <v>0.45251362335061057</v>
      </c>
      <c r="AB98">
        <v>0.31093344236059567</v>
      </c>
      <c r="AC98">
        <v>0.2340139958852584</v>
      </c>
      <c r="AD98">
        <v>0.45505256175414593</v>
      </c>
      <c r="AE98" t="s">
        <v>255</v>
      </c>
      <c r="AF98" t="s">
        <v>253</v>
      </c>
      <c r="AG98">
        <v>808.5</v>
      </c>
      <c r="AH98">
        <v>31</v>
      </c>
      <c r="AI98">
        <v>22</v>
      </c>
      <c r="AJ98">
        <v>19</v>
      </c>
      <c r="AK98">
        <v>25.8</v>
      </c>
      <c r="AL98">
        <v>19</v>
      </c>
      <c r="AM98">
        <v>8832</v>
      </c>
      <c r="AN98">
        <v>80</v>
      </c>
      <c r="AO98">
        <v>84</v>
      </c>
      <c r="AP98">
        <v>81</v>
      </c>
      <c r="AQ98">
        <v>4.5</v>
      </c>
      <c r="AR98" t="s">
        <v>28</v>
      </c>
      <c r="AS98" t="s">
        <v>252</v>
      </c>
      <c r="AT98" t="s">
        <v>253</v>
      </c>
      <c r="AU98">
        <v>1020</v>
      </c>
      <c r="AV98">
        <v>31</v>
      </c>
      <c r="AW98">
        <v>23</v>
      </c>
      <c r="AX98">
        <v>20</v>
      </c>
      <c r="AY98">
        <v>25.8</v>
      </c>
      <c r="AZ98">
        <v>1</v>
      </c>
      <c r="BA98">
        <v>14695</v>
      </c>
      <c r="BB98">
        <v>87</v>
      </c>
      <c r="BC98">
        <v>83</v>
      </c>
      <c r="BD98">
        <v>85</v>
      </c>
      <c r="BE98">
        <v>5</v>
      </c>
      <c r="BF98" t="s">
        <v>29</v>
      </c>
      <c r="BG98">
        <v>-26</v>
      </c>
      <c r="BH98">
        <v>-20</v>
      </c>
      <c r="BI98">
        <v>0.32300000000000001</v>
      </c>
      <c r="BJ98" t="s">
        <v>267</v>
      </c>
      <c r="BK98">
        <v>0.58179999999999998</v>
      </c>
      <c r="BL98">
        <v>0.70909999999999995</v>
      </c>
      <c r="BM98">
        <v>1.73</v>
      </c>
      <c r="BN98">
        <v>2.0699999999999998</v>
      </c>
    </row>
    <row r="99" spans="1:66" x14ac:dyDescent="0.25">
      <c r="A99" s="42">
        <v>1</v>
      </c>
      <c r="B99" s="4">
        <v>2</v>
      </c>
      <c r="C99" s="42"/>
      <c r="D99">
        <v>1.6225000000000001</v>
      </c>
      <c r="E99">
        <v>4</v>
      </c>
      <c r="F99">
        <v>5.9</v>
      </c>
      <c r="J99">
        <v>1.61</v>
      </c>
      <c r="K99">
        <v>3.95</v>
      </c>
      <c r="L99">
        <v>5.8</v>
      </c>
      <c r="M99">
        <v>1.64</v>
      </c>
      <c r="N99">
        <v>4</v>
      </c>
      <c r="O99">
        <v>6</v>
      </c>
      <c r="P99">
        <v>1.6</v>
      </c>
      <c r="Q99">
        <v>4</v>
      </c>
      <c r="R99">
        <v>5.8</v>
      </c>
      <c r="S99">
        <v>0.63090141533569988</v>
      </c>
      <c r="T99">
        <v>0.19396905385559712</v>
      </c>
      <c r="U99">
        <v>0.17512953080870292</v>
      </c>
      <c r="V99">
        <v>0.63364688515837253</v>
      </c>
      <c r="W99">
        <v>0.19315629956500571</v>
      </c>
      <c r="X99">
        <v>0.17319681527662181</v>
      </c>
      <c r="Y99">
        <v>0.63381443298969076</v>
      </c>
      <c r="Z99">
        <v>0.19134020618556707</v>
      </c>
      <c r="AA99">
        <v>0.17484536082474228</v>
      </c>
      <c r="AB99">
        <v>0.63337781144238015</v>
      </c>
      <c r="AC99">
        <v>0.19242744682390978</v>
      </c>
      <c r="AD99">
        <v>0.17419474173371019</v>
      </c>
      <c r="AE99" t="s">
        <v>260</v>
      </c>
      <c r="AF99" t="s">
        <v>253</v>
      </c>
      <c r="AG99">
        <v>454.8</v>
      </c>
      <c r="AH99">
        <v>29</v>
      </c>
      <c r="AI99">
        <v>19</v>
      </c>
      <c r="AJ99">
        <v>12</v>
      </c>
      <c r="AK99">
        <v>27.4</v>
      </c>
      <c r="AL99">
        <v>85</v>
      </c>
      <c r="AM99">
        <v>5188</v>
      </c>
      <c r="AN99">
        <v>80</v>
      </c>
      <c r="AO99">
        <v>79</v>
      </c>
      <c r="AP99">
        <v>79</v>
      </c>
      <c r="AQ99">
        <v>4.5</v>
      </c>
      <c r="AR99" t="s">
        <v>29</v>
      </c>
      <c r="AS99" t="s">
        <v>265</v>
      </c>
      <c r="AT99" t="s">
        <v>253</v>
      </c>
      <c r="AU99">
        <v>154.28</v>
      </c>
      <c r="AV99">
        <v>25</v>
      </c>
      <c r="AW99">
        <v>10</v>
      </c>
      <c r="AX99">
        <v>6</v>
      </c>
      <c r="AY99">
        <v>27.6</v>
      </c>
      <c r="AZ99">
        <v>163</v>
      </c>
      <c r="BA99">
        <v>3781</v>
      </c>
      <c r="BB99">
        <v>77</v>
      </c>
      <c r="BC99">
        <v>76</v>
      </c>
      <c r="BD99">
        <v>76</v>
      </c>
      <c r="BE99">
        <v>4</v>
      </c>
      <c r="BF99" t="s">
        <v>46</v>
      </c>
      <c r="BG99">
        <v>-4</v>
      </c>
      <c r="BH99">
        <v>-2</v>
      </c>
      <c r="BI99">
        <v>0.34799999999999998</v>
      </c>
      <c r="BJ99" t="s">
        <v>267</v>
      </c>
      <c r="BK99">
        <v>0.57999999999999996</v>
      </c>
      <c r="BL99">
        <v>0.29270000000000002</v>
      </c>
      <c r="BM99">
        <v>1.82</v>
      </c>
      <c r="BN99">
        <v>0.98</v>
      </c>
    </row>
    <row r="100" spans="1:66" x14ac:dyDescent="0.25">
      <c r="A100" s="42">
        <v>1</v>
      </c>
      <c r="B100" s="4">
        <v>2</v>
      </c>
      <c r="C100" s="42"/>
      <c r="D100">
        <v>1.3625000000000003</v>
      </c>
      <c r="E100">
        <v>5.65</v>
      </c>
      <c r="F100">
        <v>7.875</v>
      </c>
      <c r="J100">
        <v>1.35</v>
      </c>
      <c r="K100">
        <v>5.5</v>
      </c>
      <c r="L100">
        <v>8</v>
      </c>
      <c r="M100">
        <v>1.36</v>
      </c>
      <c r="N100">
        <v>6</v>
      </c>
      <c r="O100">
        <v>7.8</v>
      </c>
      <c r="P100">
        <v>1.37</v>
      </c>
      <c r="Q100">
        <v>5.4</v>
      </c>
      <c r="R100">
        <v>7.6</v>
      </c>
      <c r="S100">
        <v>0.7470707426658445</v>
      </c>
      <c r="T100">
        <v>0.12686106950929438</v>
      </c>
      <c r="U100">
        <v>0.12606818782486126</v>
      </c>
      <c r="V100">
        <v>0.74998426197663581</v>
      </c>
      <c r="W100">
        <v>0.11924925131974567</v>
      </c>
      <c r="X100">
        <v>0.13076648670361857</v>
      </c>
      <c r="Y100">
        <v>0.73615119036972565</v>
      </c>
      <c r="Z100">
        <v>0.13114787136625802</v>
      </c>
      <c r="AA100">
        <v>0.13270093826401635</v>
      </c>
      <c r="AB100">
        <v>0.74555872397216549</v>
      </c>
      <c r="AC100">
        <v>0.12538548023092216</v>
      </c>
      <c r="AD100">
        <v>0.12905579579691245</v>
      </c>
      <c r="AE100" t="s">
        <v>25</v>
      </c>
      <c r="AF100" t="s">
        <v>26</v>
      </c>
      <c r="AG100">
        <v>507.83</v>
      </c>
      <c r="AH100">
        <v>29</v>
      </c>
      <c r="AI100">
        <v>21</v>
      </c>
      <c r="AJ100">
        <v>13</v>
      </c>
      <c r="AK100">
        <v>24.2</v>
      </c>
      <c r="AL100">
        <v>16</v>
      </c>
      <c r="AM100">
        <v>9221</v>
      </c>
      <c r="AN100">
        <v>81</v>
      </c>
      <c r="AO100">
        <v>81</v>
      </c>
      <c r="AP100">
        <v>79</v>
      </c>
      <c r="AQ100">
        <v>4.5</v>
      </c>
      <c r="AR100" t="s">
        <v>29</v>
      </c>
      <c r="AS100" t="s">
        <v>57</v>
      </c>
      <c r="AT100" t="s">
        <v>26</v>
      </c>
      <c r="AU100">
        <v>117.95</v>
      </c>
      <c r="AV100">
        <v>36</v>
      </c>
      <c r="AW100">
        <v>17</v>
      </c>
      <c r="AX100">
        <v>6</v>
      </c>
      <c r="AY100">
        <v>24</v>
      </c>
      <c r="AZ100">
        <v>234</v>
      </c>
      <c r="BA100">
        <v>2973</v>
      </c>
      <c r="BB100">
        <v>75</v>
      </c>
      <c r="BC100">
        <v>73</v>
      </c>
      <c r="BD100">
        <v>75</v>
      </c>
      <c r="BE100">
        <v>4</v>
      </c>
      <c r="BF100" t="s">
        <v>46</v>
      </c>
      <c r="BG100">
        <v>16</v>
      </c>
      <c r="BH100">
        <v>14</v>
      </c>
      <c r="BI100">
        <v>0.625</v>
      </c>
      <c r="BJ100" t="s">
        <v>273</v>
      </c>
      <c r="BK100">
        <v>0.55320000000000003</v>
      </c>
      <c r="BL100">
        <v>0.31430000000000002</v>
      </c>
      <c r="BM100">
        <v>2.2799999999999998</v>
      </c>
      <c r="BN100">
        <v>1.26</v>
      </c>
    </row>
    <row r="101" spans="1:66" x14ac:dyDescent="0.25">
      <c r="A101" s="42">
        <v>2</v>
      </c>
      <c r="B101" s="4">
        <v>0</v>
      </c>
      <c r="C101" s="42"/>
      <c r="D101">
        <v>2.895</v>
      </c>
      <c r="E101">
        <v>3.55</v>
      </c>
      <c r="F101">
        <v>2.4249999999999998</v>
      </c>
      <c r="J101">
        <v>2.85</v>
      </c>
      <c r="K101">
        <v>3.5</v>
      </c>
      <c r="L101">
        <v>2.38</v>
      </c>
      <c r="M101">
        <v>2.9</v>
      </c>
      <c r="N101">
        <v>3.7</v>
      </c>
      <c r="O101">
        <v>2.4</v>
      </c>
      <c r="P101">
        <v>2.88</v>
      </c>
      <c r="Q101">
        <v>3.4</v>
      </c>
      <c r="R101">
        <v>2.4700000000000002</v>
      </c>
      <c r="S101">
        <v>0.3417192084399775</v>
      </c>
      <c r="T101">
        <v>0.24907921842811659</v>
      </c>
      <c r="U101">
        <v>0.40920157313190586</v>
      </c>
      <c r="V101">
        <v>0.34496919917864477</v>
      </c>
      <c r="W101">
        <v>0.23819301848049282</v>
      </c>
      <c r="X101">
        <v>0.41683778234086244</v>
      </c>
      <c r="Y101">
        <v>0.34239808809624411</v>
      </c>
      <c r="Z101">
        <v>0.25836851363768987</v>
      </c>
      <c r="AA101">
        <v>0.39923339826606591</v>
      </c>
      <c r="AB101">
        <v>0.3427828182762096</v>
      </c>
      <c r="AC101">
        <v>0.24793653478903926</v>
      </c>
      <c r="AD101">
        <v>0.40928064693475108</v>
      </c>
      <c r="AE101" t="s">
        <v>274</v>
      </c>
      <c r="AF101" t="s">
        <v>26</v>
      </c>
      <c r="AG101">
        <v>205.55</v>
      </c>
      <c r="AH101">
        <v>29</v>
      </c>
      <c r="AI101">
        <v>21</v>
      </c>
      <c r="AJ101">
        <v>10</v>
      </c>
      <c r="AK101">
        <v>26.2</v>
      </c>
      <c r="AL101">
        <v>65</v>
      </c>
      <c r="AM101">
        <v>5919</v>
      </c>
      <c r="AN101">
        <v>77</v>
      </c>
      <c r="AO101">
        <v>77</v>
      </c>
      <c r="AP101">
        <v>78</v>
      </c>
      <c r="AQ101">
        <v>4</v>
      </c>
      <c r="AR101" t="s">
        <v>46</v>
      </c>
      <c r="AS101" t="s">
        <v>49</v>
      </c>
      <c r="AT101" t="s">
        <v>26</v>
      </c>
      <c r="AU101">
        <v>406.85</v>
      </c>
      <c r="AV101">
        <v>28</v>
      </c>
      <c r="AW101">
        <v>16</v>
      </c>
      <c r="AX101">
        <v>13</v>
      </c>
      <c r="AY101">
        <v>25.6</v>
      </c>
      <c r="AZ101">
        <v>22</v>
      </c>
      <c r="BA101">
        <v>8083</v>
      </c>
      <c r="BB101">
        <v>80</v>
      </c>
      <c r="BC101">
        <v>80</v>
      </c>
      <c r="BD101">
        <v>79</v>
      </c>
      <c r="BE101">
        <v>4.5</v>
      </c>
      <c r="BF101" t="s">
        <v>46</v>
      </c>
      <c r="BG101">
        <v>-12</v>
      </c>
      <c r="BH101">
        <v>-5</v>
      </c>
      <c r="BI101">
        <v>0.38800000000000001</v>
      </c>
      <c r="BJ101" t="s">
        <v>273</v>
      </c>
      <c r="BK101">
        <v>0.41299999999999998</v>
      </c>
      <c r="BL101">
        <v>0.58850000000000002</v>
      </c>
      <c r="BM101">
        <v>1.5</v>
      </c>
      <c r="BN101">
        <v>1.78</v>
      </c>
    </row>
    <row r="102" spans="1:66" x14ac:dyDescent="0.25">
      <c r="A102" s="42">
        <v>3</v>
      </c>
      <c r="B102" s="4">
        <v>-3</v>
      </c>
      <c r="C102" s="42"/>
      <c r="D102">
        <v>8.5749999999999993</v>
      </c>
      <c r="E102">
        <v>4.95</v>
      </c>
      <c r="F102">
        <v>1.3599999999999999</v>
      </c>
      <c r="J102">
        <v>8.5</v>
      </c>
      <c r="K102">
        <v>4.8</v>
      </c>
      <c r="L102">
        <v>1.34</v>
      </c>
      <c r="M102">
        <v>8.8000000000000007</v>
      </c>
      <c r="N102">
        <v>5.2</v>
      </c>
      <c r="O102">
        <v>1.38</v>
      </c>
      <c r="P102">
        <v>8.5</v>
      </c>
      <c r="Q102">
        <v>5</v>
      </c>
      <c r="R102">
        <v>1.38</v>
      </c>
      <c r="S102">
        <v>0.11727278489344378</v>
      </c>
      <c r="T102">
        <v>0.13883268406605465</v>
      </c>
      <c r="U102">
        <v>0.74389453104050163</v>
      </c>
      <c r="V102">
        <v>0.11763082919235716</v>
      </c>
      <c r="W102">
        <v>0.1322595353781188</v>
      </c>
      <c r="X102">
        <v>0.75010963542952402</v>
      </c>
      <c r="Y102">
        <v>0.12049890676867037</v>
      </c>
      <c r="Z102">
        <v>0.13729768197502654</v>
      </c>
      <c r="AA102">
        <v>0.74220341125630307</v>
      </c>
      <c r="AB102">
        <v>0.11816882643697878</v>
      </c>
      <c r="AC102">
        <v>0.13680564637131365</v>
      </c>
      <c r="AD102">
        <v>0.74502552719170745</v>
      </c>
      <c r="AE102" t="s">
        <v>40</v>
      </c>
      <c r="AF102" t="s">
        <v>23</v>
      </c>
      <c r="AG102">
        <v>176.8</v>
      </c>
      <c r="AH102">
        <v>30</v>
      </c>
      <c r="AI102">
        <v>14</v>
      </c>
      <c r="AJ102">
        <v>4</v>
      </c>
      <c r="AK102">
        <v>23.5</v>
      </c>
      <c r="AL102">
        <v>255</v>
      </c>
      <c r="AM102">
        <v>2803</v>
      </c>
      <c r="AN102">
        <v>74</v>
      </c>
      <c r="AO102">
        <v>76</v>
      </c>
      <c r="AP102">
        <v>74</v>
      </c>
      <c r="AQ102">
        <v>4</v>
      </c>
      <c r="AR102" t="s">
        <v>28</v>
      </c>
      <c r="AS102" t="s">
        <v>10</v>
      </c>
      <c r="AT102" t="s">
        <v>23</v>
      </c>
      <c r="AU102">
        <v>801.45</v>
      </c>
      <c r="AV102">
        <v>31</v>
      </c>
      <c r="AW102">
        <v>21</v>
      </c>
      <c r="AX102">
        <v>13</v>
      </c>
      <c r="AY102">
        <v>25.6</v>
      </c>
      <c r="AZ102">
        <v>12</v>
      </c>
      <c r="BA102">
        <v>9495</v>
      </c>
      <c r="BB102">
        <v>88</v>
      </c>
      <c r="BC102">
        <v>84</v>
      </c>
      <c r="BD102">
        <v>83</v>
      </c>
      <c r="BE102">
        <v>5</v>
      </c>
      <c r="BF102" t="s">
        <v>28</v>
      </c>
      <c r="BG102">
        <v>-27</v>
      </c>
      <c r="BH102">
        <v>-15</v>
      </c>
      <c r="BI102">
        <v>0.28100000000000003</v>
      </c>
      <c r="BJ102" t="s">
        <v>266</v>
      </c>
      <c r="BK102">
        <v>0.40629999999999999</v>
      </c>
      <c r="BL102">
        <v>0.81630000000000003</v>
      </c>
      <c r="BM102">
        <v>1.5</v>
      </c>
      <c r="BN102">
        <v>2.78</v>
      </c>
    </row>
    <row r="103" spans="1:66" x14ac:dyDescent="0.25">
      <c r="A103" s="42">
        <v>1</v>
      </c>
      <c r="B103" s="4">
        <v>1</v>
      </c>
      <c r="C103" s="42"/>
      <c r="D103">
        <v>2.6225000000000001</v>
      </c>
      <c r="E103">
        <v>2.8499999999999996</v>
      </c>
      <c r="F103">
        <v>3.1124999999999998</v>
      </c>
      <c r="J103">
        <v>2.6</v>
      </c>
      <c r="K103">
        <v>2.8</v>
      </c>
      <c r="L103">
        <v>3</v>
      </c>
      <c r="M103">
        <v>2.65</v>
      </c>
      <c r="N103">
        <v>2.9</v>
      </c>
      <c r="O103">
        <v>3.25</v>
      </c>
      <c r="P103">
        <v>2.64</v>
      </c>
      <c r="Q103">
        <v>2.85</v>
      </c>
      <c r="R103">
        <v>3.15</v>
      </c>
      <c r="S103">
        <v>0.36963434022257546</v>
      </c>
      <c r="T103">
        <v>0.31001589825119236</v>
      </c>
      <c r="U103">
        <v>0.32034976152623212</v>
      </c>
      <c r="V103">
        <v>0.38308531015176073</v>
      </c>
      <c r="W103">
        <v>0.30455282157064972</v>
      </c>
      <c r="X103">
        <v>0.31236186827758949</v>
      </c>
      <c r="Y103">
        <v>0.37658645998734158</v>
      </c>
      <c r="Z103">
        <v>0.30779822116612437</v>
      </c>
      <c r="AA103">
        <v>0.31561531884653393</v>
      </c>
      <c r="AB103">
        <v>0.37598709545433784</v>
      </c>
      <c r="AC103">
        <v>0.30708937182694596</v>
      </c>
      <c r="AD103">
        <v>0.31692353271871609</v>
      </c>
      <c r="AE103" t="s">
        <v>48</v>
      </c>
      <c r="AF103" t="s">
        <v>23</v>
      </c>
      <c r="AG103">
        <v>62.58</v>
      </c>
      <c r="AH103">
        <v>32</v>
      </c>
      <c r="AI103">
        <v>21</v>
      </c>
      <c r="AJ103">
        <v>10</v>
      </c>
      <c r="AK103">
        <v>24.9</v>
      </c>
      <c r="AL103">
        <v>426</v>
      </c>
      <c r="AM103">
        <v>1736</v>
      </c>
      <c r="AN103">
        <v>73</v>
      </c>
      <c r="AO103">
        <v>72</v>
      </c>
      <c r="AP103">
        <v>72</v>
      </c>
      <c r="AQ103">
        <v>3.5</v>
      </c>
      <c r="AR103" t="s">
        <v>46</v>
      </c>
      <c r="AS103" t="s">
        <v>37</v>
      </c>
      <c r="AT103" t="s">
        <v>23</v>
      </c>
      <c r="AU103">
        <v>73.25</v>
      </c>
      <c r="AV103">
        <v>26</v>
      </c>
      <c r="AW103">
        <v>17</v>
      </c>
      <c r="AX103">
        <v>8</v>
      </c>
      <c r="AY103">
        <v>23.9</v>
      </c>
      <c r="AZ103">
        <v>223</v>
      </c>
      <c r="BA103">
        <v>3054</v>
      </c>
      <c r="BB103">
        <v>71</v>
      </c>
      <c r="BC103">
        <v>73</v>
      </c>
      <c r="BD103">
        <v>73</v>
      </c>
      <c r="BE103">
        <v>3.5</v>
      </c>
      <c r="BF103" t="s">
        <v>29</v>
      </c>
      <c r="BG103">
        <v>3</v>
      </c>
      <c r="BH103">
        <v>17</v>
      </c>
      <c r="BI103">
        <v>0.33300000000000002</v>
      </c>
      <c r="BJ103" t="s">
        <v>266</v>
      </c>
      <c r="BK103">
        <v>0.26669999999999999</v>
      </c>
      <c r="BL103">
        <v>0.35289999999999999</v>
      </c>
      <c r="BM103">
        <v>0.93</v>
      </c>
      <c r="BN103">
        <v>0.88</v>
      </c>
    </row>
    <row r="104" spans="1:66" x14ac:dyDescent="0.25">
      <c r="A104" s="42">
        <v>1</v>
      </c>
      <c r="B104" s="4">
        <v>3</v>
      </c>
      <c r="C104" s="42"/>
      <c r="D104">
        <v>2.0775000000000001</v>
      </c>
      <c r="E104">
        <v>3.2625000000000002</v>
      </c>
      <c r="F104">
        <v>3.75</v>
      </c>
      <c r="J104">
        <v>2.0699999999999998</v>
      </c>
      <c r="K104">
        <v>3.2</v>
      </c>
      <c r="L104">
        <v>3.55</v>
      </c>
      <c r="M104">
        <v>2.06</v>
      </c>
      <c r="N104">
        <v>3.35</v>
      </c>
      <c r="O104">
        <v>4</v>
      </c>
      <c r="P104">
        <v>2.08</v>
      </c>
      <c r="Q104">
        <v>3.25</v>
      </c>
      <c r="R104">
        <v>3.85</v>
      </c>
      <c r="S104">
        <v>0.46473154398621846</v>
      </c>
      <c r="T104">
        <v>0.26428414726688793</v>
      </c>
      <c r="U104">
        <v>0.27098430874689355</v>
      </c>
      <c r="V104">
        <v>0.49219322287793116</v>
      </c>
      <c r="W104">
        <v>0.25432726733993433</v>
      </c>
      <c r="X104">
        <v>0.25347950978213452</v>
      </c>
      <c r="Y104">
        <v>0.47934238087924369</v>
      </c>
      <c r="Z104">
        <v>0.26168822893145066</v>
      </c>
      <c r="AA104">
        <v>0.2589693901893057</v>
      </c>
      <c r="AB104">
        <v>0.47557164130478036</v>
      </c>
      <c r="AC104">
        <v>0.26060889146709254</v>
      </c>
      <c r="AD104">
        <v>0.26381946722812716</v>
      </c>
      <c r="AE104" t="s">
        <v>38</v>
      </c>
      <c r="AF104" t="s">
        <v>23</v>
      </c>
      <c r="AG104">
        <v>82.2</v>
      </c>
      <c r="AH104">
        <v>30</v>
      </c>
      <c r="AI104">
        <v>12</v>
      </c>
      <c r="AJ104">
        <v>5</v>
      </c>
      <c r="AK104">
        <v>25.7</v>
      </c>
      <c r="AL104">
        <v>228</v>
      </c>
      <c r="AM104">
        <v>3029</v>
      </c>
      <c r="AN104">
        <v>78</v>
      </c>
      <c r="AO104">
        <v>74</v>
      </c>
      <c r="AP104">
        <v>75</v>
      </c>
      <c r="AQ104">
        <v>4</v>
      </c>
      <c r="AR104" t="s">
        <v>29</v>
      </c>
      <c r="AS104" t="s">
        <v>41</v>
      </c>
      <c r="AT104" t="s">
        <v>23</v>
      </c>
      <c r="AU104">
        <v>82.35</v>
      </c>
      <c r="AV104">
        <v>31</v>
      </c>
      <c r="AW104">
        <v>16</v>
      </c>
      <c r="AX104">
        <v>8</v>
      </c>
      <c r="AY104">
        <v>26.4</v>
      </c>
      <c r="AZ104">
        <v>266</v>
      </c>
      <c r="BA104">
        <v>2690</v>
      </c>
      <c r="BB104">
        <v>74</v>
      </c>
      <c r="BC104">
        <v>75</v>
      </c>
      <c r="BD104">
        <v>74</v>
      </c>
      <c r="BE104">
        <v>3.5</v>
      </c>
      <c r="BF104" t="s">
        <v>29</v>
      </c>
      <c r="BG104">
        <v>3</v>
      </c>
      <c r="BH104">
        <v>17</v>
      </c>
      <c r="BI104">
        <v>0.33300000000000002</v>
      </c>
      <c r="BJ104" t="s">
        <v>266</v>
      </c>
      <c r="BK104">
        <v>0.42420000000000002</v>
      </c>
      <c r="BL104">
        <v>0.40629999999999999</v>
      </c>
      <c r="BM104">
        <v>1.33</v>
      </c>
      <c r="BN104">
        <v>1.28</v>
      </c>
    </row>
    <row r="105" spans="1:66" x14ac:dyDescent="0.25">
      <c r="A105" s="42">
        <v>2</v>
      </c>
      <c r="B105" s="4">
        <v>0</v>
      </c>
      <c r="C105" s="42"/>
      <c r="D105">
        <v>2.355</v>
      </c>
      <c r="E105">
        <v>3.2125000000000004</v>
      </c>
      <c r="F105">
        <v>3.1375000000000002</v>
      </c>
      <c r="J105">
        <v>2.2999999999999998</v>
      </c>
      <c r="K105">
        <v>3.2</v>
      </c>
      <c r="L105">
        <v>3</v>
      </c>
      <c r="M105">
        <v>2.39</v>
      </c>
      <c r="N105">
        <v>3.25</v>
      </c>
      <c r="O105">
        <v>3.3</v>
      </c>
      <c r="P105">
        <v>2.4</v>
      </c>
      <c r="Q105">
        <v>3.15</v>
      </c>
      <c r="R105">
        <v>3.2</v>
      </c>
      <c r="S105">
        <v>0.41363163371488032</v>
      </c>
      <c r="T105">
        <v>0.2692507804370447</v>
      </c>
      <c r="U105">
        <v>0.31711758584807487</v>
      </c>
      <c r="V105">
        <v>0.42283421559770118</v>
      </c>
      <c r="W105">
        <v>0.27093130704517582</v>
      </c>
      <c r="X105">
        <v>0.306234477357123</v>
      </c>
      <c r="Y105">
        <v>0.41272902603664419</v>
      </c>
      <c r="Z105">
        <v>0.2777242044358727</v>
      </c>
      <c r="AA105">
        <v>0.30954676952748311</v>
      </c>
      <c r="AB105">
        <v>0.41618844745419303</v>
      </c>
      <c r="AC105">
        <v>0.27122190414055614</v>
      </c>
      <c r="AD105">
        <v>0.31258964840525083</v>
      </c>
      <c r="AE105" t="s">
        <v>39</v>
      </c>
      <c r="AF105" t="s">
        <v>23</v>
      </c>
      <c r="AG105">
        <v>86.83</v>
      </c>
      <c r="AH105">
        <v>30</v>
      </c>
      <c r="AI105">
        <v>14</v>
      </c>
      <c r="AJ105">
        <v>6</v>
      </c>
      <c r="AK105">
        <v>25.1</v>
      </c>
      <c r="AL105">
        <v>229</v>
      </c>
      <c r="AM105">
        <v>3029</v>
      </c>
      <c r="AN105">
        <v>75</v>
      </c>
      <c r="AO105">
        <v>73</v>
      </c>
      <c r="AP105">
        <v>74</v>
      </c>
      <c r="AQ105">
        <v>3.5</v>
      </c>
      <c r="AR105" t="s">
        <v>29</v>
      </c>
      <c r="AS105" t="s">
        <v>35</v>
      </c>
      <c r="AT105" t="s">
        <v>23</v>
      </c>
      <c r="AU105">
        <v>87.33</v>
      </c>
      <c r="AV105">
        <v>31</v>
      </c>
      <c r="AW105">
        <v>10</v>
      </c>
      <c r="AX105">
        <v>4</v>
      </c>
      <c r="AY105">
        <v>25.4</v>
      </c>
      <c r="AZ105">
        <v>169</v>
      </c>
      <c r="BA105">
        <v>3749</v>
      </c>
      <c r="BB105">
        <v>73</v>
      </c>
      <c r="BC105">
        <v>76</v>
      </c>
      <c r="BD105">
        <v>74</v>
      </c>
      <c r="BE105">
        <v>4</v>
      </c>
      <c r="BF105" t="s">
        <v>29</v>
      </c>
      <c r="BG105">
        <v>-2</v>
      </c>
      <c r="BH105">
        <v>23</v>
      </c>
      <c r="BI105">
        <v>0.29799999999999999</v>
      </c>
      <c r="BJ105" t="s">
        <v>266</v>
      </c>
      <c r="BK105">
        <v>0.40629999999999999</v>
      </c>
      <c r="BL105">
        <v>0.33329999999999999</v>
      </c>
      <c r="BM105">
        <v>1.28</v>
      </c>
      <c r="BN105">
        <v>1.17</v>
      </c>
    </row>
    <row r="106" spans="1:66" x14ac:dyDescent="0.25">
      <c r="A106" s="42">
        <v>2</v>
      </c>
      <c r="B106" s="4">
        <v>0</v>
      </c>
      <c r="C106" s="42"/>
      <c r="D106">
        <v>2.355</v>
      </c>
      <c r="E106">
        <v>3.2</v>
      </c>
      <c r="F106">
        <v>3.1624999999999996</v>
      </c>
      <c r="J106">
        <v>2.33</v>
      </c>
      <c r="K106">
        <v>3.2</v>
      </c>
      <c r="L106">
        <v>3</v>
      </c>
      <c r="M106">
        <v>2.38</v>
      </c>
      <c r="N106">
        <v>3.25</v>
      </c>
      <c r="O106">
        <v>3.35</v>
      </c>
      <c r="P106">
        <v>2.36</v>
      </c>
      <c r="Q106">
        <v>3.15</v>
      </c>
      <c r="R106">
        <v>3.25</v>
      </c>
      <c r="S106">
        <v>0.41080590870035133</v>
      </c>
      <c r="T106">
        <v>0.27013483554237583</v>
      </c>
      <c r="U106">
        <v>0.31905925575727284</v>
      </c>
      <c r="V106">
        <v>0.42621299717108002</v>
      </c>
      <c r="W106">
        <v>0.27098493319692879</v>
      </c>
      <c r="X106">
        <v>0.30280206963199113</v>
      </c>
      <c r="Y106">
        <v>0.41889759799550147</v>
      </c>
      <c r="Z106">
        <v>0.27691830007545748</v>
      </c>
      <c r="AA106">
        <v>0.304184101929041</v>
      </c>
      <c r="AB106">
        <v>0.41688645103847033</v>
      </c>
      <c r="AC106">
        <v>0.27231294166684444</v>
      </c>
      <c r="AD106">
        <v>0.31080060729468517</v>
      </c>
      <c r="AE106" t="s">
        <v>34</v>
      </c>
      <c r="AF106" t="s">
        <v>23</v>
      </c>
      <c r="AG106">
        <v>224.6</v>
      </c>
      <c r="AH106">
        <v>35</v>
      </c>
      <c r="AI106">
        <v>11</v>
      </c>
      <c r="AJ106">
        <v>8</v>
      </c>
      <c r="AK106">
        <v>24.6</v>
      </c>
      <c r="AL106">
        <v>145</v>
      </c>
      <c r="AM106">
        <v>4008</v>
      </c>
      <c r="AN106">
        <v>80</v>
      </c>
      <c r="AO106">
        <v>78</v>
      </c>
      <c r="AP106">
        <v>77</v>
      </c>
      <c r="AQ106">
        <v>4</v>
      </c>
      <c r="AR106" t="s">
        <v>29</v>
      </c>
      <c r="AS106" t="s">
        <v>33</v>
      </c>
      <c r="AT106" t="s">
        <v>23</v>
      </c>
      <c r="AU106">
        <v>287.7</v>
      </c>
      <c r="AV106">
        <v>27</v>
      </c>
      <c r="AW106">
        <v>18</v>
      </c>
      <c r="AX106">
        <v>10</v>
      </c>
      <c r="AY106">
        <v>23.7</v>
      </c>
      <c r="AZ106">
        <v>131</v>
      </c>
      <c r="BA106">
        <v>4207</v>
      </c>
      <c r="BB106">
        <v>77</v>
      </c>
      <c r="BC106">
        <v>77</v>
      </c>
      <c r="BD106">
        <v>76</v>
      </c>
      <c r="BE106">
        <v>4</v>
      </c>
      <c r="BF106" t="s">
        <v>29</v>
      </c>
      <c r="BG106">
        <v>33</v>
      </c>
      <c r="BH106">
        <v>63</v>
      </c>
      <c r="BI106">
        <v>0.50800000000000001</v>
      </c>
      <c r="BJ106" t="s">
        <v>266</v>
      </c>
      <c r="BK106">
        <v>0.54549999999999998</v>
      </c>
      <c r="BL106">
        <v>0.47499999999999998</v>
      </c>
      <c r="BM106">
        <v>1.48</v>
      </c>
      <c r="BN106">
        <v>1.3</v>
      </c>
    </row>
    <row r="107" spans="1:66" x14ac:dyDescent="0.25">
      <c r="A107" s="42">
        <v>2</v>
      </c>
      <c r="B107" s="4">
        <v>0</v>
      </c>
      <c r="C107" s="42"/>
      <c r="D107">
        <v>2.6574999999999998</v>
      </c>
      <c r="E107">
        <v>3.0250000000000004</v>
      </c>
      <c r="F107">
        <v>2.6875</v>
      </c>
      <c r="J107">
        <v>2.5499999999999998</v>
      </c>
      <c r="K107">
        <v>2.95</v>
      </c>
      <c r="L107">
        <v>2.63</v>
      </c>
      <c r="M107">
        <v>2.76</v>
      </c>
      <c r="N107">
        <v>3.05</v>
      </c>
      <c r="O107">
        <v>2.75</v>
      </c>
      <c r="P107">
        <v>2.72</v>
      </c>
      <c r="Q107">
        <v>3.1</v>
      </c>
      <c r="R107">
        <v>2.72</v>
      </c>
      <c r="S107">
        <v>0.36015999791985376</v>
      </c>
      <c r="T107">
        <v>0.29063544135937563</v>
      </c>
      <c r="U107">
        <v>0.34920456072077077</v>
      </c>
      <c r="V107">
        <v>0.35528951460954533</v>
      </c>
      <c r="W107">
        <v>0.28812900890960191</v>
      </c>
      <c r="X107">
        <v>0.3565814764808527</v>
      </c>
      <c r="Y107">
        <v>0.35852981969486819</v>
      </c>
      <c r="Z107">
        <v>0.28294036061026345</v>
      </c>
      <c r="AA107">
        <v>0.35852981969486819</v>
      </c>
      <c r="AB107">
        <v>0.35838628488781715</v>
      </c>
      <c r="AC107">
        <v>0.28733936418521056</v>
      </c>
      <c r="AD107">
        <v>0.35427435092697229</v>
      </c>
      <c r="AE107" t="s">
        <v>110</v>
      </c>
      <c r="AF107" t="s">
        <v>108</v>
      </c>
      <c r="AG107">
        <v>68.63</v>
      </c>
      <c r="AH107">
        <v>35</v>
      </c>
      <c r="AI107">
        <v>2</v>
      </c>
      <c r="AJ107">
        <v>3</v>
      </c>
      <c r="AK107">
        <v>27.4</v>
      </c>
      <c r="AL107">
        <v>9</v>
      </c>
      <c r="AM107">
        <v>10366</v>
      </c>
      <c r="AN107">
        <v>72</v>
      </c>
      <c r="AO107">
        <v>75</v>
      </c>
      <c r="AP107">
        <v>74</v>
      </c>
      <c r="AQ107">
        <v>4</v>
      </c>
      <c r="AR107" t="s">
        <v>29</v>
      </c>
      <c r="AS107" t="s">
        <v>109</v>
      </c>
      <c r="AT107" t="s">
        <v>108</v>
      </c>
      <c r="AU107">
        <v>89.45</v>
      </c>
      <c r="AV107">
        <v>31</v>
      </c>
      <c r="AW107">
        <v>4</v>
      </c>
      <c r="AX107">
        <v>4</v>
      </c>
      <c r="AY107">
        <v>27.3</v>
      </c>
      <c r="AZ107">
        <v>5</v>
      </c>
      <c r="BA107">
        <v>11026</v>
      </c>
      <c r="BB107">
        <v>79</v>
      </c>
      <c r="BC107">
        <v>76</v>
      </c>
      <c r="BD107">
        <v>74</v>
      </c>
      <c r="BE107">
        <v>4</v>
      </c>
      <c r="BF107" t="s">
        <v>29</v>
      </c>
      <c r="BG107">
        <v>-7</v>
      </c>
      <c r="BH107">
        <v>-2</v>
      </c>
      <c r="BI107">
        <v>0.28100000000000003</v>
      </c>
      <c r="BJ107" t="s">
        <v>236</v>
      </c>
      <c r="BK107">
        <v>0.47299999999999998</v>
      </c>
      <c r="BL107">
        <v>0.50649999999999995</v>
      </c>
      <c r="BM107">
        <v>1.36</v>
      </c>
      <c r="BN107">
        <v>1.56</v>
      </c>
    </row>
    <row r="108" spans="1:66" x14ac:dyDescent="0.25">
      <c r="A108" s="42">
        <v>2</v>
      </c>
      <c r="B108" s="4">
        <v>0</v>
      </c>
      <c r="C108" s="42"/>
      <c r="D108">
        <v>2.6399999999999997</v>
      </c>
      <c r="E108">
        <v>3.2875000000000001</v>
      </c>
      <c r="F108">
        <v>2.5024999999999999</v>
      </c>
      <c r="J108">
        <v>2.63</v>
      </c>
      <c r="K108">
        <v>3.15</v>
      </c>
      <c r="L108">
        <v>2.4300000000000002</v>
      </c>
      <c r="M108">
        <v>2.65</v>
      </c>
      <c r="N108">
        <v>3.45</v>
      </c>
      <c r="O108">
        <v>2.5499999999999998</v>
      </c>
      <c r="P108">
        <v>2.63</v>
      </c>
      <c r="Q108">
        <v>3.4</v>
      </c>
      <c r="R108">
        <v>2.58</v>
      </c>
      <c r="S108">
        <v>0.34978741129149943</v>
      </c>
      <c r="T108">
        <v>0.27163609006790657</v>
      </c>
      <c r="U108">
        <v>0.37857649864059401</v>
      </c>
      <c r="V108">
        <v>0.36623060351556397</v>
      </c>
      <c r="W108">
        <v>0.25317680851728119</v>
      </c>
      <c r="X108">
        <v>0.38059258796715473</v>
      </c>
      <c r="Y108">
        <v>0.36805400516893638</v>
      </c>
      <c r="Z108">
        <v>0.2567591601045896</v>
      </c>
      <c r="AA108">
        <v>0.37518683472647391</v>
      </c>
      <c r="AB108">
        <v>0.35839868264007146</v>
      </c>
      <c r="AC108">
        <v>0.26349854283776475</v>
      </c>
      <c r="AD108">
        <v>0.37810277452216368</v>
      </c>
      <c r="AE108" t="s">
        <v>123</v>
      </c>
      <c r="AF108" t="s">
        <v>108</v>
      </c>
      <c r="AG108">
        <v>23.65</v>
      </c>
      <c r="AH108">
        <v>37</v>
      </c>
      <c r="AI108">
        <v>6</v>
      </c>
      <c r="AJ108">
        <v>2</v>
      </c>
      <c r="AK108">
        <v>25</v>
      </c>
      <c r="AL108">
        <v>155</v>
      </c>
      <c r="AM108">
        <v>3912</v>
      </c>
      <c r="AN108">
        <v>73</v>
      </c>
      <c r="AO108">
        <v>72</v>
      </c>
      <c r="AP108">
        <v>71</v>
      </c>
      <c r="AQ108">
        <v>3.5</v>
      </c>
      <c r="AR108" t="s">
        <v>29</v>
      </c>
      <c r="AS108" t="s">
        <v>114</v>
      </c>
      <c r="AT108" t="s">
        <v>108</v>
      </c>
      <c r="AU108">
        <v>41.98</v>
      </c>
      <c r="AV108">
        <v>33</v>
      </c>
      <c r="AW108">
        <v>5</v>
      </c>
      <c r="AX108">
        <v>1</v>
      </c>
      <c r="AY108">
        <v>25.2</v>
      </c>
      <c r="AZ108">
        <v>40</v>
      </c>
      <c r="BA108">
        <v>7098</v>
      </c>
      <c r="BB108">
        <v>74</v>
      </c>
      <c r="BC108">
        <v>73</v>
      </c>
      <c r="BD108">
        <v>73</v>
      </c>
      <c r="BE108">
        <v>3.5</v>
      </c>
      <c r="BF108" t="s">
        <v>29</v>
      </c>
      <c r="BG108">
        <v>-14</v>
      </c>
      <c r="BH108">
        <v>-4</v>
      </c>
      <c r="BI108">
        <v>0.28599999999999998</v>
      </c>
      <c r="BJ108" t="s">
        <v>236</v>
      </c>
      <c r="BK108">
        <v>0.22409999999999999</v>
      </c>
      <c r="BL108">
        <v>0.39389999999999997</v>
      </c>
      <c r="BM108">
        <v>0.91</v>
      </c>
      <c r="BN108">
        <v>1.3</v>
      </c>
    </row>
    <row r="109" spans="1:66" x14ac:dyDescent="0.25">
      <c r="A109" s="4">
        <v>1</v>
      </c>
      <c r="B109" s="4">
        <v>3</v>
      </c>
      <c r="C109" s="4"/>
      <c r="D109">
        <v>2.4499999999999997</v>
      </c>
      <c r="E109">
        <v>3.3125</v>
      </c>
      <c r="F109">
        <v>2.8449999999999998</v>
      </c>
      <c r="J109">
        <v>2.35</v>
      </c>
      <c r="K109">
        <v>3.3</v>
      </c>
      <c r="L109">
        <v>2.8</v>
      </c>
      <c r="M109">
        <v>2.5</v>
      </c>
      <c r="N109">
        <v>3.4</v>
      </c>
      <c r="O109">
        <v>2.9</v>
      </c>
      <c r="P109">
        <v>2.6</v>
      </c>
      <c r="Q109">
        <v>3.25</v>
      </c>
      <c r="R109">
        <v>2.78</v>
      </c>
      <c r="S109">
        <v>0.40175885211756535</v>
      </c>
      <c r="T109">
        <v>0.26105068271233517</v>
      </c>
      <c r="U109">
        <v>0.33719046517009954</v>
      </c>
      <c r="V109">
        <v>0.39773404889683961</v>
      </c>
      <c r="W109">
        <v>0.25939177101967792</v>
      </c>
      <c r="X109">
        <v>0.34287418008348242</v>
      </c>
      <c r="Y109">
        <v>0.37705065172080221</v>
      </c>
      <c r="Z109">
        <v>0.27031204810866333</v>
      </c>
      <c r="AA109">
        <v>0.35263730017053446</v>
      </c>
      <c r="AB109">
        <v>0.39600288847251319</v>
      </c>
      <c r="AC109">
        <v>0.2632742283857778</v>
      </c>
      <c r="AD109">
        <v>0.34072288314170907</v>
      </c>
      <c r="AE109" t="s">
        <v>66</v>
      </c>
      <c r="AF109" t="s">
        <v>63</v>
      </c>
      <c r="AG109">
        <v>23.33</v>
      </c>
      <c r="AH109">
        <v>27</v>
      </c>
      <c r="AI109">
        <v>2</v>
      </c>
      <c r="AJ109">
        <v>1</v>
      </c>
      <c r="AK109">
        <v>29.3</v>
      </c>
      <c r="AL109">
        <v>93</v>
      </c>
      <c r="AM109">
        <v>5011</v>
      </c>
      <c r="AN109">
        <v>74</v>
      </c>
      <c r="AO109">
        <v>69</v>
      </c>
      <c r="AP109">
        <v>68</v>
      </c>
      <c r="AQ109">
        <v>3</v>
      </c>
      <c r="AR109" t="s">
        <v>28</v>
      </c>
      <c r="AS109" t="s">
        <v>133</v>
      </c>
      <c r="AT109" t="s">
        <v>134</v>
      </c>
      <c r="AU109">
        <v>11.73</v>
      </c>
      <c r="AV109">
        <v>21</v>
      </c>
      <c r="AW109">
        <v>7</v>
      </c>
      <c r="AX109">
        <v>2</v>
      </c>
      <c r="AY109">
        <v>27.2</v>
      </c>
      <c r="AZ109">
        <v>192</v>
      </c>
      <c r="BA109">
        <v>3470</v>
      </c>
      <c r="BB109">
        <v>67</v>
      </c>
      <c r="BC109">
        <v>72</v>
      </c>
      <c r="BD109">
        <v>68</v>
      </c>
      <c r="BE109">
        <v>3</v>
      </c>
      <c r="BF109" t="s">
        <v>29</v>
      </c>
      <c r="BG109">
        <v>-3</v>
      </c>
      <c r="BH109">
        <v>-3</v>
      </c>
      <c r="BI109">
        <v>0</v>
      </c>
      <c r="BJ109" t="s">
        <v>271</v>
      </c>
      <c r="BK109">
        <v>0.4</v>
      </c>
      <c r="BL109">
        <v>0.5</v>
      </c>
      <c r="BM109">
        <v>1.28</v>
      </c>
      <c r="BN109">
        <v>1.95</v>
      </c>
    </row>
    <row r="110" spans="1:66" x14ac:dyDescent="0.25">
      <c r="A110" s="4">
        <v>1</v>
      </c>
      <c r="B110" s="4">
        <v>2</v>
      </c>
      <c r="C110" s="4"/>
      <c r="D110">
        <v>3.0625</v>
      </c>
      <c r="E110">
        <v>3.2250000000000001</v>
      </c>
      <c r="F110">
        <v>2.3374999999999999</v>
      </c>
      <c r="J110">
        <v>3</v>
      </c>
      <c r="K110">
        <v>3.25</v>
      </c>
      <c r="L110">
        <v>2.35</v>
      </c>
      <c r="M110">
        <v>3.1</v>
      </c>
      <c r="N110">
        <v>3.2</v>
      </c>
      <c r="O110">
        <v>2.33</v>
      </c>
      <c r="P110">
        <v>3.15</v>
      </c>
      <c r="Q110">
        <v>3.2</v>
      </c>
      <c r="R110">
        <v>2.3199999999999998</v>
      </c>
      <c r="S110">
        <v>0.32194829382240608</v>
      </c>
      <c r="T110">
        <v>0.26705388427665017</v>
      </c>
      <c r="U110">
        <v>0.41099782190094386</v>
      </c>
      <c r="V110">
        <v>0.312773588847646</v>
      </c>
      <c r="W110">
        <v>0.27108987663402678</v>
      </c>
      <c r="X110">
        <v>0.41613653451832727</v>
      </c>
      <c r="Y110">
        <v>0.30910028836197773</v>
      </c>
      <c r="Z110">
        <v>0.27121613045688853</v>
      </c>
      <c r="AA110">
        <v>0.41968358118113358</v>
      </c>
      <c r="AB110">
        <v>0.31644261621360897</v>
      </c>
      <c r="AC110">
        <v>0.2691034439110539</v>
      </c>
      <c r="AD110">
        <v>0.41445393987533713</v>
      </c>
      <c r="AE110" t="s">
        <v>73</v>
      </c>
      <c r="AF110" t="s">
        <v>63</v>
      </c>
      <c r="AG110">
        <v>10.88</v>
      </c>
      <c r="AH110">
        <v>26</v>
      </c>
      <c r="AI110">
        <v>4</v>
      </c>
      <c r="AJ110">
        <v>2</v>
      </c>
      <c r="AK110">
        <v>26.5</v>
      </c>
      <c r="AL110">
        <v>237</v>
      </c>
      <c r="AM110">
        <v>2952</v>
      </c>
      <c r="AN110">
        <v>69</v>
      </c>
      <c r="AO110">
        <v>68</v>
      </c>
      <c r="AP110">
        <v>68</v>
      </c>
      <c r="AQ110">
        <v>2.5</v>
      </c>
      <c r="AR110" t="s">
        <v>29</v>
      </c>
      <c r="AS110" t="s">
        <v>67</v>
      </c>
      <c r="AT110" t="s">
        <v>63</v>
      </c>
      <c r="AU110">
        <v>19.75</v>
      </c>
      <c r="AV110">
        <v>33</v>
      </c>
      <c r="AW110">
        <v>2</v>
      </c>
      <c r="AX110">
        <v>1</v>
      </c>
      <c r="AY110">
        <v>24.9</v>
      </c>
      <c r="AZ110">
        <v>104</v>
      </c>
      <c r="BA110">
        <v>4793</v>
      </c>
      <c r="BB110">
        <v>68</v>
      </c>
      <c r="BC110">
        <v>70</v>
      </c>
      <c r="BD110">
        <v>71</v>
      </c>
      <c r="BE110">
        <v>3</v>
      </c>
      <c r="BF110" t="s">
        <v>29</v>
      </c>
      <c r="BG110">
        <v>-5</v>
      </c>
      <c r="BH110">
        <v>-14</v>
      </c>
      <c r="BI110">
        <v>0.29199999999999998</v>
      </c>
      <c r="BJ110" t="s">
        <v>63</v>
      </c>
      <c r="BK110">
        <v>0.31819999999999998</v>
      </c>
      <c r="BL110">
        <v>0.42859999999999998</v>
      </c>
      <c r="BM110">
        <v>1.23</v>
      </c>
      <c r="BN110">
        <v>1.75</v>
      </c>
    </row>
    <row r="111" spans="1:66" x14ac:dyDescent="0.25">
      <c r="A111" s="4">
        <v>1</v>
      </c>
      <c r="B111" s="4">
        <v>2</v>
      </c>
      <c r="C111" s="4"/>
      <c r="D111">
        <v>1.7450000000000001</v>
      </c>
      <c r="E111">
        <v>3.6</v>
      </c>
      <c r="F111">
        <v>4.95</v>
      </c>
      <c r="J111">
        <v>1.7</v>
      </c>
      <c r="K111">
        <v>3.6</v>
      </c>
      <c r="L111">
        <v>4.8</v>
      </c>
      <c r="M111">
        <v>1.78</v>
      </c>
      <c r="N111">
        <v>3.6</v>
      </c>
      <c r="O111">
        <v>5.2</v>
      </c>
      <c r="P111">
        <v>1.78</v>
      </c>
      <c r="Q111">
        <v>3.55</v>
      </c>
      <c r="R111">
        <v>5</v>
      </c>
      <c r="S111">
        <v>0.57644739200573591</v>
      </c>
      <c r="T111">
        <v>0.21939415665889944</v>
      </c>
      <c r="U111">
        <v>0.20415845133536475</v>
      </c>
      <c r="V111">
        <v>0.57902742389916118</v>
      </c>
      <c r="W111">
        <v>0.22276703484304902</v>
      </c>
      <c r="X111">
        <v>0.19820554125778977</v>
      </c>
      <c r="Y111">
        <v>0.57072985679253208</v>
      </c>
      <c r="Z111">
        <v>0.22609031418932654</v>
      </c>
      <c r="AA111">
        <v>0.20317982901814144</v>
      </c>
      <c r="AB111">
        <v>0.57546190547914788</v>
      </c>
      <c r="AC111">
        <v>0.22158412491714474</v>
      </c>
      <c r="AD111">
        <v>0.20295396960370732</v>
      </c>
      <c r="AE111" t="s">
        <v>33</v>
      </c>
      <c r="AF111" t="s">
        <v>23</v>
      </c>
      <c r="AG111">
        <v>287.7</v>
      </c>
      <c r="AH111">
        <v>27</v>
      </c>
      <c r="AI111">
        <v>18</v>
      </c>
      <c r="AJ111">
        <v>10</v>
      </c>
      <c r="AK111">
        <v>23.7</v>
      </c>
      <c r="AL111">
        <v>131</v>
      </c>
      <c r="AM111">
        <v>4207</v>
      </c>
      <c r="AN111">
        <v>77</v>
      </c>
      <c r="AO111">
        <v>77</v>
      </c>
      <c r="AP111">
        <v>76</v>
      </c>
      <c r="AQ111">
        <v>4</v>
      </c>
      <c r="AR111" t="s">
        <v>29</v>
      </c>
      <c r="AS111" t="s">
        <v>39</v>
      </c>
      <c r="AT111" t="s">
        <v>23</v>
      </c>
      <c r="AU111">
        <v>86.83</v>
      </c>
      <c r="AV111">
        <v>30</v>
      </c>
      <c r="AW111">
        <v>14</v>
      </c>
      <c r="AX111">
        <v>6</v>
      </c>
      <c r="AY111">
        <v>25.1</v>
      </c>
      <c r="AZ111">
        <v>229</v>
      </c>
      <c r="BA111">
        <v>3029</v>
      </c>
      <c r="BB111">
        <v>75</v>
      </c>
      <c r="BC111">
        <v>73</v>
      </c>
      <c r="BD111">
        <v>74</v>
      </c>
      <c r="BE111">
        <v>3.5</v>
      </c>
      <c r="BF111" t="s">
        <v>29</v>
      </c>
      <c r="BG111">
        <v>5</v>
      </c>
      <c r="BH111">
        <v>30</v>
      </c>
      <c r="BI111">
        <v>0.39700000000000002</v>
      </c>
      <c r="BJ111" t="s">
        <v>266</v>
      </c>
      <c r="BK111">
        <v>0.47499999999999998</v>
      </c>
      <c r="BL111">
        <v>0.40629999999999999</v>
      </c>
      <c r="BM111">
        <v>1.3</v>
      </c>
      <c r="BN111">
        <v>1.28</v>
      </c>
    </row>
    <row r="112" spans="1:66" x14ac:dyDescent="0.25">
      <c r="A112" s="42">
        <v>2</v>
      </c>
      <c r="B112" s="4">
        <v>0</v>
      </c>
      <c r="C112" s="42"/>
      <c r="D112">
        <v>2.1800000000000002</v>
      </c>
      <c r="E112">
        <v>3.0374999999999996</v>
      </c>
      <c r="F112">
        <v>3.7</v>
      </c>
      <c r="J112">
        <v>2.15</v>
      </c>
      <c r="K112">
        <v>3.05</v>
      </c>
      <c r="L112">
        <v>3.7</v>
      </c>
      <c r="M112">
        <v>2.2000000000000002</v>
      </c>
      <c r="N112">
        <v>3</v>
      </c>
      <c r="O112">
        <v>3.65</v>
      </c>
      <c r="P112">
        <v>2.2200000000000002</v>
      </c>
      <c r="Q112">
        <v>3.05</v>
      </c>
      <c r="R112">
        <v>3.75</v>
      </c>
      <c r="S112">
        <v>0.45610960184617183</v>
      </c>
      <c r="T112">
        <v>0.27885373762159327</v>
      </c>
      <c r="U112">
        <v>0.26503666053223496</v>
      </c>
      <c r="V112">
        <v>0.44634470536109871</v>
      </c>
      <c r="W112">
        <v>0.28462560921577318</v>
      </c>
      <c r="X112">
        <v>0.26902968542312805</v>
      </c>
      <c r="Y112">
        <v>0.45122689735201277</v>
      </c>
      <c r="Z112">
        <v>0.28164677941559563</v>
      </c>
      <c r="AA112">
        <v>0.2671263232323916</v>
      </c>
      <c r="AB112">
        <v>0.45244770160136383</v>
      </c>
      <c r="AC112">
        <v>0.28099496596863882</v>
      </c>
      <c r="AD112">
        <v>0.26655733242999741</v>
      </c>
      <c r="AE112" t="s">
        <v>76</v>
      </c>
      <c r="AF112" t="s">
        <v>63</v>
      </c>
      <c r="AG112">
        <v>9.58</v>
      </c>
      <c r="AH112">
        <v>23</v>
      </c>
      <c r="AI112">
        <v>3</v>
      </c>
      <c r="AJ112">
        <v>1</v>
      </c>
      <c r="AK112">
        <v>26.6</v>
      </c>
      <c r="AL112">
        <v>349</v>
      </c>
      <c r="AM112">
        <v>2119</v>
      </c>
      <c r="AN112">
        <v>59</v>
      </c>
      <c r="AO112">
        <v>64</v>
      </c>
      <c r="AP112">
        <v>65</v>
      </c>
      <c r="AQ112">
        <v>2</v>
      </c>
      <c r="AR112" t="s">
        <v>29</v>
      </c>
      <c r="AS112" t="s">
        <v>78</v>
      </c>
      <c r="AT112" t="s">
        <v>63</v>
      </c>
      <c r="AU112">
        <v>8.7799999999999994</v>
      </c>
      <c r="AV112">
        <v>36</v>
      </c>
      <c r="AW112">
        <v>3</v>
      </c>
      <c r="AX112">
        <v>0</v>
      </c>
      <c r="AY112">
        <v>25.7</v>
      </c>
      <c r="AZ112">
        <v>433</v>
      </c>
      <c r="BA112">
        <v>1716</v>
      </c>
      <c r="BB112">
        <v>63</v>
      </c>
      <c r="BC112">
        <v>64</v>
      </c>
      <c r="BD112">
        <v>64</v>
      </c>
      <c r="BE112">
        <v>2</v>
      </c>
      <c r="BF112" t="s">
        <v>29</v>
      </c>
      <c r="BG112">
        <v>2</v>
      </c>
      <c r="BH112">
        <v>6</v>
      </c>
      <c r="BI112">
        <v>0.375</v>
      </c>
      <c r="BJ112" t="s">
        <v>63</v>
      </c>
      <c r="BK112">
        <v>0.2727</v>
      </c>
      <c r="BL112">
        <v>0.18179999999999999</v>
      </c>
      <c r="BM112">
        <v>0.82</v>
      </c>
      <c r="BN112">
        <v>0.59</v>
      </c>
    </row>
    <row r="113" spans="1:66" x14ac:dyDescent="0.25">
      <c r="A113" s="42">
        <v>1</v>
      </c>
      <c r="B113" s="4">
        <v>1</v>
      </c>
      <c r="C113" s="42"/>
      <c r="D113">
        <v>3.75</v>
      </c>
      <c r="E113">
        <v>3.1749999999999998</v>
      </c>
      <c r="F113">
        <v>2.0974999999999997</v>
      </c>
      <c r="J113">
        <v>3.65</v>
      </c>
      <c r="K113">
        <v>3.2</v>
      </c>
      <c r="L113">
        <v>2.1</v>
      </c>
      <c r="M113">
        <v>3.8</v>
      </c>
      <c r="N113">
        <v>3.1</v>
      </c>
      <c r="O113">
        <v>2.11</v>
      </c>
      <c r="P113">
        <v>3.9</v>
      </c>
      <c r="Q113">
        <v>3.2</v>
      </c>
      <c r="R113">
        <v>2.08</v>
      </c>
      <c r="S113">
        <v>0.26816514026521832</v>
      </c>
      <c r="T113">
        <v>0.26573830641666429</v>
      </c>
      <c r="U113">
        <v>0.46609655331811745</v>
      </c>
      <c r="V113">
        <v>0.25936791784501217</v>
      </c>
      <c r="W113">
        <v>0.27352398366634029</v>
      </c>
      <c r="X113">
        <v>0.46710809848864754</v>
      </c>
      <c r="Y113">
        <v>0.25560842963970093</v>
      </c>
      <c r="Z113">
        <v>0.26512576478585997</v>
      </c>
      <c r="AA113">
        <v>0.47926580557443921</v>
      </c>
      <c r="AB113">
        <v>0.26282665700378743</v>
      </c>
      <c r="AC113">
        <v>0.26753159032138218</v>
      </c>
      <c r="AD113">
        <v>0.46964175267483038</v>
      </c>
      <c r="AE113" t="s">
        <v>77</v>
      </c>
      <c r="AF113" t="s">
        <v>63</v>
      </c>
      <c r="AG113">
        <v>8.23</v>
      </c>
      <c r="AH113">
        <v>32</v>
      </c>
      <c r="AI113">
        <v>2</v>
      </c>
      <c r="AJ113">
        <v>1</v>
      </c>
      <c r="AK113">
        <v>24.9</v>
      </c>
      <c r="AL113">
        <v>362</v>
      </c>
      <c r="AM113">
        <v>2071</v>
      </c>
      <c r="AN113">
        <v>65</v>
      </c>
      <c r="AO113">
        <v>66</v>
      </c>
      <c r="AP113">
        <v>61</v>
      </c>
      <c r="AQ113">
        <v>2</v>
      </c>
      <c r="AR113" t="s">
        <v>46</v>
      </c>
      <c r="AS113" t="s">
        <v>66</v>
      </c>
      <c r="AT113" t="s">
        <v>63</v>
      </c>
      <c r="AU113">
        <v>23.33</v>
      </c>
      <c r="AV113">
        <v>27</v>
      </c>
      <c r="AW113">
        <v>2</v>
      </c>
      <c r="AX113">
        <v>1</v>
      </c>
      <c r="AY113">
        <v>29.3</v>
      </c>
      <c r="AZ113">
        <v>93</v>
      </c>
      <c r="BA113">
        <v>5011</v>
      </c>
      <c r="BB113">
        <v>74</v>
      </c>
      <c r="BC113">
        <v>69</v>
      </c>
      <c r="BD113">
        <v>68</v>
      </c>
      <c r="BE113">
        <v>3</v>
      </c>
      <c r="BF113" t="s">
        <v>28</v>
      </c>
      <c r="BG113">
        <v>-10</v>
      </c>
      <c r="BH113">
        <v>-9</v>
      </c>
      <c r="BI113">
        <v>0.23799999999999999</v>
      </c>
      <c r="BJ113" t="s">
        <v>63</v>
      </c>
      <c r="BK113">
        <v>0.26090000000000002</v>
      </c>
      <c r="BL113">
        <v>0.4</v>
      </c>
      <c r="BM113">
        <v>1.22</v>
      </c>
      <c r="BN113">
        <v>1.28</v>
      </c>
    </row>
    <row r="114" spans="1:66" x14ac:dyDescent="0.25">
      <c r="A114" s="42">
        <v>1</v>
      </c>
      <c r="B114" s="4">
        <v>1</v>
      </c>
      <c r="C114" s="42"/>
      <c r="D114">
        <v>1.77</v>
      </c>
      <c r="E114">
        <v>3.7749999999999999</v>
      </c>
      <c r="F114">
        <v>4.4000000000000004</v>
      </c>
      <c r="J114">
        <v>1.8</v>
      </c>
      <c r="K114">
        <v>3.85</v>
      </c>
      <c r="L114">
        <v>4</v>
      </c>
      <c r="M114">
        <v>1.71</v>
      </c>
      <c r="N114">
        <v>3.6</v>
      </c>
      <c r="O114">
        <v>5</v>
      </c>
      <c r="P114">
        <v>1.77</v>
      </c>
      <c r="Q114">
        <v>3.8</v>
      </c>
      <c r="R114">
        <v>4.5999999999999996</v>
      </c>
      <c r="S114">
        <v>0.54225212744904028</v>
      </c>
      <c r="T114">
        <v>0.21373441519889178</v>
      </c>
      <c r="U114">
        <v>0.24401345735206809</v>
      </c>
      <c r="V114">
        <v>0.58175768616887136</v>
      </c>
      <c r="W114">
        <v>0.21928118516137468</v>
      </c>
      <c r="X114">
        <v>0.19896112866975399</v>
      </c>
      <c r="Y114">
        <v>0.56747849005584294</v>
      </c>
      <c r="Z114">
        <v>0.21416565616180006</v>
      </c>
      <c r="AA114">
        <v>0.21835585378235697</v>
      </c>
      <c r="AB114">
        <v>0.55843510778069871</v>
      </c>
      <c r="AC114">
        <v>0.21522891793023957</v>
      </c>
      <c r="AD114">
        <v>0.22633597428906177</v>
      </c>
      <c r="AE114" t="s">
        <v>62</v>
      </c>
      <c r="AF114" t="s">
        <v>63</v>
      </c>
      <c r="AG114">
        <v>20.65</v>
      </c>
      <c r="AH114">
        <v>29</v>
      </c>
      <c r="AI114">
        <v>2</v>
      </c>
      <c r="AJ114">
        <v>2</v>
      </c>
      <c r="AK114">
        <v>26</v>
      </c>
      <c r="AL114">
        <v>66</v>
      </c>
      <c r="AM114">
        <v>5865</v>
      </c>
      <c r="AN114">
        <v>67</v>
      </c>
      <c r="AO114">
        <v>69</v>
      </c>
      <c r="AP114">
        <v>69</v>
      </c>
      <c r="AQ114">
        <v>3</v>
      </c>
      <c r="AR114" t="s">
        <v>29</v>
      </c>
      <c r="AS114" t="s">
        <v>68</v>
      </c>
      <c r="AT114" t="s">
        <v>63</v>
      </c>
      <c r="AU114">
        <v>17.579999999999998</v>
      </c>
      <c r="AV114">
        <v>31</v>
      </c>
      <c r="AW114">
        <v>3</v>
      </c>
      <c r="AX114">
        <v>2</v>
      </c>
      <c r="AY114">
        <v>25.9</v>
      </c>
      <c r="AZ114">
        <v>129</v>
      </c>
      <c r="BA114">
        <v>4227</v>
      </c>
      <c r="BB114">
        <v>73</v>
      </c>
      <c r="BC114">
        <v>69</v>
      </c>
      <c r="BD114">
        <v>69</v>
      </c>
      <c r="BE114">
        <v>3.5</v>
      </c>
      <c r="BF114" t="s">
        <v>46</v>
      </c>
      <c r="BG114">
        <v>-6</v>
      </c>
      <c r="BH114">
        <v>-1</v>
      </c>
      <c r="BI114">
        <v>0.38500000000000001</v>
      </c>
      <c r="BJ114" t="s">
        <v>63</v>
      </c>
      <c r="BK114">
        <v>0.4375</v>
      </c>
      <c r="BL114">
        <v>0.38890000000000002</v>
      </c>
      <c r="BM114">
        <v>1.25</v>
      </c>
      <c r="BN114">
        <v>1.39</v>
      </c>
    </row>
    <row r="115" spans="1:66" x14ac:dyDescent="0.25">
      <c r="A115" s="42">
        <v>2</v>
      </c>
      <c r="B115" s="4">
        <v>0</v>
      </c>
      <c r="C115" s="42"/>
      <c r="D115">
        <v>3.5</v>
      </c>
      <c r="E115">
        <v>2.8425000000000002</v>
      </c>
      <c r="F115">
        <v>2.4699999999999998</v>
      </c>
      <c r="J115">
        <v>3.55</v>
      </c>
      <c r="K115">
        <v>2.8</v>
      </c>
      <c r="L115">
        <v>2.5</v>
      </c>
      <c r="M115">
        <v>3.45</v>
      </c>
      <c r="N115">
        <v>2.95</v>
      </c>
      <c r="O115">
        <v>2.38</v>
      </c>
      <c r="P115">
        <v>3.45</v>
      </c>
      <c r="Q115">
        <v>2.82</v>
      </c>
      <c r="R115">
        <v>2.5</v>
      </c>
      <c r="S115">
        <v>0.28471309680245299</v>
      </c>
      <c r="T115">
        <v>0.31099430573806397</v>
      </c>
      <c r="U115">
        <v>0.40429259745948321</v>
      </c>
      <c r="V115">
        <v>0.28807672040807297</v>
      </c>
      <c r="W115">
        <v>0.29433307563904787</v>
      </c>
      <c r="X115">
        <v>0.41759020395287894</v>
      </c>
      <c r="Y115">
        <v>0.2903836167533142</v>
      </c>
      <c r="Z115">
        <v>0.30888699212711224</v>
      </c>
      <c r="AA115">
        <v>0.40072939111957362</v>
      </c>
      <c r="AB115">
        <v>0.28697163269157328</v>
      </c>
      <c r="AC115">
        <v>0.30630216981057201</v>
      </c>
      <c r="AD115">
        <v>0.40672619749785477</v>
      </c>
      <c r="AE115" t="s">
        <v>156</v>
      </c>
      <c r="AF115" t="s">
        <v>141</v>
      </c>
      <c r="AG115">
        <v>84.05</v>
      </c>
      <c r="AH115">
        <v>33</v>
      </c>
      <c r="AI115">
        <v>9</v>
      </c>
      <c r="AJ115">
        <v>5</v>
      </c>
      <c r="AK115">
        <v>26.2</v>
      </c>
      <c r="AL115">
        <v>177</v>
      </c>
      <c r="AM115">
        <v>3663</v>
      </c>
      <c r="AN115">
        <v>76</v>
      </c>
      <c r="AO115">
        <v>75</v>
      </c>
      <c r="AP115">
        <v>76</v>
      </c>
      <c r="AQ115">
        <v>4</v>
      </c>
      <c r="AR115" t="s">
        <v>43</v>
      </c>
      <c r="AS115" t="s">
        <v>145</v>
      </c>
      <c r="AT115" t="s">
        <v>141</v>
      </c>
      <c r="AU115">
        <v>155.69999999999999</v>
      </c>
      <c r="AV115">
        <v>26</v>
      </c>
      <c r="AW115">
        <v>14</v>
      </c>
      <c r="AX115">
        <v>8</v>
      </c>
      <c r="AY115">
        <v>27.3</v>
      </c>
      <c r="AZ115">
        <v>27</v>
      </c>
      <c r="BA115">
        <v>7881</v>
      </c>
      <c r="BB115">
        <v>80</v>
      </c>
      <c r="BC115">
        <v>77</v>
      </c>
      <c r="BD115">
        <v>78</v>
      </c>
      <c r="BE115">
        <v>4</v>
      </c>
      <c r="BF115" t="s">
        <v>46</v>
      </c>
      <c r="BG115">
        <v>8</v>
      </c>
      <c r="BH115">
        <v>20</v>
      </c>
      <c r="BI115">
        <v>0.5</v>
      </c>
      <c r="BJ115" t="s">
        <v>270</v>
      </c>
      <c r="BK115">
        <v>0.25640000000000002</v>
      </c>
      <c r="BL115">
        <v>0.40820000000000001</v>
      </c>
      <c r="BM115">
        <v>0.9</v>
      </c>
      <c r="BN115">
        <v>1.1399999999999999</v>
      </c>
    </row>
    <row r="116" spans="1:66" x14ac:dyDescent="0.25">
      <c r="A116" s="42">
        <v>2</v>
      </c>
      <c r="B116" s="4">
        <v>0</v>
      </c>
      <c r="C116" s="42"/>
      <c r="D116">
        <v>2.0649999999999999</v>
      </c>
      <c r="E116">
        <v>3.4000000000000004</v>
      </c>
      <c r="F116">
        <v>3.8250000000000002</v>
      </c>
      <c r="J116">
        <v>2.0699999999999998</v>
      </c>
      <c r="K116">
        <v>3.4</v>
      </c>
      <c r="L116">
        <v>3.8</v>
      </c>
      <c r="M116">
        <v>2.04</v>
      </c>
      <c r="N116">
        <v>3.45</v>
      </c>
      <c r="O116">
        <v>4</v>
      </c>
      <c r="P116">
        <v>2.08</v>
      </c>
      <c r="Q116">
        <v>3.35</v>
      </c>
      <c r="R116">
        <v>3.7</v>
      </c>
      <c r="S116">
        <v>0.48460557478593552</v>
      </c>
      <c r="T116">
        <v>0.25141191473856805</v>
      </c>
      <c r="U116">
        <v>0.26398251047549648</v>
      </c>
      <c r="V116">
        <v>0.49851737539085533</v>
      </c>
      <c r="W116">
        <v>0.24723876315980833</v>
      </c>
      <c r="X116">
        <v>0.25424386144933625</v>
      </c>
      <c r="Y116">
        <v>0.47700621644532354</v>
      </c>
      <c r="Z116">
        <v>0.25483893755298109</v>
      </c>
      <c r="AA116">
        <v>0.26815484600169537</v>
      </c>
      <c r="AB116">
        <v>0.48618368535201245</v>
      </c>
      <c r="AC116">
        <v>0.25122538254748139</v>
      </c>
      <c r="AD116">
        <v>0.26259093210050616</v>
      </c>
      <c r="AE116" t="s">
        <v>142</v>
      </c>
      <c r="AF116" t="s">
        <v>141</v>
      </c>
      <c r="AG116">
        <v>328.38</v>
      </c>
      <c r="AH116">
        <v>26</v>
      </c>
      <c r="AI116">
        <v>14</v>
      </c>
      <c r="AJ116">
        <v>8</v>
      </c>
      <c r="AK116">
        <v>25.8</v>
      </c>
      <c r="AL116">
        <v>11</v>
      </c>
      <c r="AM116">
        <v>9770</v>
      </c>
      <c r="AN116">
        <v>81</v>
      </c>
      <c r="AO116">
        <v>81</v>
      </c>
      <c r="AP116">
        <v>81</v>
      </c>
      <c r="AQ116">
        <v>4.5</v>
      </c>
      <c r="AR116" t="s">
        <v>29</v>
      </c>
      <c r="AS116" t="s">
        <v>158</v>
      </c>
      <c r="AT116" t="s">
        <v>141</v>
      </c>
      <c r="AU116">
        <v>23.13</v>
      </c>
      <c r="AV116">
        <v>21</v>
      </c>
      <c r="AW116">
        <v>5</v>
      </c>
      <c r="AX116">
        <v>1</v>
      </c>
      <c r="AY116">
        <v>27.5</v>
      </c>
      <c r="AZ116">
        <v>581</v>
      </c>
      <c r="BA116">
        <v>1089</v>
      </c>
      <c r="BB116">
        <v>73</v>
      </c>
      <c r="BC116">
        <v>72</v>
      </c>
      <c r="BD116">
        <v>72</v>
      </c>
      <c r="BE116">
        <v>3.5</v>
      </c>
      <c r="BF116" t="s">
        <v>29</v>
      </c>
      <c r="BG116">
        <v>-25</v>
      </c>
      <c r="BH116">
        <v>-30</v>
      </c>
      <c r="BI116">
        <v>0.2</v>
      </c>
      <c r="BJ116" t="s">
        <v>270</v>
      </c>
      <c r="BK116">
        <v>0.36</v>
      </c>
      <c r="BL116">
        <v>0.5</v>
      </c>
      <c r="BM116">
        <v>1.24</v>
      </c>
      <c r="BN116">
        <v>1.3</v>
      </c>
    </row>
    <row r="117" spans="1:66" x14ac:dyDescent="0.25">
      <c r="A117" s="42">
        <v>3</v>
      </c>
      <c r="B117" s="4">
        <v>-1</v>
      </c>
      <c r="C117" s="42"/>
      <c r="D117">
        <v>4.2</v>
      </c>
      <c r="E117">
        <v>3.9</v>
      </c>
      <c r="F117">
        <v>1.83</v>
      </c>
      <c r="J117">
        <v>4.0999999999999996</v>
      </c>
      <c r="K117">
        <v>3.9</v>
      </c>
      <c r="L117">
        <v>1.85</v>
      </c>
      <c r="M117">
        <v>4.4000000000000004</v>
      </c>
      <c r="N117">
        <v>3.9</v>
      </c>
      <c r="O117">
        <v>1.82</v>
      </c>
      <c r="P117">
        <v>4.2</v>
      </c>
      <c r="Q117">
        <v>3.9</v>
      </c>
      <c r="R117">
        <v>1.8</v>
      </c>
      <c r="S117">
        <v>0.24439952046261254</v>
      </c>
      <c r="T117">
        <v>0.21395829905267857</v>
      </c>
      <c r="U117">
        <v>0.5416421804847088</v>
      </c>
      <c r="V117">
        <v>0.23044819195291724</v>
      </c>
      <c r="W117">
        <v>0.2124243110180522</v>
      </c>
      <c r="X117">
        <v>0.55712749702903064</v>
      </c>
      <c r="Y117">
        <v>0.23657718120805363</v>
      </c>
      <c r="Z117">
        <v>0.21140939597315433</v>
      </c>
      <c r="AA117">
        <v>0.55201342281879184</v>
      </c>
      <c r="AB117">
        <v>0.238956103521549</v>
      </c>
      <c r="AC117">
        <v>0.21293757627414092</v>
      </c>
      <c r="AD117">
        <v>0.54810632020431005</v>
      </c>
      <c r="AE117" t="s">
        <v>152</v>
      </c>
      <c r="AF117" t="s">
        <v>141</v>
      </c>
      <c r="AG117">
        <v>214.25</v>
      </c>
      <c r="AH117">
        <v>24</v>
      </c>
      <c r="AI117">
        <v>10</v>
      </c>
      <c r="AJ117">
        <v>7</v>
      </c>
      <c r="AK117">
        <v>27.3</v>
      </c>
      <c r="AL117">
        <v>125</v>
      </c>
      <c r="AM117">
        <v>4257</v>
      </c>
      <c r="AN117">
        <v>81</v>
      </c>
      <c r="AO117">
        <v>81</v>
      </c>
      <c r="AP117">
        <v>78</v>
      </c>
      <c r="AQ117">
        <v>4.5</v>
      </c>
      <c r="AR117" t="s">
        <v>29</v>
      </c>
      <c r="AS117" t="s">
        <v>144</v>
      </c>
      <c r="AT117" t="s">
        <v>141</v>
      </c>
      <c r="AU117">
        <v>1080</v>
      </c>
      <c r="AV117">
        <v>34</v>
      </c>
      <c r="AW117">
        <v>20</v>
      </c>
      <c r="AX117">
        <v>21</v>
      </c>
      <c r="AY117">
        <v>26.1</v>
      </c>
      <c r="AZ117">
        <v>18</v>
      </c>
      <c r="BA117">
        <v>8949</v>
      </c>
      <c r="BB117">
        <v>85</v>
      </c>
      <c r="BC117">
        <v>87</v>
      </c>
      <c r="BD117">
        <v>85</v>
      </c>
      <c r="BE117">
        <v>5</v>
      </c>
      <c r="BF117" t="s">
        <v>28</v>
      </c>
      <c r="BG117">
        <v>-123</v>
      </c>
      <c r="BH117">
        <v>-84</v>
      </c>
      <c r="BI117">
        <v>0.23699999999999999</v>
      </c>
      <c r="BJ117" t="s">
        <v>270</v>
      </c>
      <c r="BK117">
        <v>0.29970000000000002</v>
      </c>
      <c r="BL117">
        <v>0.62749999999999995</v>
      </c>
      <c r="BM117">
        <v>1.39</v>
      </c>
      <c r="BN117">
        <v>1.94</v>
      </c>
    </row>
    <row r="118" spans="1:66" x14ac:dyDescent="0.25">
      <c r="A118" s="42">
        <v>3</v>
      </c>
      <c r="B118" s="4">
        <v>-1</v>
      </c>
      <c r="C118" s="42"/>
      <c r="D118">
        <v>3.7250000000000001</v>
      </c>
      <c r="E118">
        <v>3.3374999999999999</v>
      </c>
      <c r="F118">
        <v>2.1100000000000003</v>
      </c>
      <c r="J118">
        <v>3.75</v>
      </c>
      <c r="K118">
        <v>3.35</v>
      </c>
      <c r="L118">
        <v>2.12</v>
      </c>
      <c r="M118">
        <v>3.75</v>
      </c>
      <c r="N118">
        <v>3.4</v>
      </c>
      <c r="O118">
        <v>2.12</v>
      </c>
      <c r="P118">
        <v>3.7</v>
      </c>
      <c r="Q118">
        <v>3.3</v>
      </c>
      <c r="R118">
        <v>2.1</v>
      </c>
      <c r="S118">
        <v>0.26847887720989583</v>
      </c>
      <c r="T118">
        <v>0.25661744848014684</v>
      </c>
      <c r="U118">
        <v>0.47490367430995717</v>
      </c>
      <c r="V118">
        <v>0.2696349848428341</v>
      </c>
      <c r="W118">
        <v>0.25341633913800199</v>
      </c>
      <c r="X118">
        <v>0.47694867601916402</v>
      </c>
      <c r="Y118">
        <v>0.26830352183090767</v>
      </c>
      <c r="Z118">
        <v>0.25897122541939782</v>
      </c>
      <c r="AA118">
        <v>0.47272525274969446</v>
      </c>
      <c r="AB118">
        <v>0.26868022642863632</v>
      </c>
      <c r="AC118">
        <v>0.25699405961423616</v>
      </c>
      <c r="AD118">
        <v>0.47432571395712753</v>
      </c>
      <c r="AE118" t="s">
        <v>261</v>
      </c>
      <c r="AF118" t="s">
        <v>253</v>
      </c>
      <c r="AG118">
        <v>179.43</v>
      </c>
      <c r="AH118">
        <v>24</v>
      </c>
      <c r="AI118">
        <v>15</v>
      </c>
      <c r="AJ118">
        <v>8</v>
      </c>
      <c r="AK118">
        <v>29</v>
      </c>
      <c r="AL118">
        <v>135</v>
      </c>
      <c r="AM118">
        <v>4146</v>
      </c>
      <c r="AN118">
        <v>73</v>
      </c>
      <c r="AO118">
        <v>77</v>
      </c>
      <c r="AP118">
        <v>76</v>
      </c>
      <c r="AQ118">
        <v>4</v>
      </c>
      <c r="AR118" t="s">
        <v>29</v>
      </c>
      <c r="AS118" t="s">
        <v>262</v>
      </c>
      <c r="AT118" t="s">
        <v>253</v>
      </c>
      <c r="AU118">
        <v>411.05</v>
      </c>
      <c r="AV118">
        <v>29</v>
      </c>
      <c r="AW118">
        <v>18</v>
      </c>
      <c r="AX118">
        <v>12</v>
      </c>
      <c r="AY118">
        <v>25.7</v>
      </c>
      <c r="AZ118">
        <v>149</v>
      </c>
      <c r="BA118">
        <v>3982</v>
      </c>
      <c r="BB118">
        <v>80</v>
      </c>
      <c r="BC118">
        <v>78</v>
      </c>
      <c r="BD118">
        <v>79</v>
      </c>
      <c r="BE118">
        <v>4</v>
      </c>
      <c r="BF118" t="s">
        <v>29</v>
      </c>
      <c r="BG118">
        <v>-24</v>
      </c>
      <c r="BH118">
        <v>-3</v>
      </c>
      <c r="BI118">
        <v>0.25600000000000001</v>
      </c>
      <c r="BJ118" t="s">
        <v>267</v>
      </c>
      <c r="BK118">
        <v>0.29730000000000001</v>
      </c>
      <c r="BL118">
        <v>0.52380000000000004</v>
      </c>
      <c r="BM118">
        <v>1</v>
      </c>
      <c r="BN118">
        <v>1.62</v>
      </c>
    </row>
    <row r="119" spans="1:66" x14ac:dyDescent="0.25">
      <c r="A119" s="42">
        <v>2</v>
      </c>
      <c r="B119" s="4">
        <v>0</v>
      </c>
      <c r="C119" s="42"/>
      <c r="D119">
        <v>3.1249999999999996</v>
      </c>
      <c r="E119">
        <v>3.6750000000000003</v>
      </c>
      <c r="F119">
        <v>2.2400000000000002</v>
      </c>
      <c r="J119">
        <v>3.1</v>
      </c>
      <c r="K119">
        <v>3.65</v>
      </c>
      <c r="L119">
        <v>2.2000000000000002</v>
      </c>
      <c r="M119">
        <v>3.15</v>
      </c>
      <c r="N119">
        <v>3.75</v>
      </c>
      <c r="O119">
        <v>2.25</v>
      </c>
      <c r="P119">
        <v>3.05</v>
      </c>
      <c r="Q119">
        <v>3.6</v>
      </c>
      <c r="R119">
        <v>2.2599999999999998</v>
      </c>
      <c r="S119">
        <v>0.31654676258992798</v>
      </c>
      <c r="T119">
        <v>0.23741007194244604</v>
      </c>
      <c r="U119">
        <v>0.44604316546762579</v>
      </c>
      <c r="V119">
        <v>0.31922791388270227</v>
      </c>
      <c r="W119">
        <v>0.23385300668151446</v>
      </c>
      <c r="X119">
        <v>0.44691907943578318</v>
      </c>
      <c r="Y119">
        <v>0.32269064399905978</v>
      </c>
      <c r="Z119">
        <v>0.24181977007300545</v>
      </c>
      <c r="AA119">
        <v>0.43548958592793469</v>
      </c>
      <c r="AB119">
        <v>0.31835243551108838</v>
      </c>
      <c r="AC119">
        <v>0.23755436799968405</v>
      </c>
      <c r="AD119">
        <v>0.4440931964892274</v>
      </c>
      <c r="AE119" t="s">
        <v>49</v>
      </c>
      <c r="AF119" t="s">
        <v>26</v>
      </c>
      <c r="AG119">
        <v>406.85</v>
      </c>
      <c r="AH119">
        <v>28</v>
      </c>
      <c r="AI119">
        <v>16</v>
      </c>
      <c r="AJ119">
        <v>13</v>
      </c>
      <c r="AK119">
        <v>25.6</v>
      </c>
      <c r="AL119">
        <v>22</v>
      </c>
      <c r="AM119">
        <v>8083</v>
      </c>
      <c r="AN119">
        <v>80</v>
      </c>
      <c r="AO119">
        <v>80</v>
      </c>
      <c r="AP119">
        <v>79</v>
      </c>
      <c r="AQ119">
        <v>4.5</v>
      </c>
      <c r="AR119" t="s">
        <v>46</v>
      </c>
      <c r="AS119" t="s">
        <v>25</v>
      </c>
      <c r="AT119" t="s">
        <v>26</v>
      </c>
      <c r="AU119">
        <v>507.83</v>
      </c>
      <c r="AV119">
        <v>29</v>
      </c>
      <c r="AW119">
        <v>21</v>
      </c>
      <c r="AX119">
        <v>13</v>
      </c>
      <c r="AY119">
        <v>24.2</v>
      </c>
      <c r="AZ119">
        <v>16</v>
      </c>
      <c r="BA119">
        <v>9221</v>
      </c>
      <c r="BB119">
        <v>81</v>
      </c>
      <c r="BC119">
        <v>81</v>
      </c>
      <c r="BD119">
        <v>79</v>
      </c>
      <c r="BE119">
        <v>4.5</v>
      </c>
      <c r="BF119" t="s">
        <v>29</v>
      </c>
      <c r="BG119">
        <v>-4</v>
      </c>
      <c r="BH119">
        <v>-6</v>
      </c>
      <c r="BI119">
        <v>0.125</v>
      </c>
      <c r="BJ119" t="s">
        <v>273</v>
      </c>
      <c r="BK119">
        <v>0.58850000000000002</v>
      </c>
      <c r="BL119">
        <v>0.55320000000000003</v>
      </c>
      <c r="BM119">
        <v>1.78</v>
      </c>
      <c r="BN119">
        <v>2.2799999999999998</v>
      </c>
    </row>
    <row r="120" spans="1:66" x14ac:dyDescent="0.25">
      <c r="A120" s="42">
        <v>2</v>
      </c>
      <c r="B120" s="4">
        <v>0</v>
      </c>
      <c r="C120" s="42"/>
      <c r="D120">
        <v>1.4300000000000002</v>
      </c>
      <c r="E120">
        <v>4.8499999999999996</v>
      </c>
      <c r="F120">
        <v>7.6</v>
      </c>
      <c r="J120">
        <v>1.4</v>
      </c>
      <c r="K120">
        <v>4.75</v>
      </c>
      <c r="L120">
        <v>8</v>
      </c>
      <c r="M120">
        <v>1.45</v>
      </c>
      <c r="N120">
        <v>5</v>
      </c>
      <c r="O120">
        <v>7</v>
      </c>
      <c r="P120">
        <v>1.43</v>
      </c>
      <c r="Q120">
        <v>4.75</v>
      </c>
      <c r="R120">
        <v>7.4</v>
      </c>
      <c r="S120">
        <v>0.72676693036599138</v>
      </c>
      <c r="T120">
        <v>0.14604885681995999</v>
      </c>
      <c r="U120">
        <v>0.12718421281404849</v>
      </c>
      <c r="V120">
        <v>0.70682363147811211</v>
      </c>
      <c r="W120">
        <v>0.14676290200142184</v>
      </c>
      <c r="X120">
        <v>0.14641346652046608</v>
      </c>
      <c r="Y120">
        <v>0.71211810665441</v>
      </c>
      <c r="Z120">
        <v>0.15026988084345397</v>
      </c>
      <c r="AA120">
        <v>0.13761201250213598</v>
      </c>
      <c r="AB120">
        <v>0.71751348325392095</v>
      </c>
      <c r="AC120">
        <v>0.14708855688364367</v>
      </c>
      <c r="AD120">
        <v>0.1353979598624353</v>
      </c>
      <c r="AE120" t="s">
        <v>52</v>
      </c>
      <c r="AF120" t="s">
        <v>26</v>
      </c>
      <c r="AG120">
        <v>294.73</v>
      </c>
      <c r="AH120">
        <v>35</v>
      </c>
      <c r="AI120">
        <v>19</v>
      </c>
      <c r="AJ120">
        <v>10</v>
      </c>
      <c r="AK120">
        <v>24.9</v>
      </c>
      <c r="AL120">
        <v>76</v>
      </c>
      <c r="AM120">
        <v>5412</v>
      </c>
      <c r="AN120">
        <v>78</v>
      </c>
      <c r="AO120">
        <v>79</v>
      </c>
      <c r="AP120">
        <v>78</v>
      </c>
      <c r="AQ120">
        <v>4.5</v>
      </c>
      <c r="AR120" t="s">
        <v>29</v>
      </c>
      <c r="AS120" t="s">
        <v>58</v>
      </c>
      <c r="AT120" t="s">
        <v>26</v>
      </c>
      <c r="AU120">
        <v>59.55</v>
      </c>
      <c r="AV120">
        <v>28</v>
      </c>
      <c r="AW120">
        <v>8</v>
      </c>
      <c r="AX120">
        <v>3</v>
      </c>
      <c r="AY120">
        <v>26.6</v>
      </c>
      <c r="AZ120">
        <v>243</v>
      </c>
      <c r="BA120">
        <v>2873</v>
      </c>
      <c r="BB120">
        <v>73</v>
      </c>
      <c r="BC120">
        <v>71</v>
      </c>
      <c r="BD120">
        <v>73</v>
      </c>
      <c r="BE120">
        <v>3.5</v>
      </c>
      <c r="BF120" t="s">
        <v>46</v>
      </c>
      <c r="BG120">
        <v>-1</v>
      </c>
      <c r="BH120">
        <v>-3</v>
      </c>
      <c r="BI120">
        <v>0.33300000000000002</v>
      </c>
      <c r="BJ120" t="s">
        <v>273</v>
      </c>
      <c r="BK120">
        <v>0.54759999999999998</v>
      </c>
      <c r="BL120">
        <v>0.3947</v>
      </c>
      <c r="BM120">
        <v>1.76</v>
      </c>
      <c r="BN120">
        <v>1.37</v>
      </c>
    </row>
    <row r="121" spans="1:66" x14ac:dyDescent="0.25">
      <c r="A121" s="42">
        <v>1</v>
      </c>
      <c r="B121" s="4">
        <v>2</v>
      </c>
      <c r="C121" s="42"/>
      <c r="D121">
        <v>6.9375</v>
      </c>
      <c r="E121">
        <v>4.95</v>
      </c>
      <c r="F121">
        <v>1.4449999999999998</v>
      </c>
      <c r="J121">
        <v>6.75</v>
      </c>
      <c r="K121">
        <v>4.75</v>
      </c>
      <c r="L121">
        <v>1.44</v>
      </c>
      <c r="M121">
        <v>7</v>
      </c>
      <c r="N121">
        <v>5.2</v>
      </c>
      <c r="O121">
        <v>1.44</v>
      </c>
      <c r="P121">
        <v>7</v>
      </c>
      <c r="Q121">
        <v>4.95</v>
      </c>
      <c r="R121">
        <v>1.43</v>
      </c>
      <c r="S121">
        <v>0.14889946544789417</v>
      </c>
      <c r="T121">
        <v>0.15313429026510195</v>
      </c>
      <c r="U121">
        <v>0.69796624428700393</v>
      </c>
      <c r="V121">
        <v>0.14647566786571192</v>
      </c>
      <c r="W121">
        <v>0.14148983556485512</v>
      </c>
      <c r="X121">
        <v>0.71203449656943285</v>
      </c>
      <c r="Y121">
        <v>0.14475698529034753</v>
      </c>
      <c r="Z121">
        <v>0.14664238741424496</v>
      </c>
      <c r="AA121">
        <v>0.70860062729540751</v>
      </c>
      <c r="AB121">
        <v>0.14689091556790906</v>
      </c>
      <c r="AC121">
        <v>0.14794499993260293</v>
      </c>
      <c r="AD121">
        <v>0.70516408449948809</v>
      </c>
      <c r="AE121" t="s">
        <v>275</v>
      </c>
      <c r="AF121" t="s">
        <v>26</v>
      </c>
      <c r="AG121">
        <v>119.98</v>
      </c>
      <c r="AH121">
        <v>33</v>
      </c>
      <c r="AI121">
        <v>18</v>
      </c>
      <c r="AJ121">
        <v>6</v>
      </c>
      <c r="AK121">
        <v>26</v>
      </c>
      <c r="AL121">
        <v>276</v>
      </c>
      <c r="AM121">
        <v>2599</v>
      </c>
      <c r="AN121">
        <v>78</v>
      </c>
      <c r="AO121">
        <v>74</v>
      </c>
      <c r="AP121">
        <v>75</v>
      </c>
      <c r="AQ121">
        <v>4</v>
      </c>
      <c r="AR121" t="s">
        <v>46</v>
      </c>
      <c r="AS121" t="s">
        <v>50</v>
      </c>
      <c r="AT121" t="s">
        <v>26</v>
      </c>
      <c r="AU121">
        <v>559.54999999999995</v>
      </c>
      <c r="AV121">
        <v>29</v>
      </c>
      <c r="AW121">
        <v>17</v>
      </c>
      <c r="AX121">
        <v>13</v>
      </c>
      <c r="AY121">
        <v>25</v>
      </c>
      <c r="AZ121">
        <v>36</v>
      </c>
      <c r="BA121">
        <v>7276</v>
      </c>
      <c r="BB121">
        <v>83</v>
      </c>
      <c r="BC121">
        <v>83</v>
      </c>
      <c r="BD121">
        <v>82</v>
      </c>
      <c r="BE121">
        <v>4.5</v>
      </c>
      <c r="BF121" t="s">
        <v>29</v>
      </c>
      <c r="BG121">
        <v>-27</v>
      </c>
      <c r="BH121">
        <v>-25</v>
      </c>
      <c r="BI121">
        <v>0.105</v>
      </c>
      <c r="BJ121" t="s">
        <v>273</v>
      </c>
      <c r="BK121">
        <v>0.2571</v>
      </c>
      <c r="BL121">
        <v>0.60870000000000002</v>
      </c>
      <c r="BM121">
        <v>1.31</v>
      </c>
      <c r="BN121">
        <v>2.2200000000000002</v>
      </c>
    </row>
    <row r="122" spans="1:66" x14ac:dyDescent="0.25">
      <c r="A122" s="42">
        <v>3</v>
      </c>
      <c r="B122" s="4">
        <v>-3</v>
      </c>
      <c r="C122" s="42"/>
      <c r="D122">
        <v>2.4275000000000002</v>
      </c>
      <c r="E122">
        <v>3.625</v>
      </c>
      <c r="F122">
        <v>2.8125</v>
      </c>
      <c r="J122">
        <v>2.4500000000000002</v>
      </c>
      <c r="K122">
        <v>3.5</v>
      </c>
      <c r="L122">
        <v>2.8</v>
      </c>
      <c r="M122">
        <v>2.3199999999999998</v>
      </c>
      <c r="N122">
        <v>3.85</v>
      </c>
      <c r="O122">
        <v>2.8</v>
      </c>
      <c r="P122">
        <v>2.44</v>
      </c>
      <c r="Q122">
        <v>3.55</v>
      </c>
      <c r="R122">
        <v>2.8</v>
      </c>
      <c r="S122">
        <v>0.39991491172091043</v>
      </c>
      <c r="T122">
        <v>0.25015954052329292</v>
      </c>
      <c r="U122">
        <v>0.34992554775579665</v>
      </c>
      <c r="V122">
        <v>0.42316692667706707</v>
      </c>
      <c r="W122">
        <v>0.22620904836193445</v>
      </c>
      <c r="X122">
        <v>0.35062402496099843</v>
      </c>
      <c r="Y122">
        <v>0.40249646045826232</v>
      </c>
      <c r="Z122">
        <v>0.24675662399953774</v>
      </c>
      <c r="AA122">
        <v>0.3507469155422</v>
      </c>
      <c r="AB122">
        <v>0.40681885200443818</v>
      </c>
      <c r="AC122">
        <v>0.24226555462346369</v>
      </c>
      <c r="AD122">
        <v>0.3509155933720981</v>
      </c>
      <c r="AE122" t="s">
        <v>57</v>
      </c>
      <c r="AF122" t="s">
        <v>26</v>
      </c>
      <c r="AG122">
        <v>117.95</v>
      </c>
      <c r="AH122">
        <v>36</v>
      </c>
      <c r="AI122">
        <v>17</v>
      </c>
      <c r="AJ122">
        <v>6</v>
      </c>
      <c r="AK122">
        <v>24</v>
      </c>
      <c r="AL122">
        <v>234</v>
      </c>
      <c r="AM122">
        <v>2973</v>
      </c>
      <c r="AN122">
        <v>75</v>
      </c>
      <c r="AO122">
        <v>73</v>
      </c>
      <c r="AP122">
        <v>75</v>
      </c>
      <c r="AQ122">
        <v>4</v>
      </c>
      <c r="AR122" t="s">
        <v>46</v>
      </c>
      <c r="AS122" t="s">
        <v>61</v>
      </c>
      <c r="AT122" t="s">
        <v>26</v>
      </c>
      <c r="AU122">
        <v>73.7</v>
      </c>
      <c r="AV122">
        <v>32</v>
      </c>
      <c r="AW122">
        <v>16</v>
      </c>
      <c r="AX122">
        <v>2</v>
      </c>
      <c r="AY122">
        <v>23.9</v>
      </c>
      <c r="AZ122">
        <v>671</v>
      </c>
      <c r="BA122">
        <v>828</v>
      </c>
      <c r="BB122">
        <v>73</v>
      </c>
      <c r="BC122">
        <v>70</v>
      </c>
      <c r="BD122">
        <v>69</v>
      </c>
      <c r="BE122">
        <v>3.5</v>
      </c>
      <c r="BF122" t="s">
        <v>29</v>
      </c>
      <c r="BG122">
        <v>4</v>
      </c>
      <c r="BH122">
        <v>12</v>
      </c>
      <c r="BI122">
        <v>0.42899999999999999</v>
      </c>
      <c r="BJ122" t="s">
        <v>273</v>
      </c>
      <c r="BK122">
        <v>0.31430000000000002</v>
      </c>
      <c r="BL122">
        <v>0.51349999999999996</v>
      </c>
      <c r="BM122">
        <v>1.26</v>
      </c>
      <c r="BN122">
        <v>1.78</v>
      </c>
    </row>
    <row r="123" spans="1:66" x14ac:dyDescent="0.25">
      <c r="A123" s="42">
        <v>3</v>
      </c>
      <c r="B123" s="4">
        <v>-2</v>
      </c>
      <c r="C123" s="42"/>
      <c r="D123">
        <v>2.625</v>
      </c>
      <c r="E123">
        <v>3.4</v>
      </c>
      <c r="F123">
        <v>2.7625000000000002</v>
      </c>
      <c r="J123">
        <v>2.6</v>
      </c>
      <c r="K123">
        <v>3.35</v>
      </c>
      <c r="L123">
        <v>2.7</v>
      </c>
      <c r="M123">
        <v>2.65</v>
      </c>
      <c r="N123">
        <v>3.45</v>
      </c>
      <c r="O123">
        <v>2.8</v>
      </c>
      <c r="P123">
        <v>2.6</v>
      </c>
      <c r="Q123">
        <v>3.35</v>
      </c>
      <c r="R123">
        <v>2.75</v>
      </c>
      <c r="S123">
        <v>0.37602586421288237</v>
      </c>
      <c r="T123">
        <v>0.26187515543397161</v>
      </c>
      <c r="U123">
        <v>0.36209898035314597</v>
      </c>
      <c r="V123">
        <v>0.38123931747733136</v>
      </c>
      <c r="W123">
        <v>0.25794489991019443</v>
      </c>
      <c r="X123">
        <v>0.36081578261247432</v>
      </c>
      <c r="Y123">
        <v>0.37896187413872301</v>
      </c>
      <c r="Z123">
        <v>0.26274689940284796</v>
      </c>
      <c r="AA123">
        <v>0.35829122645842904</v>
      </c>
      <c r="AB123">
        <v>0.37936659332656703</v>
      </c>
      <c r="AC123">
        <v>0.26012796366430213</v>
      </c>
      <c r="AD123">
        <v>0.3605054430091309</v>
      </c>
      <c r="AE123" t="s">
        <v>53</v>
      </c>
      <c r="AF123" t="s">
        <v>26</v>
      </c>
      <c r="AG123">
        <v>195.83</v>
      </c>
      <c r="AH123">
        <v>29</v>
      </c>
      <c r="AI123">
        <v>18</v>
      </c>
      <c r="AJ123">
        <v>11</v>
      </c>
      <c r="AK123">
        <v>25.3</v>
      </c>
      <c r="AL123">
        <v>152</v>
      </c>
      <c r="AM123">
        <v>3938</v>
      </c>
      <c r="AN123">
        <v>76</v>
      </c>
      <c r="AO123">
        <v>77</v>
      </c>
      <c r="AP123">
        <v>76</v>
      </c>
      <c r="AQ123">
        <v>4</v>
      </c>
      <c r="AR123" t="s">
        <v>29</v>
      </c>
      <c r="AS123" t="s">
        <v>56</v>
      </c>
      <c r="AT123" t="s">
        <v>26</v>
      </c>
      <c r="AU123">
        <v>123.65</v>
      </c>
      <c r="AV123">
        <v>40</v>
      </c>
      <c r="AW123">
        <v>20</v>
      </c>
      <c r="AX123">
        <v>5</v>
      </c>
      <c r="AY123">
        <v>24.2</v>
      </c>
      <c r="AZ123">
        <v>216</v>
      </c>
      <c r="BA123">
        <v>3121</v>
      </c>
      <c r="BB123">
        <v>77</v>
      </c>
      <c r="BC123">
        <v>76</v>
      </c>
      <c r="BD123">
        <v>77</v>
      </c>
      <c r="BE123">
        <v>4</v>
      </c>
      <c r="BF123" t="s">
        <v>29</v>
      </c>
      <c r="BG123">
        <v>-20</v>
      </c>
      <c r="BH123">
        <v>8</v>
      </c>
      <c r="BI123">
        <v>0.38900000000000001</v>
      </c>
      <c r="BJ123" t="s">
        <v>273</v>
      </c>
      <c r="BK123">
        <v>0.31580000000000003</v>
      </c>
      <c r="BL123">
        <v>0.27500000000000002</v>
      </c>
      <c r="BM123">
        <v>1.29</v>
      </c>
      <c r="BN123">
        <v>1.43</v>
      </c>
    </row>
    <row r="124" spans="1:66" x14ac:dyDescent="0.25">
      <c r="A124" s="42">
        <v>3</v>
      </c>
      <c r="B124" s="4">
        <v>-3</v>
      </c>
      <c r="C124" s="42"/>
      <c r="D124">
        <v>2.9074999999999998</v>
      </c>
      <c r="E124">
        <v>3.1124999999999998</v>
      </c>
      <c r="F124">
        <v>2.5674999999999999</v>
      </c>
      <c r="J124">
        <v>2.8</v>
      </c>
      <c r="K124">
        <v>3.05</v>
      </c>
      <c r="L124">
        <v>2.5499999999999998</v>
      </c>
      <c r="M124">
        <v>3</v>
      </c>
      <c r="N124">
        <v>3.2</v>
      </c>
      <c r="O124">
        <v>2.6</v>
      </c>
      <c r="P124">
        <v>2.98</v>
      </c>
      <c r="Q124">
        <v>3.1</v>
      </c>
      <c r="R124">
        <v>2.57</v>
      </c>
      <c r="S124">
        <v>0.34084788029925184</v>
      </c>
      <c r="T124">
        <v>0.2848877805486284</v>
      </c>
      <c r="U124">
        <v>0.37426433915211971</v>
      </c>
      <c r="V124">
        <v>0.33562292752250122</v>
      </c>
      <c r="W124">
        <v>0.27711984841307441</v>
      </c>
      <c r="X124">
        <v>0.38725722406442448</v>
      </c>
      <c r="Y124">
        <v>0.33167105700274041</v>
      </c>
      <c r="Z124">
        <v>0.28374538273727268</v>
      </c>
      <c r="AA124">
        <v>0.38458356025998697</v>
      </c>
      <c r="AB124">
        <v>0.33684608327480497</v>
      </c>
      <c r="AC124">
        <v>0.28183929913224171</v>
      </c>
      <c r="AD124">
        <v>0.38131461759295343</v>
      </c>
      <c r="AE124" t="s">
        <v>35</v>
      </c>
      <c r="AF124" t="s">
        <v>23</v>
      </c>
      <c r="AG124">
        <v>87.33</v>
      </c>
      <c r="AH124">
        <v>31</v>
      </c>
      <c r="AI124">
        <v>10</v>
      </c>
      <c r="AJ124">
        <v>4</v>
      </c>
      <c r="AK124">
        <v>25.4</v>
      </c>
      <c r="AL124">
        <v>169</v>
      </c>
      <c r="AM124">
        <v>3749</v>
      </c>
      <c r="AN124">
        <v>73</v>
      </c>
      <c r="AO124">
        <v>76</v>
      </c>
      <c r="AP124">
        <v>74</v>
      </c>
      <c r="AQ124">
        <v>4</v>
      </c>
      <c r="AR124" t="s">
        <v>29</v>
      </c>
      <c r="AS124" t="s">
        <v>32</v>
      </c>
      <c r="AT124" t="s">
        <v>23</v>
      </c>
      <c r="AU124">
        <v>196.35</v>
      </c>
      <c r="AV124">
        <v>33</v>
      </c>
      <c r="AW124">
        <v>6</v>
      </c>
      <c r="AX124">
        <v>5</v>
      </c>
      <c r="AY124">
        <v>24.3</v>
      </c>
      <c r="AZ124">
        <v>102</v>
      </c>
      <c r="BA124">
        <v>4815</v>
      </c>
      <c r="BB124">
        <v>76</v>
      </c>
      <c r="BC124">
        <v>77</v>
      </c>
      <c r="BD124">
        <v>76</v>
      </c>
      <c r="BE124">
        <v>4</v>
      </c>
      <c r="BF124" t="s">
        <v>29</v>
      </c>
      <c r="BG124">
        <v>-11</v>
      </c>
      <c r="BH124">
        <v>12</v>
      </c>
      <c r="BI124">
        <v>0.26</v>
      </c>
      <c r="BJ124" t="s">
        <v>266</v>
      </c>
      <c r="BK124">
        <v>0.33329999999999999</v>
      </c>
      <c r="BL124">
        <v>0.47499999999999998</v>
      </c>
      <c r="BM124">
        <v>1.17</v>
      </c>
      <c r="BN124">
        <v>1.43</v>
      </c>
    </row>
    <row r="125" spans="1:66" x14ac:dyDescent="0.25">
      <c r="A125" s="42">
        <v>2</v>
      </c>
      <c r="B125" s="4">
        <v>0</v>
      </c>
      <c r="C125" s="42"/>
      <c r="D125">
        <v>1.645</v>
      </c>
      <c r="E125">
        <v>3.6875</v>
      </c>
      <c r="F125">
        <v>5.7249999999999996</v>
      </c>
      <c r="J125">
        <v>1.62</v>
      </c>
      <c r="K125">
        <v>3.6</v>
      </c>
      <c r="L125">
        <v>5.5</v>
      </c>
      <c r="M125">
        <v>1.68</v>
      </c>
      <c r="N125">
        <v>3.75</v>
      </c>
      <c r="O125">
        <v>6</v>
      </c>
      <c r="P125">
        <v>1.64</v>
      </c>
      <c r="Q125">
        <v>3.75</v>
      </c>
      <c r="R125">
        <v>5.9</v>
      </c>
      <c r="S125">
        <v>0.60931282219855176</v>
      </c>
      <c r="T125">
        <v>0.21121685562660208</v>
      </c>
      <c r="U125">
        <v>0.17947032217484615</v>
      </c>
      <c r="V125">
        <v>0.62034131031777162</v>
      </c>
      <c r="W125">
        <v>0.20596312279325221</v>
      </c>
      <c r="X125">
        <v>0.17369556688897608</v>
      </c>
      <c r="Y125">
        <v>0.62301656397265737</v>
      </c>
      <c r="Z125">
        <v>0.20380595044850225</v>
      </c>
      <c r="AA125">
        <v>0.17317748557884036</v>
      </c>
      <c r="AB125">
        <v>0.61526471793986537</v>
      </c>
      <c r="AC125">
        <v>0.20779686533385119</v>
      </c>
      <c r="AD125">
        <v>0.1769384167262833</v>
      </c>
      <c r="AE125" t="s">
        <v>34</v>
      </c>
      <c r="AF125" t="s">
        <v>23</v>
      </c>
      <c r="AG125">
        <v>224.6</v>
      </c>
      <c r="AH125">
        <v>35</v>
      </c>
      <c r="AI125">
        <v>11</v>
      </c>
      <c r="AJ125">
        <v>8</v>
      </c>
      <c r="AK125">
        <v>24.6</v>
      </c>
      <c r="AL125">
        <v>145</v>
      </c>
      <c r="AM125">
        <v>4008</v>
      </c>
      <c r="AN125">
        <v>80</v>
      </c>
      <c r="AO125">
        <v>78</v>
      </c>
      <c r="AP125">
        <v>77</v>
      </c>
      <c r="AQ125">
        <v>4</v>
      </c>
      <c r="AR125" t="s">
        <v>29</v>
      </c>
      <c r="AS125" t="s">
        <v>48</v>
      </c>
      <c r="AT125" t="s">
        <v>23</v>
      </c>
      <c r="AU125">
        <v>62.58</v>
      </c>
      <c r="AV125">
        <v>32</v>
      </c>
      <c r="AW125">
        <v>21</v>
      </c>
      <c r="AX125">
        <v>10</v>
      </c>
      <c r="AY125">
        <v>24.9</v>
      </c>
      <c r="AZ125">
        <v>426</v>
      </c>
      <c r="BA125">
        <v>1736</v>
      </c>
      <c r="BB125">
        <v>73</v>
      </c>
      <c r="BC125">
        <v>72</v>
      </c>
      <c r="BD125">
        <v>72</v>
      </c>
      <c r="BE125">
        <v>3.5</v>
      </c>
      <c r="BF125" t="s">
        <v>46</v>
      </c>
      <c r="BG125">
        <v>-36</v>
      </c>
      <c r="BH125">
        <v>-50</v>
      </c>
      <c r="BI125">
        <v>0.17199999999999999</v>
      </c>
      <c r="BJ125" t="s">
        <v>266</v>
      </c>
      <c r="BK125">
        <v>0.54549999999999998</v>
      </c>
      <c r="BL125">
        <v>0.26669999999999999</v>
      </c>
      <c r="BM125">
        <v>1.48</v>
      </c>
      <c r="BN125">
        <v>0.93</v>
      </c>
    </row>
    <row r="126" spans="1:66" x14ac:dyDescent="0.25">
      <c r="A126">
        <v>1</v>
      </c>
      <c r="B126" s="4">
        <v>2</v>
      </c>
      <c r="D126">
        <v>2.1850000000000001</v>
      </c>
      <c r="E126">
        <v>3.1875</v>
      </c>
      <c r="F126">
        <v>3.5</v>
      </c>
      <c r="J126">
        <v>2.15</v>
      </c>
      <c r="K126">
        <v>3.2</v>
      </c>
      <c r="L126">
        <v>3.5</v>
      </c>
      <c r="M126">
        <v>2.2200000000000002</v>
      </c>
      <c r="N126">
        <v>3.15</v>
      </c>
      <c r="O126">
        <v>3.45</v>
      </c>
      <c r="P126">
        <v>2.2200000000000002</v>
      </c>
      <c r="Q126">
        <v>3.2</v>
      </c>
      <c r="R126">
        <v>3.55</v>
      </c>
      <c r="S126">
        <v>0.45385913491429081</v>
      </c>
      <c r="T126">
        <v>0.26734168220978766</v>
      </c>
      <c r="U126">
        <v>0.27879918287592148</v>
      </c>
      <c r="V126">
        <v>0.44211349203799488</v>
      </c>
      <c r="W126">
        <v>0.27339608699842588</v>
      </c>
      <c r="X126">
        <v>0.28449042096357935</v>
      </c>
      <c r="Y126">
        <v>0.44903898561306438</v>
      </c>
      <c r="Z126">
        <v>0.27015353605989245</v>
      </c>
      <c r="AA126">
        <v>0.28080747832704311</v>
      </c>
      <c r="AB126">
        <v>0.44971768686991026</v>
      </c>
      <c r="AC126">
        <v>0.26955824686947338</v>
      </c>
      <c r="AD126">
        <v>0.28072406626061636</v>
      </c>
      <c r="AE126" t="s">
        <v>64</v>
      </c>
      <c r="AF126" t="s">
        <v>63</v>
      </c>
      <c r="AG126">
        <v>14.58</v>
      </c>
      <c r="AH126">
        <v>27</v>
      </c>
      <c r="AI126">
        <v>2</v>
      </c>
      <c r="AJ126">
        <v>2</v>
      </c>
      <c r="AK126">
        <v>25.6</v>
      </c>
      <c r="AL126">
        <v>71</v>
      </c>
      <c r="AM126">
        <v>5560</v>
      </c>
      <c r="AN126">
        <v>67</v>
      </c>
      <c r="AO126">
        <v>66</v>
      </c>
      <c r="AP126">
        <v>67</v>
      </c>
      <c r="AQ126">
        <v>2.5</v>
      </c>
      <c r="AR126" t="s">
        <v>29</v>
      </c>
      <c r="AS126" t="s">
        <v>74</v>
      </c>
      <c r="AT126" t="s">
        <v>63</v>
      </c>
      <c r="AU126">
        <v>7.13</v>
      </c>
      <c r="AV126">
        <v>26</v>
      </c>
      <c r="AW126">
        <v>4</v>
      </c>
      <c r="AX126">
        <v>1</v>
      </c>
      <c r="AY126">
        <v>26.3</v>
      </c>
      <c r="AZ126">
        <v>254</v>
      </c>
      <c r="BA126">
        <v>2813</v>
      </c>
      <c r="BB126">
        <v>67</v>
      </c>
      <c r="BC126">
        <v>64</v>
      </c>
      <c r="BD126">
        <v>65</v>
      </c>
      <c r="BE126">
        <v>2</v>
      </c>
      <c r="BF126" t="s">
        <v>46</v>
      </c>
      <c r="BG126">
        <v>-7</v>
      </c>
      <c r="BH126">
        <v>-14</v>
      </c>
      <c r="BI126">
        <v>0.188</v>
      </c>
      <c r="BJ126" t="s">
        <v>63</v>
      </c>
      <c r="BK126">
        <v>0.37930000000000003</v>
      </c>
      <c r="BL126">
        <v>0.25</v>
      </c>
      <c r="BM126">
        <v>1.48</v>
      </c>
      <c r="BN126">
        <v>1.17</v>
      </c>
    </row>
    <row r="127" spans="1:66" x14ac:dyDescent="0.25">
      <c r="A127">
        <v>2</v>
      </c>
      <c r="B127" s="4">
        <v>0</v>
      </c>
      <c r="D127">
        <v>2.6374999999999997</v>
      </c>
      <c r="E127">
        <v>3.1125000000000003</v>
      </c>
      <c r="F127">
        <v>2.7925000000000004</v>
      </c>
      <c r="J127">
        <v>2.6</v>
      </c>
      <c r="K127">
        <v>3.15</v>
      </c>
      <c r="L127">
        <v>2.8</v>
      </c>
      <c r="M127">
        <v>2.65</v>
      </c>
      <c r="N127">
        <v>3.1</v>
      </c>
      <c r="O127">
        <v>2.75</v>
      </c>
      <c r="P127">
        <v>2.7</v>
      </c>
      <c r="Q127">
        <v>3.1</v>
      </c>
      <c r="R127">
        <v>2.82</v>
      </c>
      <c r="S127">
        <v>0.37433155080213903</v>
      </c>
      <c r="T127">
        <v>0.27807486631016043</v>
      </c>
      <c r="U127">
        <v>0.34759358288770054</v>
      </c>
      <c r="V127">
        <v>0.36556641822346986</v>
      </c>
      <c r="W127">
        <v>0.28216048785209563</v>
      </c>
      <c r="X127">
        <v>0.35227309392443457</v>
      </c>
      <c r="Y127">
        <v>0.3656577120074066</v>
      </c>
      <c r="Z127">
        <v>0.28424447862379976</v>
      </c>
      <c r="AA127">
        <v>0.35009780936879359</v>
      </c>
      <c r="AB127">
        <v>0.36946921976767805</v>
      </c>
      <c r="AC127">
        <v>0.28160795199976724</v>
      </c>
      <c r="AD127">
        <v>0.34892282823255466</v>
      </c>
      <c r="AE127" t="s">
        <v>276</v>
      </c>
      <c r="AF127" t="s">
        <v>63</v>
      </c>
      <c r="AG127">
        <v>13.68</v>
      </c>
      <c r="AH127">
        <v>31</v>
      </c>
      <c r="AI127">
        <v>7</v>
      </c>
      <c r="AJ127">
        <v>0</v>
      </c>
      <c r="AK127">
        <v>27.2</v>
      </c>
      <c r="AL127">
        <v>209</v>
      </c>
      <c r="AM127">
        <v>3175</v>
      </c>
      <c r="AN127">
        <v>70</v>
      </c>
      <c r="AO127">
        <v>68</v>
      </c>
      <c r="AP127">
        <v>68</v>
      </c>
      <c r="AQ127">
        <v>2.5</v>
      </c>
      <c r="AR127" t="s">
        <v>46</v>
      </c>
      <c r="AS127" t="s">
        <v>70</v>
      </c>
      <c r="AT127" t="s">
        <v>63</v>
      </c>
      <c r="AU127">
        <v>16.05</v>
      </c>
      <c r="AV127">
        <v>30</v>
      </c>
      <c r="AW127">
        <v>3</v>
      </c>
      <c r="AX127">
        <v>0</v>
      </c>
      <c r="AY127">
        <v>26.3</v>
      </c>
      <c r="AZ127">
        <v>200</v>
      </c>
      <c r="BA127">
        <v>3276</v>
      </c>
      <c r="BB127">
        <v>69</v>
      </c>
      <c r="BC127">
        <v>69</v>
      </c>
      <c r="BD127">
        <v>64</v>
      </c>
      <c r="BE127">
        <v>3</v>
      </c>
      <c r="BF127" t="s">
        <v>29</v>
      </c>
      <c r="BG127">
        <v>2</v>
      </c>
      <c r="BH127">
        <v>21</v>
      </c>
      <c r="BI127">
        <v>0.36699999999999999</v>
      </c>
      <c r="BJ127" t="s">
        <v>63</v>
      </c>
      <c r="BK127">
        <v>0.51719999999999999</v>
      </c>
      <c r="BL127">
        <v>0.36</v>
      </c>
      <c r="BM127">
        <v>1.55</v>
      </c>
      <c r="BN127">
        <v>1.44</v>
      </c>
    </row>
    <row r="128" spans="1:66" x14ac:dyDescent="0.25">
      <c r="A128">
        <v>3</v>
      </c>
      <c r="B128" s="4">
        <v>-2</v>
      </c>
      <c r="D128">
        <v>2.29</v>
      </c>
      <c r="E128">
        <v>3.4125000000000001</v>
      </c>
      <c r="F128">
        <v>3.25</v>
      </c>
      <c r="J128">
        <v>2.2999999999999998</v>
      </c>
      <c r="K128">
        <v>3.35</v>
      </c>
      <c r="L128">
        <v>3.25</v>
      </c>
      <c r="M128">
        <v>2.2799999999999998</v>
      </c>
      <c r="N128">
        <v>3.5</v>
      </c>
      <c r="O128">
        <v>3.3</v>
      </c>
      <c r="P128">
        <v>2.2799999999999998</v>
      </c>
      <c r="Q128">
        <v>3.4</v>
      </c>
      <c r="R128">
        <v>3.2</v>
      </c>
      <c r="S128">
        <v>0.43284189711826454</v>
      </c>
      <c r="T128">
        <v>0.26083922184419439</v>
      </c>
      <c r="U128">
        <v>0.30631888103754107</v>
      </c>
      <c r="V128">
        <v>0.44303966285241791</v>
      </c>
      <c r="W128">
        <v>0.25086020644954798</v>
      </c>
      <c r="X128">
        <v>0.30610013069803421</v>
      </c>
      <c r="Y128">
        <v>0.43418351564916619</v>
      </c>
      <c r="Z128">
        <v>0.25646072945080284</v>
      </c>
      <c r="AA128">
        <v>0.30935575490003087</v>
      </c>
      <c r="AB128">
        <v>0.43621348131847809</v>
      </c>
      <c r="AC128">
        <v>0.25641864592997832</v>
      </c>
      <c r="AD128">
        <v>0.30736787275154354</v>
      </c>
      <c r="AE128" t="s">
        <v>157</v>
      </c>
      <c r="AF128" t="s">
        <v>141</v>
      </c>
      <c r="AG128">
        <v>70.53</v>
      </c>
      <c r="AH128">
        <v>26</v>
      </c>
      <c r="AI128">
        <v>3</v>
      </c>
      <c r="AJ128">
        <v>0</v>
      </c>
      <c r="AK128">
        <v>28.5</v>
      </c>
      <c r="AL128">
        <v>202</v>
      </c>
      <c r="AM128">
        <v>3267</v>
      </c>
      <c r="AN128">
        <v>76</v>
      </c>
      <c r="AO128">
        <v>74</v>
      </c>
      <c r="AP128">
        <v>74</v>
      </c>
      <c r="AQ128">
        <v>3.5</v>
      </c>
      <c r="AR128" t="s">
        <v>46</v>
      </c>
      <c r="AS128" t="s">
        <v>151</v>
      </c>
      <c r="AT128" t="s">
        <v>141</v>
      </c>
      <c r="AU128">
        <v>106.95</v>
      </c>
      <c r="AV128">
        <v>31</v>
      </c>
      <c r="AW128">
        <v>8</v>
      </c>
      <c r="AX128">
        <v>3</v>
      </c>
      <c r="AY128">
        <v>27.6</v>
      </c>
      <c r="AZ128">
        <v>116</v>
      </c>
      <c r="BA128">
        <v>4556</v>
      </c>
      <c r="BB128">
        <v>77</v>
      </c>
      <c r="BC128">
        <v>77</v>
      </c>
      <c r="BD128">
        <v>76</v>
      </c>
      <c r="BE128">
        <v>4</v>
      </c>
      <c r="BF128" t="s">
        <v>29</v>
      </c>
      <c r="BG128">
        <v>13</v>
      </c>
      <c r="BH128">
        <v>8</v>
      </c>
      <c r="BI128">
        <v>0.5</v>
      </c>
      <c r="BJ128" t="s">
        <v>270</v>
      </c>
      <c r="BK128">
        <v>0.38100000000000001</v>
      </c>
      <c r="BL128">
        <v>0.3659</v>
      </c>
      <c r="BM128">
        <v>1.31</v>
      </c>
      <c r="BN128">
        <v>1.32</v>
      </c>
    </row>
    <row r="129" spans="1:66" x14ac:dyDescent="0.25">
      <c r="A129">
        <v>3</v>
      </c>
      <c r="B129" s="4">
        <v>-1</v>
      </c>
      <c r="D129">
        <v>3.0999999999999996</v>
      </c>
      <c r="E129">
        <v>2.9624999999999999</v>
      </c>
      <c r="F129">
        <v>2.6399999999999997</v>
      </c>
      <c r="J129">
        <v>3.05</v>
      </c>
      <c r="K129">
        <v>3</v>
      </c>
      <c r="L129">
        <v>2.63</v>
      </c>
      <c r="M129">
        <v>3.15</v>
      </c>
      <c r="N129">
        <v>2.95</v>
      </c>
      <c r="O129">
        <v>2.65</v>
      </c>
      <c r="P129">
        <v>3.1</v>
      </c>
      <c r="Q129">
        <v>2.9</v>
      </c>
      <c r="R129">
        <v>2.63</v>
      </c>
      <c r="S129">
        <v>0.32695583786906091</v>
      </c>
      <c r="T129">
        <v>0.2938748444500891</v>
      </c>
      <c r="U129">
        <v>0.3791693176808501</v>
      </c>
      <c r="V129">
        <v>0.32006935932314867</v>
      </c>
      <c r="W129">
        <v>0.29947083619839154</v>
      </c>
      <c r="X129">
        <v>0.38045980447845978</v>
      </c>
      <c r="Y129">
        <v>0.32002143965023161</v>
      </c>
      <c r="Z129">
        <v>0.30276697749208081</v>
      </c>
      <c r="AA129">
        <v>0.37721158285768747</v>
      </c>
      <c r="AB129">
        <v>0.32300623792026839</v>
      </c>
      <c r="AC129">
        <v>0.29774275790097654</v>
      </c>
      <c r="AD129">
        <v>0.37925100417875512</v>
      </c>
      <c r="AE129" t="s">
        <v>155</v>
      </c>
      <c r="AF129" t="s">
        <v>141</v>
      </c>
      <c r="AG129">
        <v>46.75</v>
      </c>
      <c r="AH129">
        <v>22</v>
      </c>
      <c r="AI129">
        <v>6</v>
      </c>
      <c r="AJ129">
        <v>1</v>
      </c>
      <c r="AK129">
        <v>29</v>
      </c>
      <c r="AL129">
        <v>159</v>
      </c>
      <c r="AM129">
        <v>3861</v>
      </c>
      <c r="AN129">
        <v>77</v>
      </c>
      <c r="AO129">
        <v>78</v>
      </c>
      <c r="AP129">
        <v>75</v>
      </c>
      <c r="AQ129">
        <v>4</v>
      </c>
      <c r="AR129" t="s">
        <v>46</v>
      </c>
      <c r="AS129" t="s">
        <v>148</v>
      </c>
      <c r="AT129" t="s">
        <v>141</v>
      </c>
      <c r="AU129">
        <v>216.3</v>
      </c>
      <c r="AV129">
        <v>26</v>
      </c>
      <c r="AW129">
        <v>1</v>
      </c>
      <c r="AX129">
        <v>3</v>
      </c>
      <c r="AY129">
        <v>26.7</v>
      </c>
      <c r="AZ129">
        <v>61</v>
      </c>
      <c r="BA129">
        <v>6139</v>
      </c>
      <c r="BB129">
        <v>79</v>
      </c>
      <c r="BC129">
        <v>79</v>
      </c>
      <c r="BD129">
        <v>79</v>
      </c>
      <c r="BE129">
        <v>4.5</v>
      </c>
      <c r="BF129" t="s">
        <v>29</v>
      </c>
      <c r="BG129">
        <v>-1</v>
      </c>
      <c r="BH129">
        <v>12</v>
      </c>
      <c r="BI129">
        <v>0.25</v>
      </c>
      <c r="BJ129" t="s">
        <v>270</v>
      </c>
      <c r="BK129">
        <v>0.31709999999999999</v>
      </c>
      <c r="BL129">
        <v>0.36959999999999998</v>
      </c>
      <c r="BM129">
        <v>1.1499999999999999</v>
      </c>
      <c r="BN129">
        <v>1.2</v>
      </c>
    </row>
    <row r="130" spans="1:66" x14ac:dyDescent="0.25">
      <c r="A130">
        <v>1</v>
      </c>
      <c r="B130" s="4">
        <v>3</v>
      </c>
      <c r="D130">
        <v>1.5075000000000001</v>
      </c>
      <c r="E130">
        <v>4.0250000000000004</v>
      </c>
      <c r="F130">
        <v>7.7750000000000004</v>
      </c>
      <c r="J130">
        <v>1.5</v>
      </c>
      <c r="K130">
        <v>4</v>
      </c>
      <c r="L130">
        <v>8</v>
      </c>
      <c r="M130">
        <v>1.53</v>
      </c>
      <c r="N130">
        <v>4.0999999999999996</v>
      </c>
      <c r="O130">
        <v>7.6</v>
      </c>
      <c r="P130">
        <v>1.5</v>
      </c>
      <c r="Q130">
        <v>4</v>
      </c>
      <c r="R130">
        <v>7.5</v>
      </c>
      <c r="S130">
        <v>0.69565217391304346</v>
      </c>
      <c r="T130">
        <v>0.17391304347826086</v>
      </c>
      <c r="U130">
        <v>0.13043478260869565</v>
      </c>
      <c r="V130">
        <v>0.68686437300843772</v>
      </c>
      <c r="W130">
        <v>0.17485898347802156</v>
      </c>
      <c r="X130">
        <v>0.13827664351354074</v>
      </c>
      <c r="Y130">
        <v>0.68627450980392146</v>
      </c>
      <c r="Z130">
        <v>0.17647058823529413</v>
      </c>
      <c r="AA130">
        <v>0.1372549019607843</v>
      </c>
      <c r="AB130">
        <v>0.69111080765961153</v>
      </c>
      <c r="AC130">
        <v>0.17478891466745936</v>
      </c>
      <c r="AD130">
        <v>0.13410027767292909</v>
      </c>
      <c r="AE130" t="s">
        <v>143</v>
      </c>
      <c r="AF130" t="s">
        <v>141</v>
      </c>
      <c r="AG130">
        <v>764.3</v>
      </c>
      <c r="AH130">
        <v>31</v>
      </c>
      <c r="AI130">
        <v>17</v>
      </c>
      <c r="AJ130">
        <v>18</v>
      </c>
      <c r="AK130">
        <v>25.2</v>
      </c>
      <c r="AL130">
        <v>13</v>
      </c>
      <c r="AM130">
        <v>9329</v>
      </c>
      <c r="AN130">
        <v>81</v>
      </c>
      <c r="AO130">
        <v>83</v>
      </c>
      <c r="AP130">
        <v>82</v>
      </c>
      <c r="AQ130">
        <v>5</v>
      </c>
      <c r="AR130" t="s">
        <v>29</v>
      </c>
      <c r="AS130" t="s">
        <v>150</v>
      </c>
      <c r="AT130" t="s">
        <v>141</v>
      </c>
      <c r="AU130">
        <v>60.93</v>
      </c>
      <c r="AV130">
        <v>23</v>
      </c>
      <c r="AW130">
        <v>8</v>
      </c>
      <c r="AX130">
        <v>4</v>
      </c>
      <c r="AY130">
        <v>28.2</v>
      </c>
      <c r="AZ130">
        <v>103</v>
      </c>
      <c r="BA130">
        <v>4803</v>
      </c>
      <c r="BB130">
        <v>76</v>
      </c>
      <c r="BC130">
        <v>75</v>
      </c>
      <c r="BD130">
        <v>75</v>
      </c>
      <c r="BE130">
        <v>4</v>
      </c>
      <c r="BF130" t="s">
        <v>46</v>
      </c>
      <c r="BG130">
        <v>59</v>
      </c>
      <c r="BH130">
        <v>76</v>
      </c>
      <c r="BI130">
        <v>0.62</v>
      </c>
      <c r="BJ130" t="s">
        <v>270</v>
      </c>
      <c r="BK130">
        <v>0.48</v>
      </c>
      <c r="BL130">
        <v>0.4889</v>
      </c>
      <c r="BM130">
        <v>1.36</v>
      </c>
      <c r="BN130">
        <v>1.47</v>
      </c>
    </row>
    <row r="131" spans="1:66" x14ac:dyDescent="0.25">
      <c r="A131">
        <v>2</v>
      </c>
      <c r="B131" s="4">
        <v>0</v>
      </c>
      <c r="D131">
        <v>2.915</v>
      </c>
      <c r="E131">
        <v>2.9250000000000003</v>
      </c>
      <c r="F131">
        <v>2.7725</v>
      </c>
      <c r="J131">
        <v>2.95</v>
      </c>
      <c r="K131">
        <v>2.9</v>
      </c>
      <c r="L131">
        <v>2.8</v>
      </c>
      <c r="M131">
        <v>2.8</v>
      </c>
      <c r="N131">
        <v>3</v>
      </c>
      <c r="O131">
        <v>2.75</v>
      </c>
      <c r="P131">
        <v>2.96</v>
      </c>
      <c r="Q131">
        <v>2.9</v>
      </c>
      <c r="R131">
        <v>2.74</v>
      </c>
      <c r="S131">
        <v>0.33874781220253625</v>
      </c>
      <c r="T131">
        <v>0.30435717136979151</v>
      </c>
      <c r="U131">
        <v>0.35689501642767218</v>
      </c>
      <c r="V131">
        <v>0.35038509080536279</v>
      </c>
      <c r="W131">
        <v>0.2928591803746316</v>
      </c>
      <c r="X131">
        <v>0.35675572882000572</v>
      </c>
      <c r="Y131">
        <v>0.33484970919502394</v>
      </c>
      <c r="Z131">
        <v>0.30341483853589923</v>
      </c>
      <c r="AA131">
        <v>0.36173545226907688</v>
      </c>
      <c r="AB131">
        <v>0.3406826061013648</v>
      </c>
      <c r="AC131">
        <v>0.30124709041252845</v>
      </c>
      <c r="AD131">
        <v>0.3580703034861068</v>
      </c>
      <c r="AE131" t="s">
        <v>154</v>
      </c>
      <c r="AF131" t="s">
        <v>141</v>
      </c>
      <c r="AG131">
        <v>61.55</v>
      </c>
      <c r="AH131">
        <v>28</v>
      </c>
      <c r="AI131">
        <v>5</v>
      </c>
      <c r="AJ131">
        <v>3</v>
      </c>
      <c r="AK131">
        <v>27.8</v>
      </c>
      <c r="AL131">
        <v>139</v>
      </c>
      <c r="AM131">
        <v>4059</v>
      </c>
      <c r="AN131">
        <v>76</v>
      </c>
      <c r="AO131">
        <v>76</v>
      </c>
      <c r="AP131">
        <v>73</v>
      </c>
      <c r="AQ131">
        <v>4</v>
      </c>
      <c r="AR131" t="s">
        <v>43</v>
      </c>
      <c r="AS131" t="s">
        <v>153</v>
      </c>
      <c r="AT131" t="s">
        <v>141</v>
      </c>
      <c r="AU131">
        <v>128.25</v>
      </c>
      <c r="AV131">
        <v>26</v>
      </c>
      <c r="AW131">
        <v>8</v>
      </c>
      <c r="AX131">
        <v>4</v>
      </c>
      <c r="AY131">
        <v>26.4</v>
      </c>
      <c r="AZ131">
        <v>138</v>
      </c>
      <c r="BA131">
        <v>4059</v>
      </c>
      <c r="BB131">
        <v>80</v>
      </c>
      <c r="BC131">
        <v>77</v>
      </c>
      <c r="BD131">
        <v>76</v>
      </c>
      <c r="BE131">
        <v>4</v>
      </c>
      <c r="BF131" t="s">
        <v>29</v>
      </c>
      <c r="BG131">
        <v>-14</v>
      </c>
      <c r="BH131">
        <v>1</v>
      </c>
      <c r="BI131">
        <v>0.30099999999999999</v>
      </c>
      <c r="BJ131" t="s">
        <v>270</v>
      </c>
      <c r="BK131">
        <v>0.24390000000000001</v>
      </c>
      <c r="BL131">
        <v>0.2195</v>
      </c>
      <c r="BM131">
        <v>0.9</v>
      </c>
      <c r="BN131">
        <v>1.07</v>
      </c>
    </row>
    <row r="132" spans="1:66" x14ac:dyDescent="0.25">
      <c r="A132">
        <v>1</v>
      </c>
      <c r="B132" s="4">
        <v>3</v>
      </c>
      <c r="D132">
        <v>1.5425000000000002</v>
      </c>
      <c r="E132">
        <v>4.5875000000000004</v>
      </c>
      <c r="F132">
        <v>5.8000000000000007</v>
      </c>
      <c r="J132">
        <v>1.53</v>
      </c>
      <c r="K132">
        <v>4.6500000000000004</v>
      </c>
      <c r="L132">
        <v>5.8</v>
      </c>
      <c r="M132">
        <v>1.55</v>
      </c>
      <c r="N132">
        <v>4.5</v>
      </c>
      <c r="O132">
        <v>6.2</v>
      </c>
      <c r="P132">
        <v>1.56</v>
      </c>
      <c r="Q132">
        <v>4.55</v>
      </c>
      <c r="R132">
        <v>5.4</v>
      </c>
      <c r="S132">
        <v>0.66100687695986549</v>
      </c>
      <c r="T132">
        <v>0.16462406756623887</v>
      </c>
      <c r="U132">
        <v>0.17436905547389558</v>
      </c>
      <c r="V132">
        <v>0.66454255803368234</v>
      </c>
      <c r="W132">
        <v>0.16932180245789713</v>
      </c>
      <c r="X132">
        <v>0.16613563950842059</v>
      </c>
      <c r="Y132">
        <v>0.64354431199792694</v>
      </c>
      <c r="Z132">
        <v>0.17054288675822754</v>
      </c>
      <c r="AA132">
        <v>0.18591280124384554</v>
      </c>
      <c r="AB132">
        <v>0.65752515598783512</v>
      </c>
      <c r="AC132">
        <v>0.1672782060871506</v>
      </c>
      <c r="AD132">
        <v>0.17519663792501433</v>
      </c>
      <c r="AE132" t="s">
        <v>137</v>
      </c>
      <c r="AF132" t="s">
        <v>141</v>
      </c>
      <c r="AG132">
        <v>992.2</v>
      </c>
      <c r="AH132">
        <v>32</v>
      </c>
      <c r="AI132">
        <v>20</v>
      </c>
      <c r="AJ132">
        <v>17</v>
      </c>
      <c r="AK132">
        <v>25.9</v>
      </c>
      <c r="AL132">
        <v>3</v>
      </c>
      <c r="AM132">
        <v>13105</v>
      </c>
      <c r="AN132">
        <v>88</v>
      </c>
      <c r="AO132">
        <v>85</v>
      </c>
      <c r="AP132">
        <v>85</v>
      </c>
      <c r="AQ132">
        <v>5</v>
      </c>
      <c r="AR132" t="s">
        <v>28</v>
      </c>
      <c r="AS132" t="s">
        <v>149</v>
      </c>
      <c r="AT132" t="s">
        <v>141</v>
      </c>
      <c r="AU132">
        <v>271.52999999999997</v>
      </c>
      <c r="AV132">
        <v>27</v>
      </c>
      <c r="AW132">
        <v>6</v>
      </c>
      <c r="AX132">
        <v>7</v>
      </c>
      <c r="AY132">
        <v>27.4</v>
      </c>
      <c r="AZ132">
        <v>77</v>
      </c>
      <c r="BA132">
        <v>5396</v>
      </c>
      <c r="BB132">
        <v>80</v>
      </c>
      <c r="BC132">
        <v>79</v>
      </c>
      <c r="BD132">
        <v>78</v>
      </c>
      <c r="BE132">
        <v>4.5</v>
      </c>
      <c r="BF132" t="s">
        <v>29</v>
      </c>
      <c r="BG132">
        <v>38</v>
      </c>
      <c r="BH132">
        <v>64</v>
      </c>
      <c r="BI132">
        <v>0.59099999999999997</v>
      </c>
      <c r="BJ132" t="s">
        <v>270</v>
      </c>
      <c r="BK132">
        <v>0.62749999999999995</v>
      </c>
      <c r="BL132">
        <v>0.51160000000000005</v>
      </c>
      <c r="BM132">
        <v>2.16</v>
      </c>
      <c r="BN132">
        <v>1.79</v>
      </c>
    </row>
    <row r="133" spans="1:66" x14ac:dyDescent="0.25">
      <c r="A133">
        <v>2</v>
      </c>
      <c r="B133" s="4">
        <v>0</v>
      </c>
      <c r="D133">
        <v>1.4650000000000001</v>
      </c>
      <c r="E133">
        <v>4.6124999999999998</v>
      </c>
      <c r="F133">
        <v>7.2</v>
      </c>
      <c r="J133">
        <v>1.46</v>
      </c>
      <c r="K133">
        <v>4.5999999999999996</v>
      </c>
      <c r="L133">
        <v>7.5</v>
      </c>
      <c r="M133">
        <v>1.48</v>
      </c>
      <c r="N133">
        <v>4.8</v>
      </c>
      <c r="O133">
        <v>7</v>
      </c>
      <c r="P133">
        <v>1.47</v>
      </c>
      <c r="Q133">
        <v>4.55</v>
      </c>
      <c r="R133">
        <v>6.8</v>
      </c>
      <c r="S133">
        <v>0.70660867684145212</v>
      </c>
      <c r="T133">
        <v>0.15583816740007858</v>
      </c>
      <c r="U133">
        <v>0.13755315575846935</v>
      </c>
      <c r="V133">
        <v>0.69859312069252</v>
      </c>
      <c r="W133">
        <v>0.15370433378963277</v>
      </c>
      <c r="X133">
        <v>0.14770254551784709</v>
      </c>
      <c r="Y133">
        <v>0.690298437576089</v>
      </c>
      <c r="Z133">
        <v>0.16047528253613877</v>
      </c>
      <c r="AA133">
        <v>0.14922627988777218</v>
      </c>
      <c r="AB133">
        <v>0.70030616144922941</v>
      </c>
      <c r="AC133">
        <v>0.15696333007655028</v>
      </c>
      <c r="AD133">
        <v>0.14273050847422022</v>
      </c>
      <c r="AE133" t="s">
        <v>259</v>
      </c>
      <c r="AF133" t="s">
        <v>253</v>
      </c>
      <c r="AG133">
        <v>705.55</v>
      </c>
      <c r="AH133">
        <v>27</v>
      </c>
      <c r="AI133">
        <v>17</v>
      </c>
      <c r="AJ133">
        <v>17</v>
      </c>
      <c r="AK133">
        <v>26</v>
      </c>
      <c r="AL133">
        <v>42</v>
      </c>
      <c r="AM133">
        <v>6821</v>
      </c>
      <c r="AN133">
        <v>85</v>
      </c>
      <c r="AO133">
        <v>85</v>
      </c>
      <c r="AP133">
        <v>82</v>
      </c>
      <c r="AQ133">
        <v>4.5</v>
      </c>
      <c r="AR133" t="s">
        <v>29</v>
      </c>
      <c r="AS133" t="s">
        <v>263</v>
      </c>
      <c r="AT133" t="s">
        <v>253</v>
      </c>
      <c r="AU133">
        <v>228.1</v>
      </c>
      <c r="AV133">
        <v>29</v>
      </c>
      <c r="AW133">
        <v>17</v>
      </c>
      <c r="AX133">
        <v>7</v>
      </c>
      <c r="AY133">
        <v>27.5</v>
      </c>
      <c r="AZ133">
        <v>156</v>
      </c>
      <c r="BA133">
        <v>3890</v>
      </c>
      <c r="BB133">
        <v>75</v>
      </c>
      <c r="BC133">
        <v>78</v>
      </c>
      <c r="BD133">
        <v>77</v>
      </c>
      <c r="BE133">
        <v>4</v>
      </c>
      <c r="BF133" t="s">
        <v>46</v>
      </c>
      <c r="BG133">
        <v>15</v>
      </c>
      <c r="BH133">
        <v>37</v>
      </c>
      <c r="BI133">
        <v>0.44800000000000001</v>
      </c>
      <c r="BJ133" t="s">
        <v>267</v>
      </c>
      <c r="BK133">
        <v>0.53569999999999995</v>
      </c>
      <c r="BL133">
        <v>0.3</v>
      </c>
      <c r="BM133">
        <v>2.09</v>
      </c>
      <c r="BN133">
        <v>1.23</v>
      </c>
    </row>
    <row r="134" spans="1:66" x14ac:dyDescent="0.25">
      <c r="A134">
        <v>3</v>
      </c>
      <c r="B134" s="4">
        <v>-3</v>
      </c>
      <c r="D134">
        <v>1.3149999999999999</v>
      </c>
      <c r="E134">
        <v>5.8</v>
      </c>
      <c r="F134">
        <v>9.1999999999999993</v>
      </c>
      <c r="J134">
        <v>1.3</v>
      </c>
      <c r="K134">
        <v>5.8</v>
      </c>
      <c r="L134">
        <v>10</v>
      </c>
      <c r="M134">
        <v>1.34</v>
      </c>
      <c r="N134">
        <v>6</v>
      </c>
      <c r="O134">
        <v>8.6</v>
      </c>
      <c r="P134">
        <v>1.33</v>
      </c>
      <c r="Q134">
        <v>5.6</v>
      </c>
      <c r="R134">
        <v>8.6999999999999993</v>
      </c>
      <c r="S134">
        <v>0.7846556233653007</v>
      </c>
      <c r="T134">
        <v>0.1133391455972101</v>
      </c>
      <c r="U134">
        <v>0.1020052310374891</v>
      </c>
      <c r="V134">
        <v>0.76460998784070244</v>
      </c>
      <c r="W134">
        <v>0.11625310707714161</v>
      </c>
      <c r="X134">
        <v>0.11913690508215596</v>
      </c>
      <c r="Y134">
        <v>0.76166004532223353</v>
      </c>
      <c r="Z134">
        <v>0.12190226958827566</v>
      </c>
      <c r="AA134">
        <v>0.11643768508949089</v>
      </c>
      <c r="AB134">
        <v>0.7727571137694651</v>
      </c>
      <c r="AC134">
        <v>0.1163654938195927</v>
      </c>
      <c r="AD134">
        <v>0.11087739241094226</v>
      </c>
      <c r="AE134" t="s">
        <v>254</v>
      </c>
      <c r="AF134" t="s">
        <v>253</v>
      </c>
      <c r="AG134">
        <v>1070</v>
      </c>
      <c r="AH134">
        <v>35</v>
      </c>
      <c r="AI134">
        <v>27</v>
      </c>
      <c r="AJ134">
        <v>22</v>
      </c>
      <c r="AK134">
        <v>25.2</v>
      </c>
      <c r="AL134">
        <v>8</v>
      </c>
      <c r="AM134">
        <v>10390</v>
      </c>
      <c r="AN134">
        <v>87</v>
      </c>
      <c r="AO134">
        <v>86</v>
      </c>
      <c r="AP134">
        <v>83</v>
      </c>
      <c r="AQ134">
        <v>5</v>
      </c>
      <c r="AR134" t="s">
        <v>28</v>
      </c>
      <c r="AS134" t="s">
        <v>260</v>
      </c>
      <c r="AT134" t="s">
        <v>253</v>
      </c>
      <c r="AU134">
        <v>454.8</v>
      </c>
      <c r="AV134">
        <v>29</v>
      </c>
      <c r="AW134">
        <v>19</v>
      </c>
      <c r="AX134">
        <v>12</v>
      </c>
      <c r="AY134">
        <v>27.4</v>
      </c>
      <c r="AZ134">
        <v>85</v>
      </c>
      <c r="BA134">
        <v>5188</v>
      </c>
      <c r="BB134">
        <v>80</v>
      </c>
      <c r="BC134">
        <v>79</v>
      </c>
      <c r="BD134">
        <v>79</v>
      </c>
      <c r="BE134">
        <v>4.5</v>
      </c>
      <c r="BF134" t="s">
        <v>29</v>
      </c>
      <c r="BG134">
        <v>25</v>
      </c>
      <c r="BH134">
        <v>45</v>
      </c>
      <c r="BI134">
        <v>0.44900000000000001</v>
      </c>
      <c r="BJ134" t="s">
        <v>267</v>
      </c>
      <c r="BK134">
        <v>0.78949999999999998</v>
      </c>
      <c r="BL134">
        <v>0.57999999999999996</v>
      </c>
      <c r="BM134">
        <v>2.11</v>
      </c>
      <c r="BN134">
        <v>1.82</v>
      </c>
    </row>
    <row r="135" spans="1:66" x14ac:dyDescent="0.25">
      <c r="A135">
        <v>1</v>
      </c>
      <c r="B135" s="4">
        <v>3</v>
      </c>
      <c r="D135">
        <v>10.375</v>
      </c>
      <c r="E135">
        <v>7</v>
      </c>
      <c r="F135">
        <v>1.2474999999999998</v>
      </c>
      <c r="J135">
        <v>10.5</v>
      </c>
      <c r="K135">
        <v>7</v>
      </c>
      <c r="L135">
        <v>1.22</v>
      </c>
      <c r="M135">
        <v>10</v>
      </c>
      <c r="N135">
        <v>7.2</v>
      </c>
      <c r="O135">
        <v>1.26</v>
      </c>
      <c r="P135">
        <v>10</v>
      </c>
      <c r="Q135">
        <v>6.8</v>
      </c>
      <c r="R135">
        <v>1.25</v>
      </c>
      <c r="S135">
        <v>9.4480353728075867E-2</v>
      </c>
      <c r="T135">
        <v>9.236906090733675E-2</v>
      </c>
      <c r="U135">
        <v>0.8131505853645874</v>
      </c>
      <c r="V135">
        <v>0.10144164958894789</v>
      </c>
      <c r="W135">
        <v>9.3465893355910212E-2</v>
      </c>
      <c r="X135">
        <v>0.80509245705514187</v>
      </c>
      <c r="Y135">
        <v>0.10030789175174201</v>
      </c>
      <c r="Z135">
        <v>9.7228974234321836E-2</v>
      </c>
      <c r="AA135">
        <v>0.8024631340139361</v>
      </c>
      <c r="AB135">
        <v>9.7340393940036574E-2</v>
      </c>
      <c r="AC135">
        <v>9.4219473140994436E-2</v>
      </c>
      <c r="AD135">
        <v>0.80844013291896899</v>
      </c>
      <c r="AE135" t="s">
        <v>54</v>
      </c>
      <c r="AF135" t="s">
        <v>26</v>
      </c>
      <c r="AG135">
        <v>214.6</v>
      </c>
      <c r="AH135">
        <v>30</v>
      </c>
      <c r="AI135">
        <v>22</v>
      </c>
      <c r="AJ135">
        <v>15</v>
      </c>
      <c r="AK135">
        <v>25.7</v>
      </c>
      <c r="AL135">
        <v>194</v>
      </c>
      <c r="AM135">
        <v>3438</v>
      </c>
      <c r="AN135">
        <v>79</v>
      </c>
      <c r="AO135">
        <v>77</v>
      </c>
      <c r="AP135">
        <v>75</v>
      </c>
      <c r="AQ135">
        <v>4</v>
      </c>
      <c r="AR135" t="s">
        <v>29</v>
      </c>
      <c r="AS135" t="s">
        <v>31</v>
      </c>
      <c r="AT135" t="s">
        <v>26</v>
      </c>
      <c r="AU135">
        <v>925.24</v>
      </c>
      <c r="AV135">
        <v>31</v>
      </c>
      <c r="AW135">
        <v>15</v>
      </c>
      <c r="AX135">
        <v>15</v>
      </c>
      <c r="AY135">
        <v>25.3</v>
      </c>
      <c r="AZ135">
        <v>6</v>
      </c>
      <c r="BA135">
        <v>10885</v>
      </c>
      <c r="BB135">
        <v>87</v>
      </c>
      <c r="BC135">
        <v>85</v>
      </c>
      <c r="BD135">
        <v>81</v>
      </c>
      <c r="BE135">
        <v>5</v>
      </c>
      <c r="BF135" t="s">
        <v>29</v>
      </c>
      <c r="BG135">
        <v>-37</v>
      </c>
      <c r="BH135">
        <v>-37</v>
      </c>
      <c r="BI135">
        <v>0.12</v>
      </c>
      <c r="BJ135" t="s">
        <v>273</v>
      </c>
      <c r="BK135">
        <v>0.43240000000000001</v>
      </c>
      <c r="BL135">
        <v>0.83330000000000004</v>
      </c>
      <c r="BM135">
        <v>1.65</v>
      </c>
      <c r="BN135">
        <v>3</v>
      </c>
    </row>
    <row r="136" spans="1:66" x14ac:dyDescent="0.25">
      <c r="A136">
        <v>2</v>
      </c>
      <c r="B136" s="4">
        <v>0</v>
      </c>
      <c r="D136">
        <v>3.1750000000000003</v>
      </c>
      <c r="E136">
        <v>3.4750000000000001</v>
      </c>
      <c r="F136">
        <v>2.2824999999999998</v>
      </c>
      <c r="J136">
        <v>3.15</v>
      </c>
      <c r="K136">
        <v>3.5</v>
      </c>
      <c r="L136">
        <v>2.2000000000000002</v>
      </c>
      <c r="M136">
        <v>3.2</v>
      </c>
      <c r="N136">
        <v>3.35</v>
      </c>
      <c r="O136">
        <v>2.38</v>
      </c>
      <c r="P136">
        <v>3.1</v>
      </c>
      <c r="Q136">
        <v>3.45</v>
      </c>
      <c r="R136">
        <v>2.2999999999999998</v>
      </c>
      <c r="S136">
        <v>0.30966592427616929</v>
      </c>
      <c r="T136">
        <v>0.24694877505567925</v>
      </c>
      <c r="U136">
        <v>0.44338530066815146</v>
      </c>
      <c r="V136">
        <v>0.31438881371222371</v>
      </c>
      <c r="W136">
        <v>0.26290353759907215</v>
      </c>
      <c r="X136">
        <v>0.42270764868870414</v>
      </c>
      <c r="Y136">
        <v>0.31819794253281303</v>
      </c>
      <c r="Z136">
        <v>0.25292656970556932</v>
      </c>
      <c r="AA136">
        <v>0.4288754877616176</v>
      </c>
      <c r="AB136">
        <v>0.31294494796971351</v>
      </c>
      <c r="AC136">
        <v>0.25153926364929524</v>
      </c>
      <c r="AD136">
        <v>0.4355157883809912</v>
      </c>
      <c r="AE136" t="s">
        <v>55</v>
      </c>
      <c r="AF136" t="s">
        <v>26</v>
      </c>
      <c r="AG136">
        <v>108.3</v>
      </c>
      <c r="AH136">
        <v>28</v>
      </c>
      <c r="AI136">
        <v>11</v>
      </c>
      <c r="AJ136">
        <v>8</v>
      </c>
      <c r="AK136">
        <v>25.8</v>
      </c>
      <c r="AL136">
        <v>213</v>
      </c>
      <c r="AM136">
        <v>3138</v>
      </c>
      <c r="AN136">
        <v>76</v>
      </c>
      <c r="AO136">
        <v>73</v>
      </c>
      <c r="AP136">
        <v>75</v>
      </c>
      <c r="AQ136">
        <v>3.5</v>
      </c>
      <c r="AR136" t="s">
        <v>29</v>
      </c>
      <c r="AS136" t="s">
        <v>274</v>
      </c>
      <c r="AT136" t="s">
        <v>26</v>
      </c>
      <c r="AU136">
        <v>205.55</v>
      </c>
      <c r="AV136">
        <v>29</v>
      </c>
      <c r="AW136">
        <v>21</v>
      </c>
      <c r="AX136">
        <v>10</v>
      </c>
      <c r="AY136">
        <v>26.2</v>
      </c>
      <c r="AZ136">
        <v>65</v>
      </c>
      <c r="BA136">
        <v>5919</v>
      </c>
      <c r="BB136">
        <v>77</v>
      </c>
      <c r="BC136">
        <v>77</v>
      </c>
      <c r="BD136">
        <v>78</v>
      </c>
      <c r="BE136">
        <v>4</v>
      </c>
      <c r="BF136" t="s">
        <v>46</v>
      </c>
      <c r="BG136">
        <v>-10</v>
      </c>
      <c r="BH136">
        <v>4</v>
      </c>
      <c r="BI136">
        <v>0.33300000000000002</v>
      </c>
      <c r="BJ136" t="s">
        <v>273</v>
      </c>
      <c r="BK136">
        <v>0.38890000000000002</v>
      </c>
      <c r="BL136">
        <v>0.41299999999999998</v>
      </c>
      <c r="BM136">
        <v>1.39</v>
      </c>
      <c r="BN136">
        <v>1.5</v>
      </c>
    </row>
    <row r="137" spans="1:66" x14ac:dyDescent="0.25">
      <c r="A137">
        <v>2</v>
      </c>
      <c r="B137" s="4">
        <v>0</v>
      </c>
      <c r="D137">
        <v>2.1625000000000001</v>
      </c>
      <c r="E137">
        <v>3.2124999999999999</v>
      </c>
      <c r="F137">
        <v>3.5749999999999997</v>
      </c>
      <c r="J137">
        <v>2.16</v>
      </c>
      <c r="K137">
        <v>3.15</v>
      </c>
      <c r="L137">
        <v>3.35</v>
      </c>
      <c r="M137">
        <v>2.16</v>
      </c>
      <c r="N137">
        <v>3.3</v>
      </c>
      <c r="O137">
        <v>3.8</v>
      </c>
      <c r="P137">
        <v>2.13</v>
      </c>
      <c r="Q137">
        <v>3.2</v>
      </c>
      <c r="R137">
        <v>3.75</v>
      </c>
      <c r="S137">
        <v>0.44335660497623147</v>
      </c>
      <c r="T137">
        <v>0.27077764375551183</v>
      </c>
      <c r="U137">
        <v>0.28586575126825675</v>
      </c>
      <c r="V137">
        <v>0.47077273538636766</v>
      </c>
      <c r="W137">
        <v>0.26163013081506542</v>
      </c>
      <c r="X137">
        <v>0.26759713379856692</v>
      </c>
      <c r="Y137">
        <v>0.46738661485001826</v>
      </c>
      <c r="Z137">
        <v>0.26713778791517145</v>
      </c>
      <c r="AA137">
        <v>0.26547559723481035</v>
      </c>
      <c r="AB137">
        <v>0.45636365578925875</v>
      </c>
      <c r="AC137">
        <v>0.26708811558550044</v>
      </c>
      <c r="AD137">
        <v>0.27654822862524081</v>
      </c>
      <c r="AE137" t="s">
        <v>44</v>
      </c>
      <c r="AF137" t="s">
        <v>23</v>
      </c>
      <c r="AG137">
        <v>91.25</v>
      </c>
      <c r="AH137">
        <v>24</v>
      </c>
      <c r="AI137">
        <v>11</v>
      </c>
      <c r="AJ137">
        <v>5</v>
      </c>
      <c r="AK137">
        <v>26.7</v>
      </c>
      <c r="AL137">
        <v>326</v>
      </c>
      <c r="AM137">
        <v>2298</v>
      </c>
      <c r="AN137">
        <v>75</v>
      </c>
      <c r="AO137">
        <v>75</v>
      </c>
      <c r="AP137">
        <v>76</v>
      </c>
      <c r="AQ137">
        <v>4</v>
      </c>
      <c r="AR137" t="s">
        <v>29</v>
      </c>
      <c r="AS137" t="s">
        <v>40</v>
      </c>
      <c r="AT137" t="s">
        <v>23</v>
      </c>
      <c r="AU137">
        <v>176.8</v>
      </c>
      <c r="AV137">
        <v>30</v>
      </c>
      <c r="AW137">
        <v>14</v>
      </c>
      <c r="AX137">
        <v>4</v>
      </c>
      <c r="AY137">
        <v>23.5</v>
      </c>
      <c r="AZ137">
        <v>255</v>
      </c>
      <c r="BA137">
        <v>2803</v>
      </c>
      <c r="BB137">
        <v>74</v>
      </c>
      <c r="BC137">
        <v>76</v>
      </c>
      <c r="BD137">
        <v>74</v>
      </c>
      <c r="BE137">
        <v>4</v>
      </c>
      <c r="BF137" t="s">
        <v>28</v>
      </c>
      <c r="BG137">
        <v>32</v>
      </c>
      <c r="BH137">
        <v>56</v>
      </c>
      <c r="BI137">
        <v>0.433</v>
      </c>
      <c r="BJ137" t="s">
        <v>266</v>
      </c>
      <c r="BK137">
        <v>0.34379999999999999</v>
      </c>
      <c r="BL137">
        <v>0.40629999999999999</v>
      </c>
      <c r="BM137">
        <v>1.44</v>
      </c>
      <c r="BN137">
        <v>1.5</v>
      </c>
    </row>
    <row r="138" spans="1:66" x14ac:dyDescent="0.25">
      <c r="A138">
        <v>1</v>
      </c>
      <c r="B138" s="4">
        <v>1</v>
      </c>
      <c r="D138">
        <v>2.1125000000000003</v>
      </c>
      <c r="E138">
        <v>3.1875</v>
      </c>
      <c r="F138">
        <v>3.75</v>
      </c>
      <c r="J138">
        <v>2.0699999999999998</v>
      </c>
      <c r="K138">
        <v>3.1</v>
      </c>
      <c r="L138">
        <v>3.7</v>
      </c>
      <c r="M138">
        <v>2.16</v>
      </c>
      <c r="N138">
        <v>3.3</v>
      </c>
      <c r="O138">
        <v>3.8</v>
      </c>
      <c r="P138">
        <v>2.12</v>
      </c>
      <c r="Q138">
        <v>3.2</v>
      </c>
      <c r="R138">
        <v>3.8</v>
      </c>
      <c r="S138">
        <v>0.46697002350286071</v>
      </c>
      <c r="T138">
        <v>0.2717791795644578</v>
      </c>
      <c r="U138">
        <v>0.26125079693268149</v>
      </c>
      <c r="V138">
        <v>0.47077273538636771</v>
      </c>
      <c r="W138">
        <v>0.26163013081506542</v>
      </c>
      <c r="X138">
        <v>0.26759713379856692</v>
      </c>
      <c r="Y138">
        <v>0.47064589625390774</v>
      </c>
      <c r="Z138">
        <v>0.26678323530970166</v>
      </c>
      <c r="AA138">
        <v>0.26257086843639066</v>
      </c>
      <c r="AB138">
        <v>0.46861744576891123</v>
      </c>
      <c r="AC138">
        <v>0.26739472142172838</v>
      </c>
      <c r="AD138">
        <v>0.26398783280936033</v>
      </c>
      <c r="AE138" t="s">
        <v>41</v>
      </c>
      <c r="AF138" t="s">
        <v>23</v>
      </c>
      <c r="AG138">
        <v>82.35</v>
      </c>
      <c r="AH138">
        <v>31</v>
      </c>
      <c r="AI138">
        <v>16</v>
      </c>
      <c r="AJ138">
        <v>8</v>
      </c>
      <c r="AK138">
        <v>26.4</v>
      </c>
      <c r="AL138">
        <v>266</v>
      </c>
      <c r="AM138">
        <v>2690</v>
      </c>
      <c r="AN138">
        <v>74</v>
      </c>
      <c r="AO138">
        <v>75</v>
      </c>
      <c r="AP138">
        <v>74</v>
      </c>
      <c r="AQ138">
        <v>3.5</v>
      </c>
      <c r="AR138" t="s">
        <v>29</v>
      </c>
      <c r="AS138" t="s">
        <v>45</v>
      </c>
      <c r="AT138" t="s">
        <v>23</v>
      </c>
      <c r="AU138">
        <v>59.28</v>
      </c>
      <c r="AV138">
        <v>25</v>
      </c>
      <c r="AW138">
        <v>5</v>
      </c>
      <c r="AX138">
        <v>1</v>
      </c>
      <c r="AY138">
        <v>25.2</v>
      </c>
      <c r="AZ138">
        <v>347</v>
      </c>
      <c r="BA138">
        <v>2156</v>
      </c>
      <c r="BB138">
        <v>72</v>
      </c>
      <c r="BC138">
        <v>72</v>
      </c>
      <c r="BD138">
        <v>72</v>
      </c>
      <c r="BE138">
        <v>3.5</v>
      </c>
      <c r="BF138" t="s">
        <v>29</v>
      </c>
      <c r="BG138">
        <v>-7</v>
      </c>
      <c r="BH138">
        <v>-16</v>
      </c>
      <c r="BI138">
        <v>0.214</v>
      </c>
      <c r="BJ138" t="s">
        <v>266</v>
      </c>
      <c r="BK138">
        <v>0.40629999999999999</v>
      </c>
      <c r="BL138">
        <v>0.28129999999999999</v>
      </c>
      <c r="BM138">
        <v>1.28</v>
      </c>
      <c r="BN138">
        <v>1.22</v>
      </c>
    </row>
    <row r="139" spans="1:66" x14ac:dyDescent="0.25">
      <c r="A139">
        <v>2</v>
      </c>
      <c r="B139" s="4">
        <v>0</v>
      </c>
      <c r="D139">
        <v>4.4874999999999998</v>
      </c>
      <c r="E139">
        <v>3.7</v>
      </c>
      <c r="F139">
        <v>1.78</v>
      </c>
      <c r="J139">
        <v>4.3</v>
      </c>
      <c r="K139">
        <v>3.6</v>
      </c>
      <c r="L139">
        <v>1.76</v>
      </c>
      <c r="M139">
        <v>4.7</v>
      </c>
      <c r="N139">
        <v>3.85</v>
      </c>
      <c r="O139">
        <v>1.8</v>
      </c>
      <c r="P139">
        <v>4.5999999999999996</v>
      </c>
      <c r="Q139">
        <v>3.7</v>
      </c>
      <c r="R139">
        <v>1.78</v>
      </c>
      <c r="S139">
        <v>0.22529869144699413</v>
      </c>
      <c r="T139">
        <v>0.22425564194955433</v>
      </c>
      <c r="U139">
        <v>0.55044566660345151</v>
      </c>
      <c r="V139">
        <v>0.21785173978819966</v>
      </c>
      <c r="W139">
        <v>0.21331316187594551</v>
      </c>
      <c r="X139">
        <v>0.56883509833585466</v>
      </c>
      <c r="Y139">
        <v>0.21772064977146419</v>
      </c>
      <c r="Z139">
        <v>0.21963048003261734</v>
      </c>
      <c r="AA139">
        <v>0.56264887019591858</v>
      </c>
      <c r="AB139">
        <v>0.2216484428649097</v>
      </c>
      <c r="AC139">
        <v>0.21996272932453309</v>
      </c>
      <c r="AD139">
        <v>0.5583888278105571</v>
      </c>
      <c r="AE139" t="s">
        <v>42</v>
      </c>
      <c r="AF139" t="s">
        <v>23</v>
      </c>
      <c r="AG139">
        <v>42.38</v>
      </c>
      <c r="AH139">
        <v>24</v>
      </c>
      <c r="AI139">
        <v>13</v>
      </c>
      <c r="AJ139">
        <v>9</v>
      </c>
      <c r="AK139">
        <v>26</v>
      </c>
      <c r="AL139">
        <v>273</v>
      </c>
      <c r="AM139">
        <v>2608</v>
      </c>
      <c r="AN139">
        <v>72</v>
      </c>
      <c r="AO139">
        <v>72</v>
      </c>
      <c r="AP139">
        <v>70</v>
      </c>
      <c r="AQ139">
        <v>3.5</v>
      </c>
      <c r="AR139" t="s">
        <v>43</v>
      </c>
      <c r="AS139" t="s">
        <v>38</v>
      </c>
      <c r="AT139" t="s">
        <v>23</v>
      </c>
      <c r="AU139">
        <v>82.2</v>
      </c>
      <c r="AV139">
        <v>30</v>
      </c>
      <c r="AW139">
        <v>12</v>
      </c>
      <c r="AX139">
        <v>5</v>
      </c>
      <c r="AY139">
        <v>25.7</v>
      </c>
      <c r="AZ139">
        <v>228</v>
      </c>
      <c r="BA139">
        <v>3029</v>
      </c>
      <c r="BB139">
        <v>78</v>
      </c>
      <c r="BC139">
        <v>74</v>
      </c>
      <c r="BD139">
        <v>75</v>
      </c>
      <c r="BE139">
        <v>4</v>
      </c>
      <c r="BF139" t="s">
        <v>29</v>
      </c>
      <c r="BG139">
        <v>-13</v>
      </c>
      <c r="BH139">
        <v>-3</v>
      </c>
      <c r="BI139">
        <v>0.19</v>
      </c>
      <c r="BJ139" t="s">
        <v>266</v>
      </c>
      <c r="BK139">
        <v>0.30299999999999999</v>
      </c>
      <c r="BL139">
        <v>0.42420000000000002</v>
      </c>
      <c r="BM139">
        <v>1.1200000000000001</v>
      </c>
      <c r="BN139">
        <v>1.33</v>
      </c>
    </row>
    <row r="140" spans="1:66" x14ac:dyDescent="0.25">
      <c r="A140">
        <v>3</v>
      </c>
      <c r="B140" s="4">
        <v>-2</v>
      </c>
      <c r="D140">
        <v>11.1875</v>
      </c>
      <c r="E140">
        <v>6.1875</v>
      </c>
      <c r="F140">
        <v>1.2475000000000001</v>
      </c>
      <c r="J140">
        <v>11</v>
      </c>
      <c r="K140">
        <v>6</v>
      </c>
      <c r="L140">
        <v>1.22</v>
      </c>
      <c r="M140">
        <v>12</v>
      </c>
      <c r="N140">
        <v>6.4</v>
      </c>
      <c r="O140">
        <v>1.27</v>
      </c>
      <c r="P140">
        <v>10.75</v>
      </c>
      <c r="Q140">
        <v>6.25</v>
      </c>
      <c r="R140">
        <v>1.26</v>
      </c>
      <c r="S140">
        <v>8.9562249628340584E-2</v>
      </c>
      <c r="T140">
        <v>0.10290927011612949</v>
      </c>
      <c r="U140">
        <v>0.80752848025552992</v>
      </c>
      <c r="V140">
        <v>8.6233568448824335E-2</v>
      </c>
      <c r="W140">
        <v>9.8961060381181895E-2</v>
      </c>
      <c r="X140">
        <v>0.81480537116999374</v>
      </c>
      <c r="Y140">
        <v>9.412122664948068E-2</v>
      </c>
      <c r="Z140">
        <v>0.10286037138074387</v>
      </c>
      <c r="AA140">
        <v>0.80301840196977559</v>
      </c>
      <c r="AB140">
        <v>9.0199445812399928E-2</v>
      </c>
      <c r="AC140">
        <v>0.1019124658886755</v>
      </c>
      <c r="AD140">
        <v>0.80788808829892467</v>
      </c>
      <c r="AE140" t="s">
        <v>37</v>
      </c>
      <c r="AF140" t="s">
        <v>23</v>
      </c>
      <c r="AG140">
        <v>73.25</v>
      </c>
      <c r="AH140">
        <v>26</v>
      </c>
      <c r="AI140">
        <v>17</v>
      </c>
      <c r="AJ140">
        <v>8</v>
      </c>
      <c r="AK140">
        <v>23.9</v>
      </c>
      <c r="AL140">
        <v>223</v>
      </c>
      <c r="AM140">
        <v>3054</v>
      </c>
      <c r="AN140">
        <v>71</v>
      </c>
      <c r="AO140">
        <v>73</v>
      </c>
      <c r="AP140">
        <v>73</v>
      </c>
      <c r="AQ140">
        <v>3.5</v>
      </c>
      <c r="AR140" t="s">
        <v>29</v>
      </c>
      <c r="AS140" t="s">
        <v>10</v>
      </c>
      <c r="AT140" t="s">
        <v>23</v>
      </c>
      <c r="AU140">
        <v>801.45</v>
      </c>
      <c r="AV140">
        <v>31</v>
      </c>
      <c r="AW140">
        <v>21</v>
      </c>
      <c r="AX140">
        <v>13</v>
      </c>
      <c r="AY140">
        <v>25.6</v>
      </c>
      <c r="AZ140">
        <v>12</v>
      </c>
      <c r="BA140">
        <v>9495</v>
      </c>
      <c r="BB140">
        <v>88</v>
      </c>
      <c r="BC140">
        <v>84</v>
      </c>
      <c r="BD140">
        <v>83</v>
      </c>
      <c r="BE140">
        <v>5</v>
      </c>
      <c r="BF140" t="s">
        <v>28</v>
      </c>
      <c r="BG140">
        <v>-12</v>
      </c>
      <c r="BH140">
        <v>-10</v>
      </c>
      <c r="BI140">
        <v>0.25</v>
      </c>
      <c r="BJ140" t="s">
        <v>266</v>
      </c>
      <c r="BK140">
        <v>0.35289999999999999</v>
      </c>
      <c r="BL140">
        <v>0.81630000000000003</v>
      </c>
      <c r="BM140">
        <v>0.88</v>
      </c>
      <c r="BN140">
        <v>2.78</v>
      </c>
    </row>
    <row r="141" spans="1:66" x14ac:dyDescent="0.25">
      <c r="A141">
        <v>2</v>
      </c>
      <c r="B141" s="4">
        <v>0</v>
      </c>
      <c r="D141">
        <v>2.0425</v>
      </c>
      <c r="E141">
        <v>3.2625000000000002</v>
      </c>
      <c r="F141">
        <v>3.4874999999999998</v>
      </c>
      <c r="J141">
        <v>2.02</v>
      </c>
      <c r="K141">
        <v>3.2</v>
      </c>
      <c r="L141">
        <v>3.3</v>
      </c>
      <c r="M141">
        <v>2.0499999999999998</v>
      </c>
      <c r="N141">
        <v>3.35</v>
      </c>
      <c r="O141">
        <v>3.65</v>
      </c>
      <c r="P141">
        <v>2.06</v>
      </c>
      <c r="Q141">
        <v>3.3</v>
      </c>
      <c r="R141">
        <v>3.65</v>
      </c>
      <c r="S141">
        <v>0.45813920655089646</v>
      </c>
      <c r="T141">
        <v>0.26142406701491827</v>
      </c>
      <c r="U141">
        <v>0.2804367264341851</v>
      </c>
      <c r="V141">
        <v>0.4780534620487199</v>
      </c>
      <c r="W141">
        <v>0.25345075789651955</v>
      </c>
      <c r="X141">
        <v>0.26849578005476049</v>
      </c>
      <c r="Y141">
        <v>0.47483071688931811</v>
      </c>
      <c r="Z141">
        <v>0.25718263193479285</v>
      </c>
      <c r="AA141">
        <v>0.2679866511758891</v>
      </c>
      <c r="AB141">
        <v>0.46735836733007985</v>
      </c>
      <c r="AC141">
        <v>0.25862403944654544</v>
      </c>
      <c r="AD141">
        <v>0.27401759322337471</v>
      </c>
      <c r="AE141" t="s">
        <v>114</v>
      </c>
      <c r="AF141" t="s">
        <v>108</v>
      </c>
      <c r="AG141">
        <v>41.98</v>
      </c>
      <c r="AH141">
        <v>33</v>
      </c>
      <c r="AI141">
        <v>5</v>
      </c>
      <c r="AJ141">
        <v>1</v>
      </c>
      <c r="AK141">
        <v>25.2</v>
      </c>
      <c r="AL141">
        <v>40</v>
      </c>
      <c r="AM141">
        <v>7098</v>
      </c>
      <c r="AN141">
        <v>74</v>
      </c>
      <c r="AO141">
        <v>73</v>
      </c>
      <c r="AP141">
        <v>73</v>
      </c>
      <c r="AQ141">
        <v>3.5</v>
      </c>
      <c r="AR141" t="s">
        <v>29</v>
      </c>
      <c r="AS141" t="s">
        <v>120</v>
      </c>
      <c r="AT141" t="s">
        <v>108</v>
      </c>
      <c r="AU141">
        <v>16.53</v>
      </c>
      <c r="AV141">
        <v>31</v>
      </c>
      <c r="AW141">
        <v>3</v>
      </c>
      <c r="AX141">
        <v>0</v>
      </c>
      <c r="AY141">
        <v>28.7</v>
      </c>
      <c r="AZ141">
        <v>106</v>
      </c>
      <c r="BA141">
        <v>4727</v>
      </c>
      <c r="BB141">
        <v>68</v>
      </c>
      <c r="BC141">
        <v>71</v>
      </c>
      <c r="BD141">
        <v>70</v>
      </c>
      <c r="BE141">
        <v>3</v>
      </c>
      <c r="BF141" t="s">
        <v>28</v>
      </c>
      <c r="BG141">
        <v>1</v>
      </c>
      <c r="BH141">
        <v>2</v>
      </c>
      <c r="BI141">
        <v>0.25</v>
      </c>
      <c r="BJ141" t="s">
        <v>236</v>
      </c>
      <c r="BK141">
        <v>0.39389999999999997</v>
      </c>
      <c r="BL141">
        <v>0.4032</v>
      </c>
      <c r="BM141">
        <v>1.3</v>
      </c>
      <c r="BN141">
        <v>1.26</v>
      </c>
    </row>
    <row r="142" spans="1:66" x14ac:dyDescent="0.25">
      <c r="A142">
        <v>1</v>
      </c>
      <c r="B142" s="4">
        <v>1</v>
      </c>
      <c r="D142">
        <v>2.165</v>
      </c>
      <c r="E142">
        <v>3.1750000000000003</v>
      </c>
      <c r="F142">
        <v>3.1375000000000002</v>
      </c>
      <c r="J142">
        <v>2.15</v>
      </c>
      <c r="K142">
        <v>3.15</v>
      </c>
      <c r="L142">
        <v>3.05</v>
      </c>
      <c r="M142">
        <v>2.1800000000000002</v>
      </c>
      <c r="N142">
        <v>3.2</v>
      </c>
      <c r="O142">
        <v>3.25</v>
      </c>
      <c r="P142">
        <v>2.1800000000000002</v>
      </c>
      <c r="Q142">
        <v>3.2</v>
      </c>
      <c r="R142">
        <v>3.2</v>
      </c>
      <c r="S142">
        <v>0.42897620591950297</v>
      </c>
      <c r="T142">
        <v>0.26863073089133921</v>
      </c>
      <c r="U142">
        <v>0.30239306318915787</v>
      </c>
      <c r="V142">
        <v>0.43854354122101791</v>
      </c>
      <c r="W142">
        <v>0.26729494497534551</v>
      </c>
      <c r="X142">
        <v>0.29416151380363664</v>
      </c>
      <c r="Y142">
        <v>0.43599399895900309</v>
      </c>
      <c r="Z142">
        <v>0.266985089250176</v>
      </c>
      <c r="AA142">
        <v>0.29702091179082085</v>
      </c>
      <c r="AB142">
        <v>0.43312248800475678</v>
      </c>
      <c r="AC142">
        <v>0.26788537400204998</v>
      </c>
      <c r="AD142">
        <v>0.2989921379931933</v>
      </c>
      <c r="AE142" t="s">
        <v>243</v>
      </c>
      <c r="AF142" t="s">
        <v>238</v>
      </c>
      <c r="AG142">
        <v>3.43</v>
      </c>
      <c r="AH142">
        <v>35</v>
      </c>
      <c r="AI142">
        <v>11</v>
      </c>
      <c r="AJ142">
        <v>0</v>
      </c>
      <c r="AK142">
        <v>26.5</v>
      </c>
      <c r="AL142">
        <v>419</v>
      </c>
      <c r="AM142">
        <v>1470</v>
      </c>
      <c r="AN142">
        <v>62</v>
      </c>
      <c r="AO142">
        <v>60</v>
      </c>
      <c r="AP142">
        <v>61</v>
      </c>
      <c r="AQ142">
        <v>1</v>
      </c>
      <c r="AR142" t="s">
        <v>46</v>
      </c>
      <c r="AS142" t="s">
        <v>242</v>
      </c>
      <c r="AT142" t="s">
        <v>238</v>
      </c>
      <c r="AU142">
        <v>1.9</v>
      </c>
      <c r="AV142">
        <v>33</v>
      </c>
      <c r="AW142">
        <v>3</v>
      </c>
      <c r="AX142">
        <v>0</v>
      </c>
      <c r="AY142">
        <v>27.1</v>
      </c>
      <c r="AZ142">
        <v>415</v>
      </c>
      <c r="BA142">
        <v>1769</v>
      </c>
      <c r="BB142">
        <v>67</v>
      </c>
      <c r="BC142">
        <v>64</v>
      </c>
      <c r="BD142">
        <v>62</v>
      </c>
      <c r="BE142">
        <v>2</v>
      </c>
      <c r="BF142" t="s">
        <v>29</v>
      </c>
      <c r="BG142">
        <v>0</v>
      </c>
      <c r="BH142">
        <v>7</v>
      </c>
      <c r="BI142">
        <v>0.33300000000000002</v>
      </c>
      <c r="BJ142" t="s">
        <v>238</v>
      </c>
      <c r="BK142">
        <v>0.27029999999999998</v>
      </c>
      <c r="BL142">
        <v>0.27779999999999999</v>
      </c>
      <c r="BM142">
        <v>1.1399999999999999</v>
      </c>
      <c r="BN142">
        <v>1.1399999999999999</v>
      </c>
    </row>
    <row r="143" spans="1:66" x14ac:dyDescent="0.25">
      <c r="A143">
        <v>1</v>
      </c>
      <c r="B143" s="4">
        <v>2</v>
      </c>
      <c r="D143">
        <v>1.49</v>
      </c>
      <c r="E143">
        <v>4.7125000000000004</v>
      </c>
      <c r="F143">
        <v>6.2750000000000004</v>
      </c>
      <c r="J143">
        <v>1.49</v>
      </c>
      <c r="K143">
        <v>4.5999999999999996</v>
      </c>
      <c r="L143">
        <v>6.5</v>
      </c>
      <c r="M143">
        <v>1.48</v>
      </c>
      <c r="N143">
        <v>5</v>
      </c>
      <c r="O143">
        <v>6.2</v>
      </c>
      <c r="P143">
        <v>1.5</v>
      </c>
      <c r="Q143">
        <v>4.6500000000000004</v>
      </c>
      <c r="R143">
        <v>6</v>
      </c>
      <c r="S143">
        <v>0.68219156923784685</v>
      </c>
      <c r="T143">
        <v>0.16142913258301617</v>
      </c>
      <c r="U143">
        <v>0.15637929817913718</v>
      </c>
      <c r="V143">
        <v>0.68552805757918456</v>
      </c>
      <c r="W143">
        <v>0.15082976093417141</v>
      </c>
      <c r="X143">
        <v>0.16364218148664406</v>
      </c>
      <c r="Y143">
        <v>0.67027027027027031</v>
      </c>
      <c r="Z143">
        <v>0.16216216216216217</v>
      </c>
      <c r="AA143">
        <v>0.16756756756756758</v>
      </c>
      <c r="AB143">
        <v>0.67948397780482384</v>
      </c>
      <c r="AC143">
        <v>0.15904377753306273</v>
      </c>
      <c r="AD143">
        <v>0.16147224466211341</v>
      </c>
      <c r="AE143" t="s">
        <v>252</v>
      </c>
      <c r="AF143" t="s">
        <v>253</v>
      </c>
      <c r="AG143">
        <v>1020</v>
      </c>
      <c r="AH143">
        <v>31</v>
      </c>
      <c r="AI143">
        <v>23</v>
      </c>
      <c r="AJ143">
        <v>20</v>
      </c>
      <c r="AK143">
        <v>25.8</v>
      </c>
      <c r="AL143">
        <v>1</v>
      </c>
      <c r="AM143">
        <v>14695</v>
      </c>
      <c r="AN143">
        <v>87</v>
      </c>
      <c r="AO143">
        <v>83</v>
      </c>
      <c r="AP143">
        <v>85</v>
      </c>
      <c r="AQ143">
        <v>5</v>
      </c>
      <c r="AR143" t="s">
        <v>29</v>
      </c>
      <c r="AS143" t="s">
        <v>256</v>
      </c>
      <c r="AT143" t="s">
        <v>253</v>
      </c>
      <c r="AU143">
        <v>599.35</v>
      </c>
      <c r="AV143">
        <v>30</v>
      </c>
      <c r="AW143">
        <v>22</v>
      </c>
      <c r="AX143">
        <v>13</v>
      </c>
      <c r="AY143">
        <v>26</v>
      </c>
      <c r="AZ143">
        <v>25</v>
      </c>
      <c r="BA143">
        <v>7938</v>
      </c>
      <c r="BB143">
        <v>84</v>
      </c>
      <c r="BC143">
        <v>82</v>
      </c>
      <c r="BD143">
        <v>78</v>
      </c>
      <c r="BE143">
        <v>4.5</v>
      </c>
      <c r="BF143" t="s">
        <v>29</v>
      </c>
      <c r="BG143">
        <v>33</v>
      </c>
      <c r="BH143">
        <v>74</v>
      </c>
      <c r="BI143">
        <v>0.39100000000000001</v>
      </c>
      <c r="BJ143" t="s">
        <v>267</v>
      </c>
      <c r="BK143">
        <v>0.70909999999999995</v>
      </c>
      <c r="BL143">
        <v>0.48209999999999997</v>
      </c>
      <c r="BM143">
        <v>2.0699999999999998</v>
      </c>
      <c r="BN143">
        <v>1.59</v>
      </c>
    </row>
    <row r="144" spans="1:66" x14ac:dyDescent="0.25">
      <c r="A144">
        <v>2</v>
      </c>
      <c r="B144" s="4">
        <v>0</v>
      </c>
      <c r="D144">
        <v>2.5324999999999998</v>
      </c>
      <c r="E144">
        <v>2.95</v>
      </c>
      <c r="F144">
        <v>3</v>
      </c>
      <c r="J144">
        <v>2.5499999999999998</v>
      </c>
      <c r="K144">
        <v>2.9</v>
      </c>
      <c r="L144">
        <v>2.9</v>
      </c>
      <c r="M144">
        <v>2.5</v>
      </c>
      <c r="N144">
        <v>2.95</v>
      </c>
      <c r="O144">
        <v>3.1</v>
      </c>
      <c r="P144">
        <v>2.5299999999999998</v>
      </c>
      <c r="Q144">
        <v>3.05</v>
      </c>
      <c r="R144">
        <v>3.1</v>
      </c>
      <c r="S144">
        <v>0.37308456538578122</v>
      </c>
      <c r="T144">
        <v>0.29885831677499747</v>
      </c>
      <c r="U144">
        <v>0.32805711783922142</v>
      </c>
      <c r="V144">
        <v>0.39001143728555093</v>
      </c>
      <c r="W144">
        <v>0.2954632100648113</v>
      </c>
      <c r="X144">
        <v>0.31452535264963782</v>
      </c>
      <c r="Y144">
        <v>0.3920212420841041</v>
      </c>
      <c r="Z144">
        <v>0.28803884098919169</v>
      </c>
      <c r="AA144">
        <v>0.31993991692670426</v>
      </c>
      <c r="AB144">
        <v>0.3820504525353044</v>
      </c>
      <c r="AC144">
        <v>0.29530467115099945</v>
      </c>
      <c r="AD144">
        <v>0.32264487631369621</v>
      </c>
      <c r="AE144" t="s">
        <v>75</v>
      </c>
      <c r="AF144" t="s">
        <v>63</v>
      </c>
      <c r="AG144">
        <v>11.18</v>
      </c>
      <c r="AH144">
        <v>31</v>
      </c>
      <c r="AI144">
        <v>3</v>
      </c>
      <c r="AJ144">
        <v>0</v>
      </c>
      <c r="AK144">
        <v>27</v>
      </c>
      <c r="AL144">
        <v>317</v>
      </c>
      <c r="AM144">
        <v>2374</v>
      </c>
      <c r="AN144">
        <v>69</v>
      </c>
      <c r="AO144">
        <v>66</v>
      </c>
      <c r="AP144">
        <v>64</v>
      </c>
      <c r="AQ144">
        <v>2.5</v>
      </c>
      <c r="AR144" t="s">
        <v>46</v>
      </c>
      <c r="AS144" t="s">
        <v>69</v>
      </c>
      <c r="AT144" t="s">
        <v>63</v>
      </c>
      <c r="AU144">
        <v>11.93</v>
      </c>
      <c r="AV144">
        <v>31</v>
      </c>
      <c r="AW144">
        <v>3</v>
      </c>
      <c r="AX144">
        <v>0</v>
      </c>
      <c r="AY144">
        <v>27.6</v>
      </c>
      <c r="AZ144">
        <v>181</v>
      </c>
      <c r="BA144">
        <v>3617</v>
      </c>
      <c r="BB144">
        <v>65</v>
      </c>
      <c r="BC144">
        <v>67</v>
      </c>
      <c r="BD144">
        <v>67</v>
      </c>
      <c r="BE144">
        <v>2</v>
      </c>
      <c r="BF144" t="s">
        <v>29</v>
      </c>
      <c r="BG144">
        <v>20</v>
      </c>
      <c r="BH144">
        <v>35</v>
      </c>
      <c r="BI144">
        <v>0.64700000000000002</v>
      </c>
      <c r="BJ144" t="s">
        <v>63</v>
      </c>
      <c r="BK144">
        <v>0.43480000000000002</v>
      </c>
      <c r="BL144">
        <v>0.37040000000000001</v>
      </c>
      <c r="BM144">
        <v>1.43</v>
      </c>
      <c r="BN144">
        <v>1.1499999999999999</v>
      </c>
    </row>
    <row r="145" spans="1:66" x14ac:dyDescent="0.25">
      <c r="A145">
        <v>3</v>
      </c>
      <c r="B145" s="4">
        <v>-1</v>
      </c>
      <c r="D145">
        <v>1.54</v>
      </c>
      <c r="E145">
        <v>4.375</v>
      </c>
      <c r="F145">
        <v>6.1</v>
      </c>
      <c r="J145">
        <v>1.54</v>
      </c>
      <c r="K145">
        <v>4.3499999999999996</v>
      </c>
      <c r="L145">
        <v>6.25</v>
      </c>
      <c r="M145">
        <v>1.53</v>
      </c>
      <c r="N145">
        <v>4.5</v>
      </c>
      <c r="O145">
        <v>6</v>
      </c>
      <c r="P145">
        <v>1.55</v>
      </c>
      <c r="Q145">
        <v>4.3</v>
      </c>
      <c r="R145">
        <v>5.9</v>
      </c>
      <c r="S145">
        <v>0.66332153628417556</v>
      </c>
      <c r="T145">
        <v>0.17323603717540367</v>
      </c>
      <c r="U145">
        <v>0.16344242654042088</v>
      </c>
      <c r="V145">
        <v>0.66243779312321238</v>
      </c>
      <c r="W145">
        <v>0.16864056963036853</v>
      </c>
      <c r="X145">
        <v>0.16892163724641915</v>
      </c>
      <c r="Y145">
        <v>0.65195470433788127</v>
      </c>
      <c r="Z145">
        <v>0.17676905977674331</v>
      </c>
      <c r="AA145">
        <v>0.17127623588537555</v>
      </c>
      <c r="AB145">
        <v>0.66025889250736114</v>
      </c>
      <c r="AC145">
        <v>0.17297042593947981</v>
      </c>
      <c r="AD145">
        <v>0.16677068155315911</v>
      </c>
      <c r="AE145" t="s">
        <v>147</v>
      </c>
      <c r="AF145" t="s">
        <v>141</v>
      </c>
      <c r="AG145">
        <v>327.10000000000002</v>
      </c>
      <c r="AH145">
        <v>29</v>
      </c>
      <c r="AI145">
        <v>7</v>
      </c>
      <c r="AJ145">
        <v>5</v>
      </c>
      <c r="AK145">
        <v>25.9</v>
      </c>
      <c r="AL145">
        <v>32</v>
      </c>
      <c r="AM145">
        <v>7427</v>
      </c>
      <c r="AN145">
        <v>81</v>
      </c>
      <c r="AO145">
        <v>80</v>
      </c>
      <c r="AP145">
        <v>77</v>
      </c>
      <c r="AQ145">
        <v>4.5</v>
      </c>
      <c r="AR145" t="s">
        <v>28</v>
      </c>
      <c r="AS145" t="s">
        <v>142</v>
      </c>
      <c r="AT145" t="s">
        <v>141</v>
      </c>
      <c r="AU145">
        <v>328.38</v>
      </c>
      <c r="AV145">
        <v>26</v>
      </c>
      <c r="AW145">
        <v>14</v>
      </c>
      <c r="AX145">
        <v>8</v>
      </c>
      <c r="AY145">
        <v>25.8</v>
      </c>
      <c r="AZ145">
        <v>11</v>
      </c>
      <c r="BA145">
        <v>9770</v>
      </c>
      <c r="BB145">
        <v>81</v>
      </c>
      <c r="BC145">
        <v>81</v>
      </c>
      <c r="BD145">
        <v>81</v>
      </c>
      <c r="BE145">
        <v>4.5</v>
      </c>
      <c r="BF145" t="s">
        <v>29</v>
      </c>
      <c r="BG145">
        <v>-27</v>
      </c>
      <c r="BH145">
        <v>-8</v>
      </c>
      <c r="BI145">
        <v>0.32900000000000001</v>
      </c>
      <c r="BJ145" t="s">
        <v>270</v>
      </c>
      <c r="BK145">
        <v>0.52170000000000005</v>
      </c>
      <c r="BL145">
        <v>0.36</v>
      </c>
      <c r="BM145">
        <v>1.76</v>
      </c>
      <c r="BN145">
        <v>1.24</v>
      </c>
    </row>
    <row r="146" spans="1:66" x14ac:dyDescent="0.25">
      <c r="A146">
        <v>1</v>
      </c>
      <c r="B146" s="4">
        <v>3</v>
      </c>
      <c r="D146">
        <v>2.54</v>
      </c>
      <c r="E146">
        <v>3.1125000000000003</v>
      </c>
      <c r="F146">
        <v>3.0874999999999999</v>
      </c>
      <c r="J146">
        <v>2.5</v>
      </c>
      <c r="K146">
        <v>3.15</v>
      </c>
      <c r="L146">
        <v>3.1</v>
      </c>
      <c r="M146">
        <v>2.6</v>
      </c>
      <c r="N146">
        <v>3.1</v>
      </c>
      <c r="O146">
        <v>3.1</v>
      </c>
      <c r="P146">
        <v>2.56</v>
      </c>
      <c r="Q146">
        <v>3.05</v>
      </c>
      <c r="R146">
        <v>3.05</v>
      </c>
      <c r="S146">
        <v>0.39882169051340627</v>
      </c>
      <c r="T146">
        <v>0.27954791391126615</v>
      </c>
      <c r="U146">
        <v>0.32163039557532763</v>
      </c>
      <c r="V146">
        <v>0.38841607565011821</v>
      </c>
      <c r="W146">
        <v>0.2858156028368794</v>
      </c>
      <c r="X146">
        <v>0.32576832151300233</v>
      </c>
      <c r="Y146">
        <v>0.38695914874032616</v>
      </c>
      <c r="Z146">
        <v>0.28824891002189185</v>
      </c>
      <c r="AA146">
        <v>0.32479194123778199</v>
      </c>
      <c r="AB146">
        <v>0.39325465135431426</v>
      </c>
      <c r="AC146">
        <v>0.28329008517032589</v>
      </c>
      <c r="AD146">
        <v>0.32345526347535991</v>
      </c>
      <c r="AE146" t="s">
        <v>145</v>
      </c>
      <c r="AF146" t="s">
        <v>141</v>
      </c>
      <c r="AG146">
        <v>155.69999999999999</v>
      </c>
      <c r="AH146">
        <v>26</v>
      </c>
      <c r="AI146">
        <v>14</v>
      </c>
      <c r="AJ146">
        <v>8</v>
      </c>
      <c r="AK146">
        <v>27.3</v>
      </c>
      <c r="AL146">
        <v>27</v>
      </c>
      <c r="AM146">
        <v>7881</v>
      </c>
      <c r="AN146">
        <v>80</v>
      </c>
      <c r="AO146">
        <v>77</v>
      </c>
      <c r="AP146">
        <v>78</v>
      </c>
      <c r="AQ146">
        <v>4</v>
      </c>
      <c r="AR146" t="s">
        <v>46</v>
      </c>
      <c r="AS146" t="s">
        <v>152</v>
      </c>
      <c r="AT146" t="s">
        <v>141</v>
      </c>
      <c r="AU146">
        <v>214.25</v>
      </c>
      <c r="AV146">
        <v>24</v>
      </c>
      <c r="AW146">
        <v>10</v>
      </c>
      <c r="AX146">
        <v>7</v>
      </c>
      <c r="AY146">
        <v>27.3</v>
      </c>
      <c r="AZ146">
        <v>125</v>
      </c>
      <c r="BA146">
        <v>4257</v>
      </c>
      <c r="BB146">
        <v>81</v>
      </c>
      <c r="BC146">
        <v>81</v>
      </c>
      <c r="BD146">
        <v>78</v>
      </c>
      <c r="BE146">
        <v>4.5</v>
      </c>
      <c r="BF146" t="s">
        <v>29</v>
      </c>
      <c r="BG146">
        <v>-4</v>
      </c>
      <c r="BH146">
        <v>6</v>
      </c>
      <c r="BI146">
        <v>0.33300000000000002</v>
      </c>
      <c r="BJ146" t="s">
        <v>270</v>
      </c>
      <c r="BK146">
        <v>0.40820000000000001</v>
      </c>
      <c r="BL146">
        <v>0.29970000000000002</v>
      </c>
      <c r="BM146">
        <v>1.1399999999999999</v>
      </c>
      <c r="BN146">
        <v>1.39</v>
      </c>
    </row>
    <row r="147" spans="1:66" x14ac:dyDescent="0.25">
      <c r="A147">
        <v>1</v>
      </c>
      <c r="B147" s="4">
        <v>2</v>
      </c>
      <c r="D147">
        <v>1.625</v>
      </c>
      <c r="E147">
        <v>4.0250000000000004</v>
      </c>
      <c r="F147">
        <v>5.2749999999999995</v>
      </c>
      <c r="J147">
        <v>1.63</v>
      </c>
      <c r="K147">
        <v>4</v>
      </c>
      <c r="L147">
        <v>5.2</v>
      </c>
      <c r="M147">
        <v>1.64</v>
      </c>
      <c r="N147">
        <v>4</v>
      </c>
      <c r="O147">
        <v>5.6</v>
      </c>
      <c r="P147">
        <v>1.6</v>
      </c>
      <c r="Q147">
        <v>4.2</v>
      </c>
      <c r="R147">
        <v>5.3</v>
      </c>
      <c r="S147">
        <v>0.61257846846161468</v>
      </c>
      <c r="T147">
        <v>0.19540174238599453</v>
      </c>
      <c r="U147">
        <v>0.19201978915239076</v>
      </c>
      <c r="V147">
        <v>0.62288353581665135</v>
      </c>
      <c r="W147">
        <v>0.19470057155132939</v>
      </c>
      <c r="X147">
        <v>0.18241589263201932</v>
      </c>
      <c r="Y147">
        <v>0.62571053782247488</v>
      </c>
      <c r="Z147">
        <v>0.18539571491036291</v>
      </c>
      <c r="AA147">
        <v>0.18889374726716221</v>
      </c>
      <c r="AB147">
        <v>0.61607943540750432</v>
      </c>
      <c r="AC147">
        <v>0.19393187356796654</v>
      </c>
      <c r="AD147">
        <v>0.18998869102452909</v>
      </c>
      <c r="AE147" t="s">
        <v>110</v>
      </c>
      <c r="AF147" t="s">
        <v>108</v>
      </c>
      <c r="AG147">
        <v>68.63</v>
      </c>
      <c r="AH147">
        <v>35</v>
      </c>
      <c r="AI147">
        <v>2</v>
      </c>
      <c r="AJ147">
        <v>3</v>
      </c>
      <c r="AK147">
        <v>27.4</v>
      </c>
      <c r="AL147">
        <v>9</v>
      </c>
      <c r="AM147">
        <v>10366</v>
      </c>
      <c r="AN147">
        <v>72</v>
      </c>
      <c r="AO147">
        <v>75</v>
      </c>
      <c r="AP147">
        <v>74</v>
      </c>
      <c r="AQ147">
        <v>4</v>
      </c>
      <c r="AR147" t="s">
        <v>29</v>
      </c>
      <c r="AS147" t="s">
        <v>125</v>
      </c>
      <c r="AT147" t="s">
        <v>126</v>
      </c>
      <c r="AU147">
        <v>13.2</v>
      </c>
      <c r="AV147">
        <v>33</v>
      </c>
      <c r="AW147">
        <v>6</v>
      </c>
      <c r="AX147">
        <v>2</v>
      </c>
      <c r="AY147">
        <v>25.8</v>
      </c>
      <c r="AZ147">
        <v>648</v>
      </c>
      <c r="BA147">
        <v>911</v>
      </c>
      <c r="BB147">
        <v>73</v>
      </c>
      <c r="BC147">
        <v>70</v>
      </c>
      <c r="BD147">
        <v>72</v>
      </c>
      <c r="BE147">
        <v>3.5</v>
      </c>
      <c r="BF147" t="s">
        <v>28</v>
      </c>
      <c r="BG147">
        <v>-3</v>
      </c>
      <c r="BH147">
        <v>-9</v>
      </c>
      <c r="BI147">
        <v>0.2</v>
      </c>
      <c r="BJ147" t="s">
        <v>271</v>
      </c>
      <c r="BK147">
        <v>0.47299999999999998</v>
      </c>
      <c r="BL147">
        <v>0.51060000000000005</v>
      </c>
      <c r="BM147">
        <v>1.36</v>
      </c>
      <c r="BN147">
        <v>1.74</v>
      </c>
    </row>
    <row r="148" spans="1:66" x14ac:dyDescent="0.25">
      <c r="A148">
        <v>2</v>
      </c>
      <c r="B148" s="4">
        <v>0</v>
      </c>
      <c r="D148">
        <v>2.9575</v>
      </c>
      <c r="E148">
        <v>3.125</v>
      </c>
      <c r="F148">
        <v>2.5225</v>
      </c>
      <c r="J148">
        <v>2.9</v>
      </c>
      <c r="K148">
        <v>3.15</v>
      </c>
      <c r="L148">
        <v>2.5</v>
      </c>
      <c r="M148">
        <v>3.05</v>
      </c>
      <c r="N148">
        <v>3.05</v>
      </c>
      <c r="O148">
        <v>2.5499999999999998</v>
      </c>
      <c r="P148">
        <v>2.98</v>
      </c>
      <c r="Q148">
        <v>3.15</v>
      </c>
      <c r="R148">
        <v>2.54</v>
      </c>
      <c r="S148">
        <v>0.3346080305927342</v>
      </c>
      <c r="T148">
        <v>0.27724665391969405</v>
      </c>
      <c r="U148">
        <v>0.3881453154875717</v>
      </c>
      <c r="V148">
        <v>0.3242092269711464</v>
      </c>
      <c r="W148">
        <v>0.28801110939669811</v>
      </c>
      <c r="X148">
        <v>0.38777966363215549</v>
      </c>
      <c r="Y148">
        <v>0.33167097012172631</v>
      </c>
      <c r="Z148">
        <v>0.27920324603467356</v>
      </c>
      <c r="AA148">
        <v>0.38912578384360014</v>
      </c>
      <c r="AB148">
        <v>0.33127406456958525</v>
      </c>
      <c r="AC148">
        <v>0.28042691581768997</v>
      </c>
      <c r="AD148">
        <v>0.38829901961272473</v>
      </c>
      <c r="AE148" t="s">
        <v>68</v>
      </c>
      <c r="AF148" t="s">
        <v>63</v>
      </c>
      <c r="AG148">
        <v>17.579999999999998</v>
      </c>
      <c r="AH148">
        <v>31</v>
      </c>
      <c r="AI148">
        <v>3</v>
      </c>
      <c r="AJ148">
        <v>2</v>
      </c>
      <c r="AK148">
        <v>25.9</v>
      </c>
      <c r="AL148">
        <v>129</v>
      </c>
      <c r="AM148">
        <v>4227</v>
      </c>
      <c r="AN148">
        <v>73</v>
      </c>
      <c r="AO148">
        <v>69</v>
      </c>
      <c r="AP148">
        <v>69</v>
      </c>
      <c r="AQ148">
        <v>3.5</v>
      </c>
      <c r="AR148" t="s">
        <v>46</v>
      </c>
      <c r="AS148" t="s">
        <v>112</v>
      </c>
      <c r="AT148" t="s">
        <v>108</v>
      </c>
      <c r="AU148">
        <v>55.08</v>
      </c>
      <c r="AV148">
        <v>36</v>
      </c>
      <c r="AW148">
        <v>7</v>
      </c>
      <c r="AX148">
        <v>2</v>
      </c>
      <c r="AY148">
        <v>26.4</v>
      </c>
      <c r="AZ148">
        <v>17</v>
      </c>
      <c r="BA148">
        <v>9035</v>
      </c>
      <c r="BB148">
        <v>73</v>
      </c>
      <c r="BC148">
        <v>74</v>
      </c>
      <c r="BD148">
        <v>74</v>
      </c>
      <c r="BE148">
        <v>3.5</v>
      </c>
      <c r="BF148" t="s">
        <v>29</v>
      </c>
      <c r="BG148">
        <v>1</v>
      </c>
      <c r="BH148">
        <v>3</v>
      </c>
      <c r="BI148">
        <v>0.2</v>
      </c>
      <c r="BJ148" t="s">
        <v>271</v>
      </c>
      <c r="BK148">
        <v>0.38890000000000002</v>
      </c>
      <c r="BL148">
        <v>0.52939999999999998</v>
      </c>
      <c r="BM148">
        <v>1.39</v>
      </c>
      <c r="BN148">
        <v>1.5</v>
      </c>
    </row>
    <row r="149" spans="1:66" x14ac:dyDescent="0.25">
      <c r="A149">
        <v>2</v>
      </c>
      <c r="B149" s="4">
        <v>0</v>
      </c>
      <c r="D149">
        <v>1.3275000000000001</v>
      </c>
      <c r="E149">
        <v>5.1374999999999993</v>
      </c>
      <c r="F149">
        <v>9.3249999999999993</v>
      </c>
      <c r="J149">
        <v>1.31</v>
      </c>
      <c r="K149">
        <v>5.25</v>
      </c>
      <c r="L149">
        <v>9.5</v>
      </c>
      <c r="M149">
        <v>1.36</v>
      </c>
      <c r="N149">
        <v>5</v>
      </c>
      <c r="O149">
        <v>9.4</v>
      </c>
      <c r="P149">
        <v>1.33</v>
      </c>
      <c r="Q149">
        <v>5.2</v>
      </c>
      <c r="R149">
        <v>9.4</v>
      </c>
      <c r="S149">
        <v>0.76949322301525924</v>
      </c>
      <c r="T149">
        <v>0.12439771149526813</v>
      </c>
      <c r="U149">
        <v>0.10610906548947259</v>
      </c>
      <c r="V149">
        <v>0.75752452277936844</v>
      </c>
      <c r="W149">
        <v>0.132876184563191</v>
      </c>
      <c r="X149">
        <v>0.10959929265744053</v>
      </c>
      <c r="Y149">
        <v>0.76479974971889086</v>
      </c>
      <c r="Z149">
        <v>0.12698922186343631</v>
      </c>
      <c r="AA149">
        <v>0.10821102841767286</v>
      </c>
      <c r="AB149">
        <v>0.76308591953161331</v>
      </c>
      <c r="AC149">
        <v>0.12825953107104726</v>
      </c>
      <c r="AD149">
        <v>0.10865454939733939</v>
      </c>
      <c r="AE149" t="s">
        <v>86</v>
      </c>
      <c r="AF149" t="s">
        <v>85</v>
      </c>
      <c r="AG149">
        <v>80.2</v>
      </c>
      <c r="AH149">
        <v>31</v>
      </c>
      <c r="AI149">
        <v>6</v>
      </c>
      <c r="AJ149">
        <v>4</v>
      </c>
      <c r="AK149">
        <v>26.9</v>
      </c>
      <c r="AL149">
        <v>10</v>
      </c>
      <c r="AM149">
        <v>9954</v>
      </c>
      <c r="AN149">
        <v>75</v>
      </c>
      <c r="AO149">
        <v>76</v>
      </c>
      <c r="AP149">
        <v>76</v>
      </c>
      <c r="AQ149">
        <v>4</v>
      </c>
      <c r="AR149" t="s">
        <v>46</v>
      </c>
      <c r="AS149" t="s">
        <v>239</v>
      </c>
      <c r="AT149" t="s">
        <v>238</v>
      </c>
      <c r="AU149">
        <v>21.75</v>
      </c>
      <c r="AV149">
        <v>30</v>
      </c>
      <c r="AW149">
        <v>7</v>
      </c>
      <c r="AX149">
        <v>4</v>
      </c>
      <c r="AY149">
        <v>27.8</v>
      </c>
      <c r="AZ149">
        <v>129</v>
      </c>
      <c r="BA149">
        <v>4117</v>
      </c>
      <c r="BB149">
        <v>70</v>
      </c>
      <c r="BC149">
        <v>70</v>
      </c>
      <c r="BD149">
        <v>71</v>
      </c>
      <c r="BE149">
        <v>3</v>
      </c>
      <c r="BF149" t="s">
        <v>29</v>
      </c>
      <c r="BG149">
        <v>10</v>
      </c>
      <c r="BH149">
        <v>19</v>
      </c>
      <c r="BI149">
        <v>0.85699999999999998</v>
      </c>
      <c r="BJ149" t="s">
        <v>271</v>
      </c>
      <c r="BK149">
        <v>0.56000000000000005</v>
      </c>
      <c r="BL149">
        <v>0.5</v>
      </c>
      <c r="BM149">
        <v>1.5</v>
      </c>
      <c r="BN149">
        <v>1.77</v>
      </c>
    </row>
    <row r="150" spans="1:66" x14ac:dyDescent="0.25">
      <c r="A150">
        <v>3</v>
      </c>
      <c r="B150" s="4">
        <v>-1</v>
      </c>
      <c r="D150">
        <v>2.8200000000000003</v>
      </c>
      <c r="E150">
        <v>3.7625000000000002</v>
      </c>
      <c r="F150">
        <v>3.9875000000000003</v>
      </c>
      <c r="J150">
        <v>3.25</v>
      </c>
      <c r="K150">
        <v>3.3</v>
      </c>
      <c r="L150">
        <v>2.2200000000000002</v>
      </c>
      <c r="M150">
        <v>3.45</v>
      </c>
      <c r="N150">
        <v>3.25</v>
      </c>
      <c r="O150">
        <v>2.11</v>
      </c>
      <c r="P150">
        <v>3.45</v>
      </c>
      <c r="Q150">
        <v>3.4</v>
      </c>
      <c r="R150">
        <v>2.15</v>
      </c>
      <c r="S150">
        <v>0.29968493526489243</v>
      </c>
      <c r="T150">
        <v>0.26158711896443171</v>
      </c>
      <c r="U150">
        <v>0.43872794577067581</v>
      </c>
      <c r="V150">
        <v>0.28004334464150071</v>
      </c>
      <c r="W150">
        <v>0.26206587857500285</v>
      </c>
      <c r="X150">
        <v>0.45789077678349643</v>
      </c>
      <c r="Y150">
        <v>0.76479974971889075</v>
      </c>
      <c r="Z150">
        <v>0.12698922186343631</v>
      </c>
      <c r="AA150">
        <v>0.10821102841767284</v>
      </c>
      <c r="AB150">
        <v>0.41105324122254411</v>
      </c>
      <c r="AC150">
        <v>0.22805733459182564</v>
      </c>
      <c r="AD150">
        <v>0.36088942418563025</v>
      </c>
      <c r="AE150" t="s">
        <v>247</v>
      </c>
      <c r="AF150" t="s">
        <v>246</v>
      </c>
      <c r="AG150">
        <v>12.3</v>
      </c>
      <c r="AH150">
        <v>30</v>
      </c>
      <c r="AI150">
        <v>6</v>
      </c>
      <c r="AJ150">
        <v>2</v>
      </c>
      <c r="AK150">
        <v>24.6</v>
      </c>
      <c r="AL150">
        <v>215</v>
      </c>
      <c r="AM150">
        <v>3127</v>
      </c>
      <c r="AN150">
        <v>73</v>
      </c>
      <c r="AO150">
        <v>70</v>
      </c>
      <c r="AP150">
        <v>69</v>
      </c>
      <c r="AQ150">
        <v>3</v>
      </c>
      <c r="AR150" t="s">
        <v>46</v>
      </c>
      <c r="AS150" t="s">
        <v>91</v>
      </c>
      <c r="AT150" t="s">
        <v>85</v>
      </c>
      <c r="AU150">
        <v>59.6</v>
      </c>
      <c r="AV150">
        <v>34</v>
      </c>
      <c r="AW150">
        <v>4</v>
      </c>
      <c r="AX150">
        <v>3</v>
      </c>
      <c r="AY150">
        <v>27.8</v>
      </c>
      <c r="AZ150">
        <v>97</v>
      </c>
      <c r="BA150">
        <v>4926</v>
      </c>
      <c r="BB150">
        <v>78</v>
      </c>
      <c r="BC150">
        <v>76</v>
      </c>
      <c r="BD150">
        <v>75</v>
      </c>
      <c r="BE150">
        <v>4</v>
      </c>
      <c r="BF150" t="s">
        <v>29</v>
      </c>
      <c r="BG150">
        <v>-2</v>
      </c>
      <c r="BH150">
        <v>4</v>
      </c>
      <c r="BI150">
        <v>0.3</v>
      </c>
      <c r="BJ150" t="s">
        <v>271</v>
      </c>
      <c r="BK150">
        <v>0.5</v>
      </c>
      <c r="BL150">
        <v>0.42859999999999998</v>
      </c>
      <c r="BM150">
        <v>1.42</v>
      </c>
      <c r="BN150">
        <v>1.35</v>
      </c>
    </row>
    <row r="151" spans="1:66" x14ac:dyDescent="0.25">
      <c r="A151">
        <v>1</v>
      </c>
      <c r="B151" s="4">
        <v>3</v>
      </c>
      <c r="D151">
        <v>1.4875</v>
      </c>
      <c r="E151">
        <v>4.3375000000000004</v>
      </c>
      <c r="F151">
        <v>6.05</v>
      </c>
      <c r="J151">
        <v>1.5</v>
      </c>
      <c r="K151">
        <v>4.4000000000000004</v>
      </c>
      <c r="L151">
        <v>6</v>
      </c>
      <c r="M151">
        <v>1.47</v>
      </c>
      <c r="N151">
        <v>4</v>
      </c>
      <c r="O151">
        <v>5.8</v>
      </c>
      <c r="P151">
        <v>1.48</v>
      </c>
      <c r="Q151">
        <v>4.55</v>
      </c>
      <c r="R151">
        <v>6.4</v>
      </c>
      <c r="S151">
        <v>0.66415094339622638</v>
      </c>
      <c r="T151">
        <v>0.16981132075471697</v>
      </c>
      <c r="U151">
        <v>0.16603773584905659</v>
      </c>
      <c r="V151">
        <v>0.65227607738655979</v>
      </c>
      <c r="W151">
        <v>0.18240567541374314</v>
      </c>
      <c r="X151">
        <v>0.16531824719969709</v>
      </c>
      <c r="Y151">
        <v>0.68017187335551155</v>
      </c>
      <c r="Z151">
        <v>0.16253838093102643</v>
      </c>
      <c r="AA151">
        <v>0.15728974571346205</v>
      </c>
      <c r="AB151">
        <v>0.665187459383631</v>
      </c>
      <c r="AC151">
        <v>0.17114167446355086</v>
      </c>
      <c r="AD151">
        <v>0.16367086615281806</v>
      </c>
      <c r="AE151" t="s">
        <v>107</v>
      </c>
      <c r="AF151" t="s">
        <v>108</v>
      </c>
      <c r="AG151">
        <v>118.25</v>
      </c>
      <c r="AH151">
        <v>29</v>
      </c>
      <c r="AI151">
        <v>3</v>
      </c>
      <c r="AJ151">
        <v>6</v>
      </c>
      <c r="AK151">
        <v>26.1</v>
      </c>
      <c r="AL151">
        <v>2</v>
      </c>
      <c r="AM151">
        <v>13486</v>
      </c>
      <c r="AN151">
        <v>78</v>
      </c>
      <c r="AO151">
        <v>76</v>
      </c>
      <c r="AP151">
        <v>74</v>
      </c>
      <c r="AQ151">
        <v>4</v>
      </c>
      <c r="AR151" t="s">
        <v>29</v>
      </c>
      <c r="AS151" t="s">
        <v>133</v>
      </c>
      <c r="AT151" t="s">
        <v>134</v>
      </c>
      <c r="AU151">
        <v>11.73</v>
      </c>
      <c r="AV151">
        <v>21</v>
      </c>
      <c r="AW151">
        <v>7</v>
      </c>
      <c r="AX151">
        <v>2</v>
      </c>
      <c r="AY151">
        <v>27.2</v>
      </c>
      <c r="AZ151">
        <v>192</v>
      </c>
      <c r="BA151">
        <v>3470</v>
      </c>
      <c r="BB151">
        <v>67</v>
      </c>
      <c r="BC151">
        <v>72</v>
      </c>
      <c r="BD151">
        <v>68</v>
      </c>
      <c r="BE151">
        <v>3</v>
      </c>
      <c r="BF151" t="s">
        <v>29</v>
      </c>
      <c r="BG151">
        <v>-2</v>
      </c>
      <c r="BH151">
        <v>1</v>
      </c>
      <c r="BI151">
        <v>0.33300000000000002</v>
      </c>
      <c r="BJ151" t="s">
        <v>271</v>
      </c>
      <c r="BK151">
        <v>0.62860000000000005</v>
      </c>
      <c r="BL151">
        <v>0.5</v>
      </c>
      <c r="BM151">
        <v>1.87</v>
      </c>
      <c r="BN151">
        <v>1.95</v>
      </c>
    </row>
    <row r="152" spans="1:66" x14ac:dyDescent="0.25">
      <c r="A152">
        <v>3</v>
      </c>
      <c r="B152" s="4">
        <v>-2</v>
      </c>
      <c r="D152">
        <v>1.4049999999999998</v>
      </c>
      <c r="E152">
        <v>4.45</v>
      </c>
      <c r="F152">
        <v>7.35</v>
      </c>
      <c r="J152">
        <v>1.4</v>
      </c>
      <c r="K152">
        <v>4.5</v>
      </c>
      <c r="L152">
        <v>7.5</v>
      </c>
      <c r="M152">
        <v>1.42</v>
      </c>
      <c r="N152">
        <v>4.0999999999999996</v>
      </c>
      <c r="O152">
        <v>6.6</v>
      </c>
      <c r="P152">
        <v>1.4</v>
      </c>
      <c r="Q152">
        <v>4.7</v>
      </c>
      <c r="R152">
        <v>7.8</v>
      </c>
      <c r="S152">
        <v>0.71267633228840133</v>
      </c>
      <c r="T152">
        <v>0.15429075235109718</v>
      </c>
      <c r="U152">
        <v>0.13303291536050155</v>
      </c>
      <c r="V152">
        <v>0.68169831223628696</v>
      </c>
      <c r="W152">
        <v>0.1716332630098453</v>
      </c>
      <c r="X152">
        <v>0.14666842475386779</v>
      </c>
      <c r="Y152">
        <v>0.72235272858691724</v>
      </c>
      <c r="Z152">
        <v>0.14799421756414891</v>
      </c>
      <c r="AA152">
        <v>0.12965305384893386</v>
      </c>
      <c r="AB152">
        <v>0.70735092635000174</v>
      </c>
      <c r="AC152">
        <v>0.15705224631904713</v>
      </c>
      <c r="AD152">
        <v>0.13559682733095119</v>
      </c>
      <c r="AE152" t="s">
        <v>66</v>
      </c>
      <c r="AF152" t="s">
        <v>63</v>
      </c>
      <c r="AG152">
        <v>23.33</v>
      </c>
      <c r="AH152">
        <v>27</v>
      </c>
      <c r="AI152">
        <v>2</v>
      </c>
      <c r="AJ152">
        <v>1</v>
      </c>
      <c r="AK152">
        <v>29.3</v>
      </c>
      <c r="AL152">
        <v>93</v>
      </c>
      <c r="AM152">
        <v>5011</v>
      </c>
      <c r="AN152">
        <v>74</v>
      </c>
      <c r="AO152">
        <v>69</v>
      </c>
      <c r="AP152">
        <v>68</v>
      </c>
      <c r="AQ152">
        <v>3</v>
      </c>
      <c r="AR152" t="s">
        <v>28</v>
      </c>
      <c r="AS152" t="s">
        <v>272</v>
      </c>
      <c r="AT152" t="s">
        <v>134</v>
      </c>
      <c r="AU152">
        <v>16.5</v>
      </c>
      <c r="AV152">
        <v>31</v>
      </c>
      <c r="AW152">
        <v>8</v>
      </c>
      <c r="AX152">
        <v>2</v>
      </c>
      <c r="AY152">
        <v>27.5</v>
      </c>
      <c r="AZ152">
        <v>546</v>
      </c>
      <c r="BA152">
        <v>1204</v>
      </c>
      <c r="BB152">
        <v>69</v>
      </c>
      <c r="BC152">
        <v>66</v>
      </c>
      <c r="BD152">
        <v>68</v>
      </c>
      <c r="BE152">
        <v>2.5</v>
      </c>
      <c r="BF152" t="s">
        <v>29</v>
      </c>
      <c r="BG152">
        <v>-3</v>
      </c>
      <c r="BH152">
        <v>-3</v>
      </c>
      <c r="BI152">
        <v>0.33300000000000002</v>
      </c>
      <c r="BJ152" t="s">
        <v>271</v>
      </c>
      <c r="BK152">
        <v>0.4</v>
      </c>
      <c r="BL152">
        <v>0.5</v>
      </c>
      <c r="BM152">
        <v>1.28</v>
      </c>
      <c r="BN152">
        <v>1.48</v>
      </c>
    </row>
    <row r="153" spans="1:66" x14ac:dyDescent="0.25">
      <c r="A153">
        <v>1</v>
      </c>
      <c r="B153" s="4">
        <v>1</v>
      </c>
      <c r="D153">
        <v>1.6375</v>
      </c>
      <c r="E153">
        <v>4.0250000000000004</v>
      </c>
      <c r="F153">
        <v>5.1624999999999996</v>
      </c>
      <c r="J153">
        <v>1.63</v>
      </c>
      <c r="K153">
        <v>4</v>
      </c>
      <c r="L153">
        <v>5</v>
      </c>
      <c r="M153">
        <v>1.66</v>
      </c>
      <c r="N153">
        <v>4</v>
      </c>
      <c r="O153">
        <v>5.4</v>
      </c>
      <c r="P153">
        <v>1.63</v>
      </c>
      <c r="Q153">
        <v>4.0999999999999996</v>
      </c>
      <c r="R153">
        <v>5.25</v>
      </c>
      <c r="S153">
        <v>0.60635498497538109</v>
      </c>
      <c r="T153">
        <v>0.19597328992264465</v>
      </c>
      <c r="U153">
        <v>0.19767172510197423</v>
      </c>
      <c r="V153">
        <v>0.61445487094283113</v>
      </c>
      <c r="W153">
        <v>0.1966571502117801</v>
      </c>
      <c r="X153">
        <v>0.1888879788453888</v>
      </c>
      <c r="Y153">
        <v>0.61714599866357678</v>
      </c>
      <c r="Z153">
        <v>0.19124486270373192</v>
      </c>
      <c r="AA153">
        <v>0.19160913863269144</v>
      </c>
      <c r="AB153">
        <v>0.61107770988929255</v>
      </c>
      <c r="AC153">
        <v>0.19496214819020033</v>
      </c>
      <c r="AD153">
        <v>0.19396014192050715</v>
      </c>
      <c r="AE153" t="s">
        <v>84</v>
      </c>
      <c r="AF153" t="s">
        <v>85</v>
      </c>
      <c r="AG153">
        <v>115.65</v>
      </c>
      <c r="AH153">
        <v>32</v>
      </c>
      <c r="AI153">
        <v>7</v>
      </c>
      <c r="AJ153">
        <v>7</v>
      </c>
      <c r="AK153">
        <v>27.6</v>
      </c>
      <c r="AL153">
        <v>4</v>
      </c>
      <c r="AM153">
        <v>11425</v>
      </c>
      <c r="AN153">
        <v>78</v>
      </c>
      <c r="AO153">
        <v>78</v>
      </c>
      <c r="AP153">
        <v>77</v>
      </c>
      <c r="AQ153">
        <v>4</v>
      </c>
      <c r="AR153" t="s">
        <v>29</v>
      </c>
      <c r="AS153" t="s">
        <v>116</v>
      </c>
      <c r="AT153" t="s">
        <v>108</v>
      </c>
      <c r="AU153">
        <v>50.33</v>
      </c>
      <c r="AV153">
        <v>33</v>
      </c>
      <c r="AW153">
        <v>4</v>
      </c>
      <c r="AX153">
        <v>1</v>
      </c>
      <c r="AY153">
        <v>25.3</v>
      </c>
      <c r="AZ153">
        <v>75</v>
      </c>
      <c r="BA153">
        <v>5476</v>
      </c>
      <c r="BB153">
        <v>75</v>
      </c>
      <c r="BC153">
        <v>75</v>
      </c>
      <c r="BD153">
        <v>75</v>
      </c>
      <c r="BE153">
        <v>4</v>
      </c>
      <c r="BF153" t="s">
        <v>29</v>
      </c>
      <c r="BG153">
        <v>-2</v>
      </c>
      <c r="BH153">
        <v>-3</v>
      </c>
      <c r="BI153">
        <v>0.14299999999999999</v>
      </c>
      <c r="BJ153" t="s">
        <v>271</v>
      </c>
      <c r="BK153">
        <v>0.65310000000000001</v>
      </c>
      <c r="BL153">
        <v>0.44619999999999999</v>
      </c>
      <c r="BM153">
        <v>2.12</v>
      </c>
      <c r="BN153">
        <v>1.69</v>
      </c>
    </row>
    <row r="154" spans="1:66" x14ac:dyDescent="0.25">
      <c r="A154">
        <v>3</v>
      </c>
      <c r="B154" s="4">
        <v>-1</v>
      </c>
      <c r="D154">
        <v>1.885</v>
      </c>
      <c r="E154">
        <v>3.15</v>
      </c>
      <c r="F154">
        <v>4.7625000000000002</v>
      </c>
      <c r="J154">
        <v>1.83</v>
      </c>
      <c r="K154">
        <v>3.1</v>
      </c>
      <c r="L154">
        <v>5.0999999999999996</v>
      </c>
      <c r="M154">
        <v>1.94</v>
      </c>
      <c r="N154">
        <v>3.3</v>
      </c>
      <c r="O154">
        <v>4.4000000000000004</v>
      </c>
      <c r="P154">
        <v>1.94</v>
      </c>
      <c r="Q154">
        <v>3.1</v>
      </c>
      <c r="R154">
        <v>4.45</v>
      </c>
      <c r="S154">
        <v>0.54857707110961984</v>
      </c>
      <c r="T154">
        <v>0.25458056808045759</v>
      </c>
      <c r="U154">
        <v>0.19684236080992246</v>
      </c>
      <c r="V154">
        <v>0.51967008561764771</v>
      </c>
      <c r="W154">
        <v>0.25120264936002573</v>
      </c>
      <c r="X154">
        <v>0.2291272650223265</v>
      </c>
      <c r="Y154">
        <v>0.51243802407333172</v>
      </c>
      <c r="Z154">
        <v>0.2641620283531258</v>
      </c>
      <c r="AA154">
        <v>0.2233999475735424</v>
      </c>
      <c r="AB154">
        <v>0.53231556297755478</v>
      </c>
      <c r="AC154">
        <v>0.25613145346851668</v>
      </c>
      <c r="AD154">
        <v>0.21155298355392846</v>
      </c>
      <c r="AE154" t="s">
        <v>67</v>
      </c>
      <c r="AF154" t="s">
        <v>63</v>
      </c>
      <c r="AG154">
        <v>19.75</v>
      </c>
      <c r="AH154">
        <v>33</v>
      </c>
      <c r="AI154">
        <v>2</v>
      </c>
      <c r="AJ154">
        <v>1</v>
      </c>
      <c r="AK154">
        <v>24.9</v>
      </c>
      <c r="AL154">
        <v>104</v>
      </c>
      <c r="AM154">
        <v>4793</v>
      </c>
      <c r="AN154">
        <v>68</v>
      </c>
      <c r="AO154">
        <v>70</v>
      </c>
      <c r="AP154">
        <v>71</v>
      </c>
      <c r="AQ154">
        <v>3</v>
      </c>
      <c r="AR154" t="s">
        <v>29</v>
      </c>
      <c r="AS154" t="s">
        <v>62</v>
      </c>
      <c r="AT154" t="s">
        <v>63</v>
      </c>
      <c r="AU154">
        <v>20.65</v>
      </c>
      <c r="AV154">
        <v>29</v>
      </c>
      <c r="AW154">
        <v>2</v>
      </c>
      <c r="AX154">
        <v>2</v>
      </c>
      <c r="AY154">
        <v>26</v>
      </c>
      <c r="AZ154">
        <v>66</v>
      </c>
      <c r="BA154">
        <v>5865</v>
      </c>
      <c r="BB154">
        <v>67</v>
      </c>
      <c r="BC154">
        <v>69</v>
      </c>
      <c r="BD154">
        <v>69</v>
      </c>
      <c r="BE154">
        <v>3</v>
      </c>
      <c r="BF154" t="s">
        <v>29</v>
      </c>
      <c r="BG154">
        <v>-10</v>
      </c>
      <c r="BH154">
        <v>5</v>
      </c>
      <c r="BI154">
        <v>0.38500000000000001</v>
      </c>
      <c r="BJ154" t="s">
        <v>63</v>
      </c>
      <c r="BK154">
        <v>0.42859999999999998</v>
      </c>
      <c r="BL154">
        <v>0.4375</v>
      </c>
      <c r="BM154">
        <v>1.75</v>
      </c>
      <c r="BN154">
        <v>1.25</v>
      </c>
    </row>
    <row r="155" spans="1:66" x14ac:dyDescent="0.25">
      <c r="A155">
        <v>1</v>
      </c>
      <c r="B155" s="4">
        <v>1</v>
      </c>
      <c r="D155">
        <v>1.2174999999999998</v>
      </c>
      <c r="E155">
        <v>6.8</v>
      </c>
      <c r="F155">
        <v>13.375</v>
      </c>
      <c r="J155">
        <v>1.22</v>
      </c>
      <c r="K155">
        <v>6.75</v>
      </c>
      <c r="L155">
        <v>13</v>
      </c>
      <c r="M155">
        <v>1.22</v>
      </c>
      <c r="N155">
        <v>6.8</v>
      </c>
      <c r="O155">
        <v>14</v>
      </c>
      <c r="P155">
        <v>1.21</v>
      </c>
      <c r="Q155">
        <v>6.9</v>
      </c>
      <c r="R155">
        <v>13.5</v>
      </c>
      <c r="S155">
        <v>0.83167893049686714</v>
      </c>
      <c r="T155">
        <v>9.0271200641119043E-2</v>
      </c>
      <c r="U155">
        <v>7.8049868862013691E-2</v>
      </c>
      <c r="V155">
        <v>0.83895865338281139</v>
      </c>
      <c r="W155">
        <v>8.7932092536686421E-2</v>
      </c>
      <c r="X155">
        <v>7.3109254080502145E-2</v>
      </c>
      <c r="Y155">
        <v>0.83758406630590909</v>
      </c>
      <c r="Z155">
        <v>8.7343584047413089E-2</v>
      </c>
      <c r="AA155">
        <v>7.5072349646677763E-2</v>
      </c>
      <c r="AB155">
        <v>0.83497514517061378</v>
      </c>
      <c r="AC155">
        <v>8.8954519466584392E-2</v>
      </c>
      <c r="AD155">
        <v>7.6070335362801833E-2</v>
      </c>
      <c r="AE155" t="s">
        <v>144</v>
      </c>
      <c r="AF155" t="s">
        <v>141</v>
      </c>
      <c r="AG155">
        <v>1080</v>
      </c>
      <c r="AH155">
        <v>34</v>
      </c>
      <c r="AI155">
        <v>20</v>
      </c>
      <c r="AJ155">
        <v>21</v>
      </c>
      <c r="AK155">
        <v>26.1</v>
      </c>
      <c r="AL155">
        <v>18</v>
      </c>
      <c r="AM155">
        <v>8949</v>
      </c>
      <c r="AN155">
        <v>85</v>
      </c>
      <c r="AO155">
        <v>87</v>
      </c>
      <c r="AP155">
        <v>85</v>
      </c>
      <c r="AQ155">
        <v>5</v>
      </c>
      <c r="AR155" t="s">
        <v>28</v>
      </c>
      <c r="AS155" t="s">
        <v>154</v>
      </c>
      <c r="AT155" t="s">
        <v>141</v>
      </c>
      <c r="AU155">
        <v>61.55</v>
      </c>
      <c r="AV155">
        <v>28</v>
      </c>
      <c r="AW155">
        <v>5</v>
      </c>
      <c r="AX155">
        <v>3</v>
      </c>
      <c r="AY155">
        <v>27.8</v>
      </c>
      <c r="AZ155">
        <v>139</v>
      </c>
      <c r="BA155">
        <v>4059</v>
      </c>
      <c r="BB155">
        <v>76</v>
      </c>
      <c r="BC155">
        <v>76</v>
      </c>
      <c r="BD155">
        <v>73</v>
      </c>
      <c r="BE155">
        <v>4</v>
      </c>
      <c r="BF155" t="s">
        <v>43</v>
      </c>
      <c r="BG155">
        <v>93</v>
      </c>
      <c r="BH155">
        <v>150</v>
      </c>
      <c r="BI155">
        <v>0.61499999999999999</v>
      </c>
      <c r="BJ155" t="s">
        <v>270</v>
      </c>
      <c r="BK155">
        <v>0.62749999999999995</v>
      </c>
      <c r="BL155">
        <v>0.24390000000000001</v>
      </c>
      <c r="BM155">
        <v>1.94</v>
      </c>
      <c r="BN155">
        <v>0.9</v>
      </c>
    </row>
    <row r="156" spans="1:66" x14ac:dyDescent="0.25">
      <c r="A156">
        <v>3</v>
      </c>
      <c r="B156" s="4">
        <v>-1</v>
      </c>
      <c r="D156">
        <v>2.375</v>
      </c>
      <c r="E156">
        <v>2.9624999999999999</v>
      </c>
      <c r="F156">
        <v>2.8925000000000001</v>
      </c>
      <c r="J156">
        <v>2.2999999999999998</v>
      </c>
      <c r="K156">
        <v>3</v>
      </c>
      <c r="L156">
        <v>2.95</v>
      </c>
      <c r="M156">
        <v>2.38</v>
      </c>
      <c r="N156">
        <v>2.75</v>
      </c>
      <c r="O156">
        <v>2.75</v>
      </c>
      <c r="P156">
        <v>2.52</v>
      </c>
      <c r="Q156">
        <v>3.1</v>
      </c>
      <c r="R156">
        <v>2.92</v>
      </c>
      <c r="S156">
        <v>0.4020337561589265</v>
      </c>
      <c r="T156">
        <v>0.28451619666631717</v>
      </c>
      <c r="U156">
        <v>0.31345004717475622</v>
      </c>
      <c r="V156">
        <v>0.37136052601518771</v>
      </c>
      <c r="W156">
        <v>0.30724381874257706</v>
      </c>
      <c r="X156">
        <v>0.32139565524223518</v>
      </c>
      <c r="Y156">
        <v>0.38548199293199603</v>
      </c>
      <c r="Z156">
        <v>0.28184176659244586</v>
      </c>
      <c r="AA156">
        <v>0.33267624047555822</v>
      </c>
      <c r="AB156">
        <v>0.39022750781625914</v>
      </c>
      <c r="AC156">
        <v>0.28952949466691436</v>
      </c>
      <c r="AD156">
        <v>0.32024299751682644</v>
      </c>
      <c r="AE156" t="s">
        <v>123</v>
      </c>
      <c r="AF156" t="s">
        <v>108</v>
      </c>
      <c r="AG156">
        <v>23.65</v>
      </c>
      <c r="AH156">
        <v>37</v>
      </c>
      <c r="AI156">
        <v>6</v>
      </c>
      <c r="AJ156">
        <v>2</v>
      </c>
      <c r="AK156">
        <v>25</v>
      </c>
      <c r="AL156">
        <v>155</v>
      </c>
      <c r="AM156">
        <v>3912</v>
      </c>
      <c r="AN156">
        <v>73</v>
      </c>
      <c r="AO156">
        <v>72</v>
      </c>
      <c r="AP156">
        <v>71</v>
      </c>
      <c r="AQ156">
        <v>3.5</v>
      </c>
      <c r="AR156" t="s">
        <v>29</v>
      </c>
      <c r="AS156" t="s">
        <v>117</v>
      </c>
      <c r="AT156" t="s">
        <v>108</v>
      </c>
      <c r="AU156">
        <v>24.2</v>
      </c>
      <c r="AV156">
        <v>32</v>
      </c>
      <c r="AW156">
        <v>0</v>
      </c>
      <c r="AX156">
        <v>0</v>
      </c>
      <c r="AY156">
        <v>26.9</v>
      </c>
      <c r="AZ156">
        <v>84</v>
      </c>
      <c r="BA156">
        <v>5249</v>
      </c>
      <c r="BB156">
        <v>70</v>
      </c>
      <c r="BC156">
        <v>72</v>
      </c>
      <c r="BD156">
        <v>71</v>
      </c>
      <c r="BE156">
        <v>3.5</v>
      </c>
      <c r="BF156" t="s">
        <v>28</v>
      </c>
      <c r="BG156">
        <v>-3</v>
      </c>
      <c r="BH156">
        <v>-4</v>
      </c>
      <c r="BI156">
        <v>0.27800000000000002</v>
      </c>
      <c r="BJ156" t="s">
        <v>236</v>
      </c>
      <c r="BK156">
        <v>0.22409999999999999</v>
      </c>
      <c r="BL156">
        <v>0.40279999999999999</v>
      </c>
      <c r="BM156">
        <v>0.91</v>
      </c>
      <c r="BN156">
        <v>1.33</v>
      </c>
    </row>
    <row r="157" spans="1:66" x14ac:dyDescent="0.25">
      <c r="A157">
        <v>3</v>
      </c>
      <c r="B157" s="4">
        <v>-1</v>
      </c>
      <c r="D157">
        <v>2.1475</v>
      </c>
      <c r="E157">
        <v>3.3375000000000004</v>
      </c>
      <c r="F157">
        <v>3.2750000000000004</v>
      </c>
      <c r="J157">
        <v>2.15</v>
      </c>
      <c r="K157">
        <v>3.4</v>
      </c>
      <c r="L157">
        <v>3.3</v>
      </c>
      <c r="M157">
        <v>2.13</v>
      </c>
      <c r="N157">
        <v>3.1</v>
      </c>
      <c r="O157">
        <v>3.15</v>
      </c>
      <c r="P157">
        <v>2.16</v>
      </c>
      <c r="Q157">
        <v>3.45</v>
      </c>
      <c r="R157">
        <v>3.35</v>
      </c>
      <c r="S157">
        <v>0.45249755142017628</v>
      </c>
      <c r="T157">
        <v>0.25269343780607245</v>
      </c>
      <c r="U157">
        <v>0.29480901077375116</v>
      </c>
      <c r="V157">
        <v>0.43404815177269834</v>
      </c>
      <c r="W157">
        <v>0.27245262179052476</v>
      </c>
      <c r="X157">
        <v>0.29349922643677695</v>
      </c>
      <c r="Y157">
        <v>0.45589995978387005</v>
      </c>
      <c r="Z157">
        <v>0.25014663331070935</v>
      </c>
      <c r="AA157">
        <v>0.29395340690542071</v>
      </c>
      <c r="AB157">
        <v>0.44873580359923027</v>
      </c>
      <c r="AC157">
        <v>0.25699653267834477</v>
      </c>
      <c r="AD157">
        <v>0.29426766372242497</v>
      </c>
      <c r="AE157" t="s">
        <v>237</v>
      </c>
      <c r="AF157" t="s">
        <v>238</v>
      </c>
      <c r="AG157">
        <v>18.579999999999998</v>
      </c>
      <c r="AH157">
        <v>32</v>
      </c>
      <c r="AI157">
        <v>7</v>
      </c>
      <c r="AJ157">
        <v>3</v>
      </c>
      <c r="AK157">
        <v>29.5</v>
      </c>
      <c r="AL157">
        <v>109</v>
      </c>
      <c r="AM157">
        <v>4640</v>
      </c>
      <c r="AN157">
        <v>74</v>
      </c>
      <c r="AO157">
        <v>72</v>
      </c>
      <c r="AP157">
        <v>71</v>
      </c>
      <c r="AQ157">
        <v>3.5</v>
      </c>
      <c r="AR157" t="s">
        <v>29</v>
      </c>
      <c r="AS157" t="s">
        <v>114</v>
      </c>
      <c r="AT157" t="s">
        <v>108</v>
      </c>
      <c r="AU157">
        <v>41.98</v>
      </c>
      <c r="AV157">
        <v>33</v>
      </c>
      <c r="AW157">
        <v>5</v>
      </c>
      <c r="AX157">
        <v>1</v>
      </c>
      <c r="AY157">
        <v>25.2</v>
      </c>
      <c r="AZ157">
        <v>40</v>
      </c>
      <c r="BA157">
        <v>7098</v>
      </c>
      <c r="BB157">
        <v>74</v>
      </c>
      <c r="BC157">
        <v>73</v>
      </c>
      <c r="BD157">
        <v>73</v>
      </c>
      <c r="BE157">
        <v>3.5</v>
      </c>
      <c r="BF157" t="s">
        <v>29</v>
      </c>
      <c r="BG157">
        <v>0</v>
      </c>
      <c r="BH157">
        <v>1</v>
      </c>
      <c r="BI157">
        <v>0</v>
      </c>
      <c r="BJ157" t="s">
        <v>271</v>
      </c>
      <c r="BK157">
        <v>0.47620000000000001</v>
      </c>
      <c r="BL157">
        <v>0.39389999999999997</v>
      </c>
      <c r="BM157">
        <v>1.17</v>
      </c>
      <c r="BN157">
        <v>1.3</v>
      </c>
    </row>
    <row r="158" spans="1:66" x14ac:dyDescent="0.25">
      <c r="A158">
        <v>3</v>
      </c>
      <c r="B158" s="4">
        <v>-2</v>
      </c>
      <c r="D158">
        <v>2.7575000000000003</v>
      </c>
      <c r="E158">
        <v>3.45</v>
      </c>
      <c r="F158">
        <v>2.4850000000000003</v>
      </c>
      <c r="J158">
        <v>2.75</v>
      </c>
      <c r="K158">
        <v>3.45</v>
      </c>
      <c r="L158">
        <v>2.48</v>
      </c>
      <c r="M158">
        <v>2.8</v>
      </c>
      <c r="N158">
        <v>3.4</v>
      </c>
      <c r="O158">
        <v>2.5</v>
      </c>
      <c r="P158">
        <v>2.78</v>
      </c>
      <c r="Q158">
        <v>3.5</v>
      </c>
      <c r="R158">
        <v>2.48</v>
      </c>
      <c r="S158">
        <v>0.3540580397439882</v>
      </c>
      <c r="T158">
        <v>0.25333727908828296</v>
      </c>
      <c r="U158">
        <v>0.3926046811677289</v>
      </c>
      <c r="V158">
        <v>0.35003684598378776</v>
      </c>
      <c r="W158">
        <v>0.25792188651436992</v>
      </c>
      <c r="X158">
        <v>0.39204126750184226</v>
      </c>
      <c r="Y158">
        <v>0.35333798557804136</v>
      </c>
      <c r="Z158">
        <v>0.25058153058850896</v>
      </c>
      <c r="AA158">
        <v>0.39608048383344957</v>
      </c>
      <c r="AB158">
        <v>0.35382655647271399</v>
      </c>
      <c r="AC158">
        <v>0.25358678929471579</v>
      </c>
      <c r="AD158">
        <v>0.39258665423257011</v>
      </c>
      <c r="AE158" t="s">
        <v>106</v>
      </c>
      <c r="AF158" t="s">
        <v>85</v>
      </c>
      <c r="AG158">
        <v>4.55</v>
      </c>
      <c r="AH158">
        <v>22</v>
      </c>
      <c r="AI158">
        <v>0</v>
      </c>
      <c r="AJ158">
        <v>0</v>
      </c>
      <c r="AK158">
        <v>29.5</v>
      </c>
      <c r="AL158">
        <v>751</v>
      </c>
      <c r="AM158">
        <v>501</v>
      </c>
      <c r="AN158">
        <v>64</v>
      </c>
      <c r="AO158">
        <v>60</v>
      </c>
      <c r="AP158">
        <v>64</v>
      </c>
      <c r="AQ158">
        <v>2</v>
      </c>
      <c r="AR158" t="s">
        <v>46</v>
      </c>
      <c r="AS158" t="s">
        <v>240</v>
      </c>
      <c r="AT158" t="s">
        <v>238</v>
      </c>
      <c r="AU158">
        <v>18.55</v>
      </c>
      <c r="AV158">
        <v>30</v>
      </c>
      <c r="AW158">
        <v>9</v>
      </c>
      <c r="AX158">
        <v>1</v>
      </c>
      <c r="AY158">
        <v>25.7</v>
      </c>
      <c r="AZ158">
        <v>199</v>
      </c>
      <c r="BA158">
        <v>3306</v>
      </c>
      <c r="BB158">
        <v>69</v>
      </c>
      <c r="BC158">
        <v>67</v>
      </c>
      <c r="BD158">
        <v>64</v>
      </c>
      <c r="BE158">
        <v>2.5</v>
      </c>
      <c r="BF158" t="s">
        <v>46</v>
      </c>
      <c r="BG158">
        <v>-3</v>
      </c>
      <c r="BH158">
        <v>-3</v>
      </c>
      <c r="BI158">
        <v>0</v>
      </c>
      <c r="BJ158" t="s">
        <v>271</v>
      </c>
      <c r="BK158">
        <v>0.28570000000000001</v>
      </c>
      <c r="BL158">
        <v>0.54</v>
      </c>
      <c r="BM158">
        <v>1</v>
      </c>
      <c r="BN158">
        <v>1.4</v>
      </c>
    </row>
    <row r="159" spans="1:66" x14ac:dyDescent="0.25">
      <c r="A159">
        <v>2</v>
      </c>
      <c r="B159" s="4">
        <v>0</v>
      </c>
      <c r="D159">
        <v>1.9125000000000001</v>
      </c>
      <c r="E159">
        <v>3.9749999999999996</v>
      </c>
      <c r="F159">
        <v>3.5625</v>
      </c>
      <c r="J159">
        <v>1.91</v>
      </c>
      <c r="K159">
        <v>4.05</v>
      </c>
      <c r="L159">
        <v>3.55</v>
      </c>
      <c r="M159">
        <v>1.93</v>
      </c>
      <c r="N159">
        <v>4</v>
      </c>
      <c r="O159">
        <v>3.65</v>
      </c>
      <c r="P159">
        <v>1.9</v>
      </c>
      <c r="Q159">
        <v>3.8</v>
      </c>
      <c r="R159">
        <v>3.5</v>
      </c>
      <c r="S159">
        <v>0.51475038170049492</v>
      </c>
      <c r="T159">
        <v>0.20829941293388668</v>
      </c>
      <c r="U159">
        <v>0.27695020536561837</v>
      </c>
      <c r="V159">
        <v>0.51546691621556284</v>
      </c>
      <c r="W159">
        <v>0.21197112534716683</v>
      </c>
      <c r="X159">
        <v>0.27256195843727021</v>
      </c>
      <c r="Y159">
        <v>0.50556841989193957</v>
      </c>
      <c r="Z159">
        <v>0.21998015216672179</v>
      </c>
      <c r="AA159">
        <v>0.27445142794133859</v>
      </c>
      <c r="AB159">
        <v>0.51263402487712306</v>
      </c>
      <c r="AC159">
        <v>0.21213752584541548</v>
      </c>
      <c r="AD159">
        <v>0.27522844927746137</v>
      </c>
      <c r="AE159" t="s">
        <v>252</v>
      </c>
      <c r="AF159" t="s">
        <v>253</v>
      </c>
      <c r="AG159">
        <v>1020</v>
      </c>
      <c r="AH159">
        <v>31</v>
      </c>
      <c r="AI159">
        <v>23</v>
      </c>
      <c r="AJ159">
        <v>20</v>
      </c>
      <c r="AK159">
        <v>25.8</v>
      </c>
      <c r="AL159">
        <v>1</v>
      </c>
      <c r="AM159">
        <v>14695</v>
      </c>
      <c r="AN159">
        <v>87</v>
      </c>
      <c r="AO159">
        <v>83</v>
      </c>
      <c r="AP159">
        <v>85</v>
      </c>
      <c r="AQ159">
        <v>5</v>
      </c>
      <c r="AR159" t="s">
        <v>29</v>
      </c>
      <c r="AS159" t="s">
        <v>256</v>
      </c>
      <c r="AT159" t="s">
        <v>253</v>
      </c>
      <c r="AU159">
        <v>599.35</v>
      </c>
      <c r="AV159">
        <v>30</v>
      </c>
      <c r="AW159">
        <v>22</v>
      </c>
      <c r="AX159">
        <v>13</v>
      </c>
      <c r="AY159">
        <v>26</v>
      </c>
      <c r="AZ159">
        <v>25</v>
      </c>
      <c r="BA159">
        <v>7938</v>
      </c>
      <c r="BB159">
        <v>84</v>
      </c>
      <c r="BC159">
        <v>82</v>
      </c>
      <c r="BD159">
        <v>78</v>
      </c>
      <c r="BE159">
        <v>4.5</v>
      </c>
      <c r="BF159" t="s">
        <v>29</v>
      </c>
      <c r="BG159">
        <v>35</v>
      </c>
      <c r="BH159">
        <v>77</v>
      </c>
      <c r="BI159">
        <v>0.39600000000000002</v>
      </c>
      <c r="BJ159" t="s">
        <v>267</v>
      </c>
      <c r="BK159">
        <v>0.70909999999999995</v>
      </c>
      <c r="BL159">
        <v>0.48209999999999997</v>
      </c>
      <c r="BM159">
        <v>2.0699999999999998</v>
      </c>
      <c r="BN159">
        <v>1.59</v>
      </c>
    </row>
    <row r="160" spans="1:66" x14ac:dyDescent="0.25">
      <c r="A160">
        <v>1</v>
      </c>
      <c r="B160" s="4">
        <v>1</v>
      </c>
      <c r="D160">
        <v>1.4524999999999999</v>
      </c>
      <c r="E160">
        <v>4.6124999999999998</v>
      </c>
      <c r="F160">
        <v>7.35</v>
      </c>
      <c r="J160">
        <v>1.43</v>
      </c>
      <c r="K160">
        <v>4.5999999999999996</v>
      </c>
      <c r="L160">
        <v>8</v>
      </c>
      <c r="M160">
        <v>1.48</v>
      </c>
      <c r="N160">
        <v>4.7</v>
      </c>
      <c r="O160">
        <v>6.6</v>
      </c>
      <c r="P160">
        <v>1.47</v>
      </c>
      <c r="Q160">
        <v>4.55</v>
      </c>
      <c r="R160">
        <v>6.8</v>
      </c>
      <c r="S160">
        <v>0.71954445368109543</v>
      </c>
      <c r="T160">
        <v>0.15183697522340872</v>
      </c>
      <c r="U160">
        <v>0.12861857109549579</v>
      </c>
      <c r="V160">
        <v>0.68806806444949387</v>
      </c>
      <c r="W160">
        <v>0.15763788473455895</v>
      </c>
      <c r="X160">
        <v>0.15429405081594713</v>
      </c>
      <c r="Y160">
        <v>0.69029843757608911</v>
      </c>
      <c r="Z160">
        <v>0.16047528253613877</v>
      </c>
      <c r="AA160">
        <v>0.14922627988777218</v>
      </c>
      <c r="AB160">
        <v>0.70436385234694343</v>
      </c>
      <c r="AC160">
        <v>0.15544677942937879</v>
      </c>
      <c r="AD160">
        <v>0.14018936822367772</v>
      </c>
      <c r="AE160" t="s">
        <v>146</v>
      </c>
      <c r="AF160" t="s">
        <v>141</v>
      </c>
      <c r="AG160">
        <v>318</v>
      </c>
      <c r="AH160">
        <v>29</v>
      </c>
      <c r="AI160">
        <v>13</v>
      </c>
      <c r="AJ160">
        <v>7</v>
      </c>
      <c r="AK160">
        <v>27.2</v>
      </c>
      <c r="AL160">
        <v>31</v>
      </c>
      <c r="AM160">
        <v>7447</v>
      </c>
      <c r="AN160">
        <v>79</v>
      </c>
      <c r="AO160">
        <v>81</v>
      </c>
      <c r="AP160">
        <v>80</v>
      </c>
      <c r="AQ160">
        <v>4.5</v>
      </c>
      <c r="AR160" t="s">
        <v>29</v>
      </c>
      <c r="AS160" t="s">
        <v>151</v>
      </c>
      <c r="AT160" t="s">
        <v>141</v>
      </c>
      <c r="AU160">
        <v>106.95</v>
      </c>
      <c r="AV160">
        <v>31</v>
      </c>
      <c r="AW160">
        <v>8</v>
      </c>
      <c r="AX160">
        <v>3</v>
      </c>
      <c r="AY160">
        <v>27.6</v>
      </c>
      <c r="AZ160">
        <v>116</v>
      </c>
      <c r="BA160">
        <v>4556</v>
      </c>
      <c r="BB160">
        <v>77</v>
      </c>
      <c r="BC160">
        <v>77</v>
      </c>
      <c r="BD160">
        <v>76</v>
      </c>
      <c r="BE160">
        <v>4</v>
      </c>
      <c r="BF160" t="s">
        <v>29</v>
      </c>
      <c r="BG160">
        <v>31</v>
      </c>
      <c r="BH160">
        <v>39</v>
      </c>
      <c r="BI160">
        <v>0.51500000000000001</v>
      </c>
      <c r="BJ160" t="s">
        <v>270</v>
      </c>
      <c r="BK160">
        <v>0.57410000000000005</v>
      </c>
      <c r="BL160">
        <v>0.3659</v>
      </c>
      <c r="BM160">
        <v>1.61</v>
      </c>
      <c r="BN160">
        <v>1.32</v>
      </c>
    </row>
    <row r="161" spans="1:66" x14ac:dyDescent="0.25">
      <c r="A161">
        <v>3</v>
      </c>
      <c r="B161" s="4">
        <v>-3</v>
      </c>
      <c r="D161">
        <v>5.875</v>
      </c>
      <c r="E161">
        <v>4.5625</v>
      </c>
      <c r="F161">
        <v>1.5225</v>
      </c>
      <c r="J161">
        <v>6</v>
      </c>
      <c r="K161">
        <v>4.5999999999999996</v>
      </c>
      <c r="L161">
        <v>1.5</v>
      </c>
      <c r="M161">
        <v>5.8</v>
      </c>
      <c r="N161">
        <v>4.5</v>
      </c>
      <c r="O161">
        <v>1.55</v>
      </c>
      <c r="P161">
        <v>5.7</v>
      </c>
      <c r="Q161">
        <v>4.55</v>
      </c>
      <c r="R161">
        <v>1.54</v>
      </c>
      <c r="S161">
        <v>0.16727272727272727</v>
      </c>
      <c r="T161">
        <v>0.16363636363636364</v>
      </c>
      <c r="U161">
        <v>0.66909090909090907</v>
      </c>
      <c r="V161">
        <v>0.1749253165157191</v>
      </c>
      <c r="W161">
        <v>0.17051543458675134</v>
      </c>
      <c r="X161">
        <v>0.65455924889752948</v>
      </c>
      <c r="Y161">
        <v>0.17685104813992611</v>
      </c>
      <c r="Z161">
        <v>0.16857039705645133</v>
      </c>
      <c r="AA161">
        <v>0.65457855480362259</v>
      </c>
      <c r="AB161">
        <v>0.17158045480027492</v>
      </c>
      <c r="AC161">
        <v>0.1665896397289825</v>
      </c>
      <c r="AD161">
        <v>0.6618299054707425</v>
      </c>
      <c r="AE161" t="s">
        <v>153</v>
      </c>
      <c r="AF161" t="s">
        <v>141</v>
      </c>
      <c r="AG161">
        <v>128.25</v>
      </c>
      <c r="AH161">
        <v>26</v>
      </c>
      <c r="AI161">
        <v>8</v>
      </c>
      <c r="AJ161">
        <v>4</v>
      </c>
      <c r="AK161">
        <v>26.4</v>
      </c>
      <c r="AL161">
        <v>138</v>
      </c>
      <c r="AM161">
        <v>4059</v>
      </c>
      <c r="AN161">
        <v>80</v>
      </c>
      <c r="AO161">
        <v>77</v>
      </c>
      <c r="AP161">
        <v>76</v>
      </c>
      <c r="AQ161">
        <v>4</v>
      </c>
      <c r="AR161" t="s">
        <v>29</v>
      </c>
      <c r="AS161" t="s">
        <v>137</v>
      </c>
      <c r="AT161" t="s">
        <v>141</v>
      </c>
      <c r="AU161">
        <v>992.2</v>
      </c>
      <c r="AV161">
        <v>32</v>
      </c>
      <c r="AW161">
        <v>20</v>
      </c>
      <c r="AX161">
        <v>17</v>
      </c>
      <c r="AY161">
        <v>25.9</v>
      </c>
      <c r="AZ161">
        <v>3</v>
      </c>
      <c r="BA161">
        <v>13105</v>
      </c>
      <c r="BB161">
        <v>88</v>
      </c>
      <c r="BC161">
        <v>85</v>
      </c>
      <c r="BD161">
        <v>85</v>
      </c>
      <c r="BE161">
        <v>5</v>
      </c>
      <c r="BF161" t="s">
        <v>28</v>
      </c>
      <c r="BG161">
        <v>-117</v>
      </c>
      <c r="BH161">
        <v>-92</v>
      </c>
      <c r="BI161">
        <v>0.20200000000000001</v>
      </c>
      <c r="BJ161" t="s">
        <v>270</v>
      </c>
      <c r="BK161">
        <v>0.2195</v>
      </c>
      <c r="BL161">
        <v>0.62749999999999995</v>
      </c>
      <c r="BM161">
        <v>1.07</v>
      </c>
      <c r="BN161">
        <v>2.16</v>
      </c>
    </row>
    <row r="162" spans="1:66" x14ac:dyDescent="0.25">
      <c r="A162">
        <v>2</v>
      </c>
      <c r="B162" s="4">
        <v>0</v>
      </c>
      <c r="D162">
        <v>2.9000000000000004</v>
      </c>
      <c r="E162">
        <v>2.88</v>
      </c>
      <c r="F162">
        <v>2.7175000000000002</v>
      </c>
      <c r="J162">
        <v>2.95</v>
      </c>
      <c r="K162">
        <v>2.85</v>
      </c>
      <c r="L162">
        <v>2.7</v>
      </c>
      <c r="M162">
        <v>2.85</v>
      </c>
      <c r="N162">
        <v>2.9</v>
      </c>
      <c r="O162">
        <v>2.75</v>
      </c>
      <c r="P162">
        <v>2.85</v>
      </c>
      <c r="Q162">
        <v>2.92</v>
      </c>
      <c r="R162">
        <v>2.72</v>
      </c>
      <c r="S162">
        <v>0.33120323689027331</v>
      </c>
      <c r="T162">
        <v>0.30692655984072448</v>
      </c>
      <c r="U162">
        <v>0.36187020326900232</v>
      </c>
      <c r="V162">
        <v>0.34272315549417015</v>
      </c>
      <c r="W162">
        <v>0.30209102881187166</v>
      </c>
      <c r="X162">
        <v>0.35518581569395818</v>
      </c>
      <c r="Y162">
        <v>0.34191339998839665</v>
      </c>
      <c r="Z162">
        <v>0.29983175075905549</v>
      </c>
      <c r="AA162">
        <v>0.35825484925254791</v>
      </c>
      <c r="AB162">
        <v>0.33676075731577837</v>
      </c>
      <c r="AC162">
        <v>0.30394397481309404</v>
      </c>
      <c r="AD162">
        <v>0.35929526787112764</v>
      </c>
      <c r="AE162" t="s">
        <v>74</v>
      </c>
      <c r="AF162" t="s">
        <v>63</v>
      </c>
      <c r="AG162">
        <v>7.13</v>
      </c>
      <c r="AH162">
        <v>26</v>
      </c>
      <c r="AI162">
        <v>4</v>
      </c>
      <c r="AJ162">
        <v>1</v>
      </c>
      <c r="AK162">
        <v>26.3</v>
      </c>
      <c r="AL162">
        <v>254</v>
      </c>
      <c r="AM162">
        <v>2813</v>
      </c>
      <c r="AN162">
        <v>67</v>
      </c>
      <c r="AO162">
        <v>64</v>
      </c>
      <c r="AP162">
        <v>65</v>
      </c>
      <c r="AQ162">
        <v>2</v>
      </c>
      <c r="AR162" t="s">
        <v>46</v>
      </c>
      <c r="AS162" t="s">
        <v>73</v>
      </c>
      <c r="AT162" t="s">
        <v>63</v>
      </c>
      <c r="AU162">
        <v>10.88</v>
      </c>
      <c r="AV162">
        <v>26</v>
      </c>
      <c r="AW162">
        <v>4</v>
      </c>
      <c r="AX162">
        <v>2</v>
      </c>
      <c r="AY162">
        <v>26.5</v>
      </c>
      <c r="AZ162">
        <v>237</v>
      </c>
      <c r="BA162">
        <v>2952</v>
      </c>
      <c r="BB162">
        <v>69</v>
      </c>
      <c r="BC162">
        <v>68</v>
      </c>
      <c r="BD162">
        <v>68</v>
      </c>
      <c r="BE162">
        <v>2.5</v>
      </c>
      <c r="BF162" t="s">
        <v>29</v>
      </c>
      <c r="BG162">
        <v>-4</v>
      </c>
      <c r="BH162">
        <v>-2</v>
      </c>
      <c r="BI162">
        <v>0.188</v>
      </c>
      <c r="BJ162" t="s">
        <v>63</v>
      </c>
      <c r="BK162">
        <v>0.25</v>
      </c>
      <c r="BL162">
        <v>0.31819999999999998</v>
      </c>
      <c r="BM162">
        <v>1.17</v>
      </c>
      <c r="BN162">
        <v>1.23</v>
      </c>
    </row>
    <row r="163" spans="1:66" x14ac:dyDescent="0.25">
      <c r="A163">
        <v>2</v>
      </c>
      <c r="B163" s="4">
        <v>0</v>
      </c>
      <c r="D163">
        <v>1.6125</v>
      </c>
      <c r="E163">
        <v>3.7</v>
      </c>
      <c r="F163">
        <v>5.95</v>
      </c>
      <c r="J163">
        <v>1.62</v>
      </c>
      <c r="K163">
        <v>3.7</v>
      </c>
      <c r="L163">
        <v>6</v>
      </c>
      <c r="M163">
        <v>1.61</v>
      </c>
      <c r="N163">
        <v>3.7</v>
      </c>
      <c r="O163">
        <v>6</v>
      </c>
      <c r="P163">
        <v>1.6</v>
      </c>
      <c r="Q163">
        <v>3.7</v>
      </c>
      <c r="R163">
        <v>5.8</v>
      </c>
      <c r="S163">
        <v>0.62666957880411955</v>
      </c>
      <c r="T163">
        <v>0.20412963491876815</v>
      </c>
      <c r="U163">
        <v>0.16920078627711227</v>
      </c>
      <c r="V163">
        <v>0.62803143105659653</v>
      </c>
      <c r="W163">
        <v>0.20344680160988338</v>
      </c>
      <c r="X163">
        <v>0.16852176733352009</v>
      </c>
      <c r="Y163">
        <v>0.62406675450153715</v>
      </c>
      <c r="Z163">
        <v>0.20377689942907334</v>
      </c>
      <c r="AA163">
        <v>0.17215634606938957</v>
      </c>
      <c r="AB163">
        <v>0.6263593357915932</v>
      </c>
      <c r="AC163">
        <v>0.20387074271912325</v>
      </c>
      <c r="AD163">
        <v>0.16976992148928355</v>
      </c>
      <c r="AE163" t="s">
        <v>70</v>
      </c>
      <c r="AF163" t="s">
        <v>63</v>
      </c>
      <c r="AG163">
        <v>16.05</v>
      </c>
      <c r="AH163">
        <v>30</v>
      </c>
      <c r="AI163">
        <v>3</v>
      </c>
      <c r="AJ163">
        <v>0</v>
      </c>
      <c r="AK163">
        <v>26.3</v>
      </c>
      <c r="AL163">
        <v>200</v>
      </c>
      <c r="AM163">
        <v>3276</v>
      </c>
      <c r="AN163">
        <v>69</v>
      </c>
      <c r="AO163">
        <v>69</v>
      </c>
      <c r="AP163">
        <v>64</v>
      </c>
      <c r="AQ163">
        <v>3</v>
      </c>
      <c r="AR163" t="s">
        <v>29</v>
      </c>
      <c r="AS163" t="s">
        <v>76</v>
      </c>
      <c r="AT163" t="s">
        <v>63</v>
      </c>
      <c r="AU163">
        <v>9.58</v>
      </c>
      <c r="AV163">
        <v>23</v>
      </c>
      <c r="AW163">
        <v>3</v>
      </c>
      <c r="AX163">
        <v>1</v>
      </c>
      <c r="AY163">
        <v>26.6</v>
      </c>
      <c r="AZ163">
        <v>349</v>
      </c>
      <c r="BA163">
        <v>2119</v>
      </c>
      <c r="BB163">
        <v>59</v>
      </c>
      <c r="BC163">
        <v>64</v>
      </c>
      <c r="BD163">
        <v>65</v>
      </c>
      <c r="BE163">
        <v>2</v>
      </c>
      <c r="BF163" t="s">
        <v>29</v>
      </c>
      <c r="BG163">
        <v>18</v>
      </c>
      <c r="BH163">
        <v>20</v>
      </c>
      <c r="BI163">
        <v>0.66700000000000004</v>
      </c>
      <c r="BJ163" t="s">
        <v>63</v>
      </c>
      <c r="BK163">
        <v>0.36</v>
      </c>
      <c r="BL163">
        <v>0.2727</v>
      </c>
      <c r="BM163">
        <v>1.44</v>
      </c>
      <c r="BN163">
        <v>0.82</v>
      </c>
    </row>
    <row r="164" spans="1:66" x14ac:dyDescent="0.25">
      <c r="A164">
        <v>1</v>
      </c>
      <c r="B164" s="4">
        <v>3</v>
      </c>
      <c r="D164">
        <v>2.0724999999999998</v>
      </c>
      <c r="E164">
        <v>3.5874999999999999</v>
      </c>
      <c r="F164">
        <v>3.4750000000000001</v>
      </c>
      <c r="J164">
        <v>2.0499999999999998</v>
      </c>
      <c r="K164">
        <v>3.6</v>
      </c>
      <c r="L164">
        <v>3.5</v>
      </c>
      <c r="M164">
        <v>2.09</v>
      </c>
      <c r="N164">
        <v>3.6</v>
      </c>
      <c r="O164">
        <v>3.5</v>
      </c>
      <c r="P164">
        <v>2.1</v>
      </c>
      <c r="Q164">
        <v>3.55</v>
      </c>
      <c r="R164">
        <v>3.4</v>
      </c>
      <c r="S164">
        <v>0.4808408507820906</v>
      </c>
      <c r="T164">
        <v>0.23752379375982785</v>
      </c>
      <c r="U164">
        <v>0.2816353554580816</v>
      </c>
      <c r="V164">
        <v>0.4763845556159762</v>
      </c>
      <c r="W164">
        <v>0.23914580974476948</v>
      </c>
      <c r="X164">
        <v>0.28446963463925434</v>
      </c>
      <c r="Y164">
        <v>0.46859466787166737</v>
      </c>
      <c r="Z164">
        <v>0.24197921373700856</v>
      </c>
      <c r="AA164">
        <v>0.28942611839132398</v>
      </c>
      <c r="AB164">
        <v>0.47666523126295623</v>
      </c>
      <c r="AC164">
        <v>0.23904315275035842</v>
      </c>
      <c r="AD164">
        <v>0.2842916159866854</v>
      </c>
      <c r="AE164" t="s">
        <v>58</v>
      </c>
      <c r="AF164" t="s">
        <v>26</v>
      </c>
      <c r="AG164">
        <v>59.55</v>
      </c>
      <c r="AH164">
        <v>28</v>
      </c>
      <c r="AI164">
        <v>8</v>
      </c>
      <c r="AJ164">
        <v>3</v>
      </c>
      <c r="AK164">
        <v>26.6</v>
      </c>
      <c r="AL164">
        <v>243</v>
      </c>
      <c r="AM164">
        <v>2873</v>
      </c>
      <c r="AN164">
        <v>73</v>
      </c>
      <c r="AO164">
        <v>71</v>
      </c>
      <c r="AP164">
        <v>73</v>
      </c>
      <c r="AQ164">
        <v>3.5</v>
      </c>
      <c r="AR164" t="s">
        <v>46</v>
      </c>
      <c r="AS164" t="s">
        <v>57</v>
      </c>
      <c r="AT164" t="s">
        <v>26</v>
      </c>
      <c r="AU164">
        <v>117.95</v>
      </c>
      <c r="AV164">
        <v>36</v>
      </c>
      <c r="AW164">
        <v>17</v>
      </c>
      <c r="AX164">
        <v>6</v>
      </c>
      <c r="AY164">
        <v>24</v>
      </c>
      <c r="AZ164">
        <v>234</v>
      </c>
      <c r="BA164">
        <v>2973</v>
      </c>
      <c r="BB164">
        <v>75</v>
      </c>
      <c r="BC164">
        <v>73</v>
      </c>
      <c r="BD164">
        <v>75</v>
      </c>
      <c r="BE164">
        <v>4</v>
      </c>
      <c r="BF164" t="s">
        <v>46</v>
      </c>
      <c r="BG164">
        <v>-2</v>
      </c>
      <c r="BH164">
        <v>-4</v>
      </c>
      <c r="BI164">
        <v>0.25</v>
      </c>
      <c r="BJ164" t="s">
        <v>273</v>
      </c>
      <c r="BK164">
        <v>0.3947</v>
      </c>
      <c r="BL164">
        <v>0.31430000000000002</v>
      </c>
      <c r="BM164">
        <v>1.37</v>
      </c>
      <c r="BN164">
        <v>1.26</v>
      </c>
    </row>
    <row r="165" spans="1:66" x14ac:dyDescent="0.25">
      <c r="A165">
        <v>1</v>
      </c>
      <c r="B165" s="4">
        <v>3</v>
      </c>
      <c r="D165">
        <v>1.085</v>
      </c>
      <c r="E165">
        <v>11</v>
      </c>
      <c r="F165">
        <v>22.75</v>
      </c>
      <c r="J165">
        <v>1.08</v>
      </c>
      <c r="K165">
        <v>10</v>
      </c>
      <c r="L165">
        <v>21</v>
      </c>
      <c r="M165">
        <v>1.0900000000000001</v>
      </c>
      <c r="N165">
        <v>12</v>
      </c>
      <c r="O165">
        <v>25</v>
      </c>
      <c r="P165">
        <v>1.0900000000000001</v>
      </c>
      <c r="Q165">
        <v>12</v>
      </c>
      <c r="R165">
        <v>24</v>
      </c>
      <c r="S165">
        <v>0.90025938479055068</v>
      </c>
      <c r="T165">
        <v>5.3441561134506856E-2</v>
      </c>
      <c r="U165">
        <v>4.6299054074942607E-2</v>
      </c>
      <c r="V165">
        <v>0.91515885118167495</v>
      </c>
      <c r="W165">
        <v>4.4940222906803988E-2</v>
      </c>
      <c r="X165">
        <v>3.9900925911521029E-2</v>
      </c>
      <c r="Y165">
        <v>0.91301535826903391</v>
      </c>
      <c r="Z165">
        <v>4.5518527542914175E-2</v>
      </c>
      <c r="AA165">
        <v>4.1466114188051961E-2</v>
      </c>
      <c r="AB165">
        <v>0.90717324475795258</v>
      </c>
      <c r="AC165">
        <v>4.9335468179682963E-2</v>
      </c>
      <c r="AD165">
        <v>4.3491287062364554E-2</v>
      </c>
      <c r="AE165" t="s">
        <v>10</v>
      </c>
      <c r="AF165" t="s">
        <v>23</v>
      </c>
      <c r="AG165">
        <v>801.45</v>
      </c>
      <c r="AH165">
        <v>31</v>
      </c>
      <c r="AI165">
        <v>21</v>
      </c>
      <c r="AJ165">
        <v>13</v>
      </c>
      <c r="AK165">
        <v>25.6</v>
      </c>
      <c r="AL165">
        <v>12</v>
      </c>
      <c r="AM165">
        <v>9495</v>
      </c>
      <c r="AN165">
        <v>88</v>
      </c>
      <c r="AO165">
        <v>84</v>
      </c>
      <c r="AP165">
        <v>83</v>
      </c>
      <c r="AQ165">
        <v>5</v>
      </c>
      <c r="AR165" t="s">
        <v>28</v>
      </c>
      <c r="AS165" t="s">
        <v>41</v>
      </c>
      <c r="AT165" t="s">
        <v>23</v>
      </c>
      <c r="AU165">
        <v>82.35</v>
      </c>
      <c r="AV165">
        <v>31</v>
      </c>
      <c r="AW165">
        <v>16</v>
      </c>
      <c r="AX165">
        <v>8</v>
      </c>
      <c r="AY165">
        <v>26.4</v>
      </c>
      <c r="AZ165">
        <v>266</v>
      </c>
      <c r="BA165">
        <v>2690</v>
      </c>
      <c r="BB165">
        <v>74</v>
      </c>
      <c r="BC165">
        <v>75</v>
      </c>
      <c r="BD165">
        <v>74</v>
      </c>
      <c r="BE165">
        <v>3.5</v>
      </c>
      <c r="BF165" t="s">
        <v>29</v>
      </c>
      <c r="BG165">
        <v>27</v>
      </c>
      <c r="BH165">
        <v>37</v>
      </c>
      <c r="BI165">
        <v>0.73299999999999998</v>
      </c>
      <c r="BJ165" t="s">
        <v>266</v>
      </c>
      <c r="BK165">
        <v>0.81630000000000003</v>
      </c>
      <c r="BL165">
        <v>0.40629999999999999</v>
      </c>
      <c r="BM165">
        <v>2.78</v>
      </c>
      <c r="BN165">
        <v>1.28</v>
      </c>
    </row>
    <row r="166" spans="1:66" x14ac:dyDescent="0.25">
      <c r="A166">
        <v>1</v>
      </c>
      <c r="B166" s="4">
        <v>1</v>
      </c>
      <c r="D166">
        <v>1.4</v>
      </c>
      <c r="E166">
        <v>4.45</v>
      </c>
      <c r="F166">
        <v>8.6750000000000007</v>
      </c>
      <c r="J166">
        <v>1.4</v>
      </c>
      <c r="K166">
        <v>4.4000000000000004</v>
      </c>
      <c r="L166">
        <v>8.5</v>
      </c>
      <c r="M166">
        <v>1.38</v>
      </c>
      <c r="N166">
        <v>4.5</v>
      </c>
      <c r="O166">
        <v>8.8000000000000007</v>
      </c>
      <c r="P166">
        <v>1.38</v>
      </c>
      <c r="Q166">
        <v>4.5</v>
      </c>
      <c r="R166">
        <v>8.9</v>
      </c>
      <c r="S166">
        <v>0.72742832691484816</v>
      </c>
      <c r="T166">
        <v>0.15275994865211806</v>
      </c>
      <c r="U166">
        <v>0.11981172443303381</v>
      </c>
      <c r="V166">
        <v>0.7369133734810962</v>
      </c>
      <c r="W166">
        <v>0.14752521113209563</v>
      </c>
      <c r="X166">
        <v>0.11556141538680825</v>
      </c>
      <c r="Y166">
        <v>0.73839635493108002</v>
      </c>
      <c r="Z166">
        <v>0.14711072711331433</v>
      </c>
      <c r="AA166">
        <v>0.11449291795560565</v>
      </c>
      <c r="AB166">
        <v>0.73119245389218401</v>
      </c>
      <c r="AC166">
        <v>0.15076086299489341</v>
      </c>
      <c r="AD166">
        <v>0.11804668311292266</v>
      </c>
      <c r="AE166" t="s">
        <v>67</v>
      </c>
      <c r="AF166" t="s">
        <v>63</v>
      </c>
      <c r="AG166">
        <v>19.75</v>
      </c>
      <c r="AH166">
        <v>33</v>
      </c>
      <c r="AI166">
        <v>2</v>
      </c>
      <c r="AJ166">
        <v>1</v>
      </c>
      <c r="AK166">
        <v>24.9</v>
      </c>
      <c r="AL166">
        <v>104</v>
      </c>
      <c r="AM166">
        <v>4793</v>
      </c>
      <c r="AN166">
        <v>68</v>
      </c>
      <c r="AO166">
        <v>70</v>
      </c>
      <c r="AP166">
        <v>71</v>
      </c>
      <c r="AQ166">
        <v>3</v>
      </c>
      <c r="AR166" t="s">
        <v>29</v>
      </c>
      <c r="AS166" t="s">
        <v>77</v>
      </c>
      <c r="AT166" t="s">
        <v>63</v>
      </c>
      <c r="AU166">
        <v>8.23</v>
      </c>
      <c r="AV166">
        <v>32</v>
      </c>
      <c r="AW166">
        <v>2</v>
      </c>
      <c r="AX166">
        <v>1</v>
      </c>
      <c r="AY166">
        <v>24.9</v>
      </c>
      <c r="AZ166">
        <v>362</v>
      </c>
      <c r="BA166">
        <v>2071</v>
      </c>
      <c r="BB166">
        <v>65</v>
      </c>
      <c r="BC166">
        <v>66</v>
      </c>
      <c r="BD166">
        <v>61</v>
      </c>
      <c r="BE166">
        <v>2</v>
      </c>
      <c r="BF166" t="s">
        <v>46</v>
      </c>
      <c r="BG166">
        <v>11</v>
      </c>
      <c r="BH166">
        <v>29</v>
      </c>
      <c r="BI166">
        <v>0.56499999999999995</v>
      </c>
      <c r="BJ166" t="s">
        <v>63</v>
      </c>
      <c r="BK166">
        <v>0.42859999999999998</v>
      </c>
      <c r="BL166">
        <v>0.26090000000000002</v>
      </c>
      <c r="BM166">
        <v>1.75</v>
      </c>
      <c r="BN166">
        <v>1.22</v>
      </c>
    </row>
    <row r="167" spans="1:66" x14ac:dyDescent="0.25">
      <c r="A167">
        <v>3</v>
      </c>
      <c r="B167" s="4">
        <v>-1</v>
      </c>
      <c r="D167">
        <v>2.3499999999999996</v>
      </c>
      <c r="E167">
        <v>3.0749999999999997</v>
      </c>
      <c r="F167">
        <v>3.45</v>
      </c>
      <c r="J167">
        <v>2.35</v>
      </c>
      <c r="K167">
        <v>3.1</v>
      </c>
      <c r="L167">
        <v>3.45</v>
      </c>
      <c r="M167">
        <v>2.34</v>
      </c>
      <c r="N167">
        <v>3.05</v>
      </c>
      <c r="O167">
        <v>3.5</v>
      </c>
      <c r="P167">
        <v>2.36</v>
      </c>
      <c r="Q167">
        <v>3.05</v>
      </c>
      <c r="R167">
        <v>3.4</v>
      </c>
      <c r="S167">
        <v>0.42734350128787663</v>
      </c>
      <c r="T167">
        <v>0.28156744711023651</v>
      </c>
      <c r="U167">
        <v>0.29108905160188697</v>
      </c>
      <c r="V167">
        <v>0.42833787719045652</v>
      </c>
      <c r="W167">
        <v>0.28528765634506686</v>
      </c>
      <c r="X167">
        <v>0.28637446646447667</v>
      </c>
      <c r="Y167">
        <v>0.42176619039486912</v>
      </c>
      <c r="Z167">
        <v>0.28547845391928051</v>
      </c>
      <c r="AA167">
        <v>0.29275535568585032</v>
      </c>
      <c r="AB167">
        <v>0.42619776754026972</v>
      </c>
      <c r="AC167">
        <v>0.28347525112120509</v>
      </c>
      <c r="AD167">
        <v>0.29032698133852519</v>
      </c>
      <c r="AE167" t="s">
        <v>154</v>
      </c>
      <c r="AF167" t="s">
        <v>141</v>
      </c>
      <c r="AG167">
        <v>61.55</v>
      </c>
      <c r="AH167">
        <v>28</v>
      </c>
      <c r="AI167">
        <v>5</v>
      </c>
      <c r="AJ167">
        <v>3</v>
      </c>
      <c r="AK167">
        <v>27.8</v>
      </c>
      <c r="AL167">
        <v>139</v>
      </c>
      <c r="AM167">
        <v>4059</v>
      </c>
      <c r="AN167">
        <v>76</v>
      </c>
      <c r="AO167">
        <v>76</v>
      </c>
      <c r="AP167">
        <v>73</v>
      </c>
      <c r="AQ167">
        <v>4</v>
      </c>
      <c r="AR167" t="s">
        <v>43</v>
      </c>
      <c r="AS167" t="s">
        <v>155</v>
      </c>
      <c r="AT167" t="s">
        <v>141</v>
      </c>
      <c r="AU167">
        <v>46.75</v>
      </c>
      <c r="AV167">
        <v>22</v>
      </c>
      <c r="AW167">
        <v>6</v>
      </c>
      <c r="AX167">
        <v>1</v>
      </c>
      <c r="AY167">
        <v>29</v>
      </c>
      <c r="AZ167">
        <v>159</v>
      </c>
      <c r="BA167">
        <v>3861</v>
      </c>
      <c r="BB167">
        <v>77</v>
      </c>
      <c r="BC167">
        <v>78</v>
      </c>
      <c r="BD167">
        <v>75</v>
      </c>
      <c r="BE167">
        <v>4</v>
      </c>
      <c r="BF167" t="s">
        <v>46</v>
      </c>
      <c r="BG167">
        <v>2</v>
      </c>
      <c r="BH167">
        <v>11</v>
      </c>
      <c r="BI167">
        <v>0.54500000000000004</v>
      </c>
      <c r="BJ167" t="s">
        <v>270</v>
      </c>
      <c r="BK167">
        <v>0.24390000000000001</v>
      </c>
      <c r="BL167">
        <v>0.31709999999999999</v>
      </c>
      <c r="BM167">
        <v>0.9</v>
      </c>
      <c r="BN167">
        <v>1.1499999999999999</v>
      </c>
    </row>
    <row r="168" spans="1:66" x14ac:dyDescent="0.25">
      <c r="A168">
        <v>2</v>
      </c>
      <c r="B168" s="4">
        <v>0</v>
      </c>
      <c r="D168">
        <v>1.6575000000000002</v>
      </c>
      <c r="E168">
        <v>3.8499999999999996</v>
      </c>
      <c r="F168">
        <v>5.5750000000000002</v>
      </c>
      <c r="J168">
        <v>1.65</v>
      </c>
      <c r="K168">
        <v>3.85</v>
      </c>
      <c r="L168">
        <v>5.75</v>
      </c>
      <c r="M168">
        <v>1.66</v>
      </c>
      <c r="N168">
        <v>3.9</v>
      </c>
      <c r="O168">
        <v>5.4</v>
      </c>
      <c r="P168">
        <v>1.67</v>
      </c>
      <c r="Q168">
        <v>3.8</v>
      </c>
      <c r="R168">
        <v>5.4</v>
      </c>
      <c r="S168">
        <v>0.62093060187390825</v>
      </c>
      <c r="T168">
        <v>0.20088931237097032</v>
      </c>
      <c r="U168">
        <v>0.17818008575512148</v>
      </c>
      <c r="V168">
        <v>0.61128301931876561</v>
      </c>
      <c r="W168">
        <v>0.20080405252028052</v>
      </c>
      <c r="X168">
        <v>0.18791292816095387</v>
      </c>
      <c r="Y168">
        <v>0.60662666501366402</v>
      </c>
      <c r="Z168">
        <v>0.20576842191729561</v>
      </c>
      <c r="AA168">
        <v>0.18760491306904051</v>
      </c>
      <c r="AB168">
        <v>0.61494272202006151</v>
      </c>
      <c r="AC168">
        <v>0.20208777479487919</v>
      </c>
      <c r="AD168">
        <v>0.18296950318505933</v>
      </c>
      <c r="AE168" t="s">
        <v>143</v>
      </c>
      <c r="AF168" t="s">
        <v>141</v>
      </c>
      <c r="AG168">
        <v>764.3</v>
      </c>
      <c r="AH168">
        <v>31</v>
      </c>
      <c r="AI168">
        <v>17</v>
      </c>
      <c r="AJ168">
        <v>18</v>
      </c>
      <c r="AK168">
        <v>25.2</v>
      </c>
      <c r="AL168">
        <v>13</v>
      </c>
      <c r="AM168">
        <v>9329</v>
      </c>
      <c r="AN168">
        <v>81</v>
      </c>
      <c r="AO168">
        <v>83</v>
      </c>
      <c r="AP168">
        <v>82</v>
      </c>
      <c r="AQ168">
        <v>5</v>
      </c>
      <c r="AR168" t="s">
        <v>29</v>
      </c>
      <c r="AS168" t="s">
        <v>149</v>
      </c>
      <c r="AT168" t="s">
        <v>141</v>
      </c>
      <c r="AU168">
        <v>271.52999999999997</v>
      </c>
      <c r="AV168">
        <v>27</v>
      </c>
      <c r="AW168">
        <v>6</v>
      </c>
      <c r="AX168">
        <v>7</v>
      </c>
      <c r="AY168">
        <v>27.4</v>
      </c>
      <c r="AZ168">
        <v>77</v>
      </c>
      <c r="BA168">
        <v>5396</v>
      </c>
      <c r="BB168">
        <v>80</v>
      </c>
      <c r="BC168">
        <v>79</v>
      </c>
      <c r="BD168">
        <v>78</v>
      </c>
      <c r="BE168">
        <v>4.5</v>
      </c>
      <c r="BF168" t="s">
        <v>29</v>
      </c>
      <c r="BG168">
        <v>-3</v>
      </c>
      <c r="BH168">
        <v>4</v>
      </c>
      <c r="BI168">
        <v>0.34200000000000003</v>
      </c>
      <c r="BJ168" t="s">
        <v>270</v>
      </c>
      <c r="BK168">
        <v>0.48</v>
      </c>
      <c r="BL168">
        <v>0.51160000000000005</v>
      </c>
      <c r="BM168">
        <v>1.36</v>
      </c>
      <c r="BN168">
        <v>1.79</v>
      </c>
    </row>
    <row r="169" spans="1:66" x14ac:dyDescent="0.25">
      <c r="A169">
        <v>1</v>
      </c>
      <c r="B169" s="4">
        <v>3</v>
      </c>
      <c r="D169">
        <v>2.2250000000000001</v>
      </c>
      <c r="E169">
        <v>3.1125000000000003</v>
      </c>
      <c r="F169">
        <v>3.7124999999999999</v>
      </c>
      <c r="J169">
        <v>2.2000000000000002</v>
      </c>
      <c r="K169">
        <v>3.15</v>
      </c>
      <c r="L169">
        <v>3.75</v>
      </c>
      <c r="M169">
        <v>2.25</v>
      </c>
      <c r="N169">
        <v>3.1</v>
      </c>
      <c r="O169">
        <v>3.7</v>
      </c>
      <c r="P169">
        <v>2.25</v>
      </c>
      <c r="Q169">
        <v>3.05</v>
      </c>
      <c r="R169">
        <v>3.65</v>
      </c>
      <c r="S169">
        <v>0.45788557694963955</v>
      </c>
      <c r="T169">
        <v>0.27348821790657202</v>
      </c>
      <c r="U169">
        <v>0.2686262051437886</v>
      </c>
      <c r="V169">
        <v>0.44838466478653005</v>
      </c>
      <c r="W169">
        <v>0.2789489850054449</v>
      </c>
      <c r="X169">
        <v>0.27266635020802499</v>
      </c>
      <c r="Y169">
        <v>0.44380717501648936</v>
      </c>
      <c r="Z169">
        <v>0.28261305956238714</v>
      </c>
      <c r="AA169">
        <v>0.27357976542112356</v>
      </c>
      <c r="AB169">
        <v>0.45199074842557463</v>
      </c>
      <c r="AC169">
        <v>0.27713462009524403</v>
      </c>
      <c r="AD169">
        <v>0.27087463147918145</v>
      </c>
      <c r="AE169" t="s">
        <v>147</v>
      </c>
      <c r="AF169" t="s">
        <v>141</v>
      </c>
      <c r="AG169">
        <v>327.10000000000002</v>
      </c>
      <c r="AH169">
        <v>29</v>
      </c>
      <c r="AI169">
        <v>7</v>
      </c>
      <c r="AJ169">
        <v>5</v>
      </c>
      <c r="AK169">
        <v>25.9</v>
      </c>
      <c r="AL169">
        <v>32</v>
      </c>
      <c r="AM169">
        <v>7427</v>
      </c>
      <c r="AN169">
        <v>81</v>
      </c>
      <c r="AO169">
        <v>80</v>
      </c>
      <c r="AP169">
        <v>77</v>
      </c>
      <c r="AQ169">
        <v>4.5</v>
      </c>
      <c r="AR169" t="s">
        <v>28</v>
      </c>
      <c r="AS169" t="s">
        <v>145</v>
      </c>
      <c r="AT169" t="s">
        <v>141</v>
      </c>
      <c r="AU169">
        <v>155.69999999999999</v>
      </c>
      <c r="AV169">
        <v>26</v>
      </c>
      <c r="AW169">
        <v>14</v>
      </c>
      <c r="AX169">
        <v>8</v>
      </c>
      <c r="AY169">
        <v>27.3</v>
      </c>
      <c r="AZ169">
        <v>27</v>
      </c>
      <c r="BA169">
        <v>7881</v>
      </c>
      <c r="BB169">
        <v>80</v>
      </c>
      <c r="BC169">
        <v>77</v>
      </c>
      <c r="BD169">
        <v>78</v>
      </c>
      <c r="BE169">
        <v>4</v>
      </c>
      <c r="BF169" t="s">
        <v>46</v>
      </c>
      <c r="BG169">
        <v>-2</v>
      </c>
      <c r="BH169">
        <v>-14</v>
      </c>
      <c r="BI169">
        <v>0.20799999999999999</v>
      </c>
      <c r="BJ169" t="s">
        <v>270</v>
      </c>
      <c r="BK169">
        <v>0.52170000000000005</v>
      </c>
      <c r="BL169">
        <v>0.40820000000000001</v>
      </c>
      <c r="BM169">
        <v>1.76</v>
      </c>
      <c r="BN169">
        <v>1.1399999999999999</v>
      </c>
    </row>
    <row r="170" spans="1:66" x14ac:dyDescent="0.25">
      <c r="A170">
        <v>1</v>
      </c>
      <c r="B170" s="4">
        <v>1</v>
      </c>
      <c r="D170">
        <v>3.0024999999999999</v>
      </c>
      <c r="E170">
        <v>3.2874999999999996</v>
      </c>
      <c r="F170">
        <v>2.4700000000000002</v>
      </c>
      <c r="J170">
        <v>2.98</v>
      </c>
      <c r="K170">
        <v>3.3</v>
      </c>
      <c r="L170">
        <v>2.5</v>
      </c>
      <c r="M170">
        <v>3.05</v>
      </c>
      <c r="N170">
        <v>3.3</v>
      </c>
      <c r="O170">
        <v>2.4300000000000002</v>
      </c>
      <c r="P170">
        <v>3</v>
      </c>
      <c r="Q170">
        <v>3.25</v>
      </c>
      <c r="R170">
        <v>2.4500000000000002</v>
      </c>
      <c r="S170">
        <v>0.33426457010825622</v>
      </c>
      <c r="T170">
        <v>0.26729206232270225</v>
      </c>
      <c r="U170">
        <v>0.39844336756904142</v>
      </c>
      <c r="V170">
        <v>0.3253545770165352</v>
      </c>
      <c r="W170">
        <v>0.26627856705736108</v>
      </c>
      <c r="X170">
        <v>0.40836685592610378</v>
      </c>
      <c r="Y170">
        <v>0.3282554831605029</v>
      </c>
      <c r="Z170">
        <v>0.26979902725520782</v>
      </c>
      <c r="AA170">
        <v>0.40194548958428922</v>
      </c>
      <c r="AB170">
        <v>0.33053480009838765</v>
      </c>
      <c r="AC170">
        <v>0.26766542973949331</v>
      </c>
      <c r="AD170">
        <v>0.40179977016211899</v>
      </c>
      <c r="AE170" t="s">
        <v>142</v>
      </c>
      <c r="AF170" t="s">
        <v>141</v>
      </c>
      <c r="AG170">
        <v>328.38</v>
      </c>
      <c r="AH170">
        <v>26</v>
      </c>
      <c r="AI170">
        <v>14</v>
      </c>
      <c r="AJ170">
        <v>8</v>
      </c>
      <c r="AK170">
        <v>25.8</v>
      </c>
      <c r="AL170">
        <v>11</v>
      </c>
      <c r="AM170">
        <v>9770</v>
      </c>
      <c r="AN170">
        <v>81</v>
      </c>
      <c r="AO170">
        <v>81</v>
      </c>
      <c r="AP170">
        <v>81</v>
      </c>
      <c r="AQ170">
        <v>4.5</v>
      </c>
      <c r="AR170" t="s">
        <v>29</v>
      </c>
      <c r="AS170" t="s">
        <v>152</v>
      </c>
      <c r="AT170" t="s">
        <v>141</v>
      </c>
      <c r="AU170">
        <v>214.25</v>
      </c>
      <c r="AV170">
        <v>24</v>
      </c>
      <c r="AW170">
        <v>10</v>
      </c>
      <c r="AX170">
        <v>7</v>
      </c>
      <c r="AY170">
        <v>27.3</v>
      </c>
      <c r="AZ170">
        <v>125</v>
      </c>
      <c r="BA170">
        <v>4257</v>
      </c>
      <c r="BB170">
        <v>81</v>
      </c>
      <c r="BC170">
        <v>81</v>
      </c>
      <c r="BD170">
        <v>78</v>
      </c>
      <c r="BE170">
        <v>4.5</v>
      </c>
      <c r="BF170" t="s">
        <v>29</v>
      </c>
      <c r="BG170">
        <v>60</v>
      </c>
      <c r="BH170">
        <v>95</v>
      </c>
      <c r="BI170">
        <v>0.505</v>
      </c>
      <c r="BJ170" t="s">
        <v>270</v>
      </c>
      <c r="BK170">
        <v>0.36</v>
      </c>
      <c r="BL170">
        <v>0.29970000000000002</v>
      </c>
      <c r="BM170">
        <v>1.24</v>
      </c>
      <c r="BN170">
        <v>1.39</v>
      </c>
    </row>
    <row r="171" spans="1:66" x14ac:dyDescent="0.25">
      <c r="A171">
        <v>1</v>
      </c>
      <c r="B171" s="4">
        <v>3</v>
      </c>
      <c r="D171">
        <v>1.4274999999999998</v>
      </c>
      <c r="E171">
        <v>4.8499999999999996</v>
      </c>
      <c r="F171">
        <v>7.4499999999999993</v>
      </c>
      <c r="J171">
        <v>1.43</v>
      </c>
      <c r="K171">
        <v>4.8</v>
      </c>
      <c r="L171">
        <v>7.5</v>
      </c>
      <c r="M171">
        <v>1.42</v>
      </c>
      <c r="N171">
        <v>4.9000000000000004</v>
      </c>
      <c r="O171">
        <v>7.6</v>
      </c>
      <c r="P171">
        <v>1.44</v>
      </c>
      <c r="Q171">
        <v>4.8</v>
      </c>
      <c r="R171">
        <v>7.1</v>
      </c>
      <c r="S171">
        <v>0.71499240529960839</v>
      </c>
      <c r="T171">
        <v>0.14868237608993309</v>
      </c>
      <c r="U171">
        <v>0.13632521861045865</v>
      </c>
      <c r="V171">
        <v>0.72017745999612337</v>
      </c>
      <c r="W171">
        <v>0.14526306721512716</v>
      </c>
      <c r="X171">
        <v>0.13455947278874936</v>
      </c>
      <c r="Y171">
        <v>0.70608721629546933</v>
      </c>
      <c r="Z171">
        <v>0.150706362371365</v>
      </c>
      <c r="AA171">
        <v>0.14320642133316561</v>
      </c>
      <c r="AB171">
        <v>0.71535863539683109</v>
      </c>
      <c r="AC171">
        <v>0.14747871822288811</v>
      </c>
      <c r="AD171">
        <v>0.13716264638028075</v>
      </c>
      <c r="AE171" t="s">
        <v>255</v>
      </c>
      <c r="AF171" t="s">
        <v>253</v>
      </c>
      <c r="AG171">
        <v>808.5</v>
      </c>
      <c r="AH171">
        <v>31</v>
      </c>
      <c r="AI171">
        <v>22</v>
      </c>
      <c r="AJ171">
        <v>19</v>
      </c>
      <c r="AK171">
        <v>25.8</v>
      </c>
      <c r="AL171">
        <v>19</v>
      </c>
      <c r="AM171">
        <v>8832</v>
      </c>
      <c r="AN171">
        <v>80</v>
      </c>
      <c r="AO171">
        <v>84</v>
      </c>
      <c r="AP171">
        <v>81</v>
      </c>
      <c r="AQ171">
        <v>4.5</v>
      </c>
      <c r="AR171" t="s">
        <v>28</v>
      </c>
      <c r="AS171" t="s">
        <v>261</v>
      </c>
      <c r="AT171" t="s">
        <v>253</v>
      </c>
      <c r="AU171">
        <v>179.43</v>
      </c>
      <c r="AV171">
        <v>24</v>
      </c>
      <c r="AW171">
        <v>15</v>
      </c>
      <c r="AX171">
        <v>8</v>
      </c>
      <c r="AY171">
        <v>29</v>
      </c>
      <c r="AZ171">
        <v>135</v>
      </c>
      <c r="BA171">
        <v>4146</v>
      </c>
      <c r="BB171">
        <v>73</v>
      </c>
      <c r="BC171">
        <v>77</v>
      </c>
      <c r="BD171">
        <v>76</v>
      </c>
      <c r="BE171">
        <v>4</v>
      </c>
      <c r="BF171" t="s">
        <v>29</v>
      </c>
      <c r="BG171">
        <v>33</v>
      </c>
      <c r="BH171">
        <v>54</v>
      </c>
      <c r="BI171">
        <v>0.57899999999999996</v>
      </c>
      <c r="BJ171" t="s">
        <v>267</v>
      </c>
      <c r="BK171">
        <v>0.58179999999999998</v>
      </c>
      <c r="BL171">
        <v>0.29730000000000001</v>
      </c>
      <c r="BM171">
        <v>1.73</v>
      </c>
      <c r="BN171">
        <v>1</v>
      </c>
    </row>
    <row r="172" spans="1:66" x14ac:dyDescent="0.25">
      <c r="A172">
        <v>1</v>
      </c>
      <c r="B172" s="4">
        <v>2</v>
      </c>
      <c r="D172">
        <v>2.4725000000000001</v>
      </c>
      <c r="E172">
        <v>3.2</v>
      </c>
      <c r="F172">
        <v>3.0625</v>
      </c>
      <c r="J172">
        <v>2.4500000000000002</v>
      </c>
      <c r="K172">
        <v>3.2</v>
      </c>
      <c r="L172">
        <v>3.1</v>
      </c>
      <c r="M172">
        <v>2.4900000000000002</v>
      </c>
      <c r="N172">
        <v>3.2</v>
      </c>
      <c r="O172">
        <v>3.05</v>
      </c>
      <c r="P172">
        <v>2.5</v>
      </c>
      <c r="Q172">
        <v>3.2</v>
      </c>
      <c r="R172">
        <v>3</v>
      </c>
      <c r="S172">
        <v>0.4052287581699347</v>
      </c>
      <c r="T172">
        <v>0.27450980392156865</v>
      </c>
      <c r="U172">
        <v>0.32026143790849676</v>
      </c>
      <c r="V172">
        <v>0.39912068384817911</v>
      </c>
      <c r="W172">
        <v>0.27503980704297959</v>
      </c>
      <c r="X172">
        <v>0.32583950910884141</v>
      </c>
      <c r="Y172">
        <v>0.39560439560439564</v>
      </c>
      <c r="Z172">
        <v>0.2747252747252748</v>
      </c>
      <c r="AA172">
        <v>0.32967032967032966</v>
      </c>
      <c r="AB172">
        <v>0.40129564894811104</v>
      </c>
      <c r="AC172">
        <v>0.27469617240284794</v>
      </c>
      <c r="AD172">
        <v>0.32400817864904113</v>
      </c>
      <c r="AE172" t="s">
        <v>263</v>
      </c>
      <c r="AF172" t="s">
        <v>253</v>
      </c>
      <c r="AG172">
        <v>228.1</v>
      </c>
      <c r="AH172">
        <v>29</v>
      </c>
      <c r="AI172">
        <v>17</v>
      </c>
      <c r="AJ172">
        <v>7</v>
      </c>
      <c r="AK172">
        <v>27.5</v>
      </c>
      <c r="AL172">
        <v>156</v>
      </c>
      <c r="AM172">
        <v>3890</v>
      </c>
      <c r="AN172">
        <v>75</v>
      </c>
      <c r="AO172">
        <v>78</v>
      </c>
      <c r="AP172">
        <v>77</v>
      </c>
      <c r="AQ172">
        <v>4</v>
      </c>
      <c r="AR172" t="s">
        <v>46</v>
      </c>
      <c r="AS172" t="s">
        <v>265</v>
      </c>
      <c r="AT172" t="s">
        <v>253</v>
      </c>
      <c r="AU172">
        <v>154.28</v>
      </c>
      <c r="AV172">
        <v>25</v>
      </c>
      <c r="AW172">
        <v>10</v>
      </c>
      <c r="AX172">
        <v>6</v>
      </c>
      <c r="AY172">
        <v>27.6</v>
      </c>
      <c r="AZ172">
        <v>163</v>
      </c>
      <c r="BA172">
        <v>3781</v>
      </c>
      <c r="BB172">
        <v>77</v>
      </c>
      <c r="BC172">
        <v>76</v>
      </c>
      <c r="BD172">
        <v>76</v>
      </c>
      <c r="BE172">
        <v>4</v>
      </c>
      <c r="BF172" t="s">
        <v>46</v>
      </c>
      <c r="BG172">
        <v>3</v>
      </c>
      <c r="BH172">
        <v>10</v>
      </c>
      <c r="BI172">
        <v>0.38500000000000001</v>
      </c>
      <c r="BJ172" t="s">
        <v>267</v>
      </c>
      <c r="BK172">
        <v>0.3</v>
      </c>
      <c r="BL172">
        <v>0.29270000000000002</v>
      </c>
      <c r="BM172">
        <v>1.23</v>
      </c>
      <c r="BN172">
        <v>0.98</v>
      </c>
    </row>
    <row r="173" spans="1:66" x14ac:dyDescent="0.25">
      <c r="A173">
        <v>3</v>
      </c>
      <c r="B173" s="4">
        <v>-2</v>
      </c>
      <c r="D173">
        <v>3.5750000000000002</v>
      </c>
      <c r="E173">
        <v>3.7250000000000001</v>
      </c>
      <c r="F173">
        <v>2.1425000000000001</v>
      </c>
      <c r="J173">
        <v>3.9</v>
      </c>
      <c r="K173">
        <v>3.9</v>
      </c>
      <c r="L173">
        <v>1.85</v>
      </c>
      <c r="M173">
        <v>4</v>
      </c>
      <c r="N173">
        <v>3.9</v>
      </c>
      <c r="O173">
        <v>1.87</v>
      </c>
      <c r="P173">
        <v>2.5</v>
      </c>
      <c r="Q173">
        <v>3.2</v>
      </c>
      <c r="R173">
        <v>3</v>
      </c>
      <c r="S173">
        <v>0.25298052476982702</v>
      </c>
      <c r="T173">
        <v>0.21370917976945672</v>
      </c>
      <c r="U173">
        <v>0.53331029546071629</v>
      </c>
      <c r="V173">
        <v>0.25012375064508319</v>
      </c>
      <c r="W173">
        <v>0.21485218380393689</v>
      </c>
      <c r="X173">
        <v>0.53502406555098003</v>
      </c>
      <c r="Y173">
        <v>0.39560439560439559</v>
      </c>
      <c r="Z173">
        <v>0.27472527472527469</v>
      </c>
      <c r="AA173">
        <v>0.32967032967032966</v>
      </c>
      <c r="AB173">
        <v>0.28792229894728322</v>
      </c>
      <c r="AC173">
        <v>0.22924895451703126</v>
      </c>
      <c r="AD173">
        <v>0.48282874653568558</v>
      </c>
      <c r="AE173" t="s">
        <v>60</v>
      </c>
      <c r="AF173" t="s">
        <v>26</v>
      </c>
      <c r="AG173">
        <v>94.35</v>
      </c>
      <c r="AH173">
        <v>32</v>
      </c>
      <c r="AI173">
        <v>11</v>
      </c>
      <c r="AJ173">
        <v>5</v>
      </c>
      <c r="AK173">
        <v>25.3</v>
      </c>
      <c r="AL173">
        <v>299</v>
      </c>
      <c r="AM173">
        <v>2454</v>
      </c>
      <c r="AN173">
        <v>76</v>
      </c>
      <c r="AO173">
        <v>75</v>
      </c>
      <c r="AP173">
        <v>73</v>
      </c>
      <c r="AQ173">
        <v>4</v>
      </c>
      <c r="AR173" t="s">
        <v>46</v>
      </c>
      <c r="AS173" t="s">
        <v>52</v>
      </c>
      <c r="AT173" t="s">
        <v>26</v>
      </c>
      <c r="AU173">
        <v>294.73</v>
      </c>
      <c r="AV173">
        <v>35</v>
      </c>
      <c r="AW173">
        <v>19</v>
      </c>
      <c r="AX173">
        <v>10</v>
      </c>
      <c r="AY173">
        <v>24.9</v>
      </c>
      <c r="AZ173">
        <v>76</v>
      </c>
      <c r="BA173">
        <v>5412</v>
      </c>
      <c r="BB173">
        <v>78</v>
      </c>
      <c r="BC173">
        <v>79</v>
      </c>
      <c r="BD173">
        <v>78</v>
      </c>
      <c r="BE173">
        <v>4.5</v>
      </c>
      <c r="BF173" t="s">
        <v>29</v>
      </c>
      <c r="BG173">
        <v>-48</v>
      </c>
      <c r="BH173">
        <v>-41</v>
      </c>
      <c r="BI173">
        <v>0.313</v>
      </c>
      <c r="BJ173" t="s">
        <v>273</v>
      </c>
      <c r="BK173">
        <v>0.27779999999999999</v>
      </c>
      <c r="BL173">
        <v>0.54759999999999998</v>
      </c>
      <c r="BM173">
        <v>1.56</v>
      </c>
      <c r="BN173">
        <v>1.76</v>
      </c>
    </row>
    <row r="174" spans="1:66" x14ac:dyDescent="0.25">
      <c r="A174">
        <v>1</v>
      </c>
      <c r="B174" s="4">
        <v>3</v>
      </c>
      <c r="D174">
        <v>1.3149999999999999</v>
      </c>
      <c r="E174">
        <v>5.65</v>
      </c>
      <c r="F174">
        <v>9.1999999999999993</v>
      </c>
      <c r="J174">
        <v>1.3</v>
      </c>
      <c r="K174">
        <v>5.75</v>
      </c>
      <c r="L174">
        <v>9.5</v>
      </c>
      <c r="M174">
        <v>1.33</v>
      </c>
      <c r="N174">
        <v>5.6</v>
      </c>
      <c r="O174">
        <v>8.8000000000000007</v>
      </c>
      <c r="P174">
        <v>1.33</v>
      </c>
      <c r="Q174">
        <v>5.5</v>
      </c>
      <c r="R174">
        <v>9</v>
      </c>
      <c r="S174">
        <v>0.77813074215951916</v>
      </c>
      <c r="T174">
        <v>0.11538820891338879</v>
      </c>
      <c r="U174">
        <v>0.10648104892709209</v>
      </c>
      <c r="V174">
        <v>0.76304128752305012</v>
      </c>
      <c r="W174">
        <v>0.12163542697630722</v>
      </c>
      <c r="X174">
        <v>0.11532328550064279</v>
      </c>
      <c r="Y174">
        <v>0.76425109241019007</v>
      </c>
      <c r="Z174">
        <v>0.12280957948919285</v>
      </c>
      <c r="AA174">
        <v>0.11293932810061699</v>
      </c>
      <c r="AB174">
        <v>0.7708884660630696</v>
      </c>
      <c r="AC174">
        <v>0.11880535607306941</v>
      </c>
      <c r="AD174">
        <v>0.11030617786386099</v>
      </c>
      <c r="AE174" t="s">
        <v>50</v>
      </c>
      <c r="AF174" t="s">
        <v>26</v>
      </c>
      <c r="AG174">
        <v>559.54999999999995</v>
      </c>
      <c r="AH174">
        <v>29</v>
      </c>
      <c r="AI174">
        <v>17</v>
      </c>
      <c r="AJ174">
        <v>13</v>
      </c>
      <c r="AK174">
        <v>25</v>
      </c>
      <c r="AL174">
        <v>36</v>
      </c>
      <c r="AM174">
        <v>7276</v>
      </c>
      <c r="AN174">
        <v>83</v>
      </c>
      <c r="AO174">
        <v>83</v>
      </c>
      <c r="AP174">
        <v>82</v>
      </c>
      <c r="AQ174">
        <v>4.5</v>
      </c>
      <c r="AR174" t="s">
        <v>29</v>
      </c>
      <c r="AS174" t="s">
        <v>55</v>
      </c>
      <c r="AT174" t="s">
        <v>26</v>
      </c>
      <c r="AU174">
        <v>108.3</v>
      </c>
      <c r="AV174">
        <v>28</v>
      </c>
      <c r="AW174">
        <v>11</v>
      </c>
      <c r="AX174">
        <v>8</v>
      </c>
      <c r="AY174">
        <v>25.8</v>
      </c>
      <c r="AZ174">
        <v>213</v>
      </c>
      <c r="BA174">
        <v>3138</v>
      </c>
      <c r="BB174">
        <v>76</v>
      </c>
      <c r="BC174">
        <v>73</v>
      </c>
      <c r="BD174">
        <v>75</v>
      </c>
      <c r="BE174">
        <v>3.5</v>
      </c>
      <c r="BF174" t="s">
        <v>29</v>
      </c>
      <c r="BG174">
        <v>49</v>
      </c>
      <c r="BH174">
        <v>83</v>
      </c>
      <c r="BI174">
        <v>0.65100000000000002</v>
      </c>
      <c r="BJ174" t="s">
        <v>273</v>
      </c>
      <c r="BK174">
        <v>0.60870000000000002</v>
      </c>
      <c r="BL174">
        <v>0.38890000000000002</v>
      </c>
      <c r="BM174">
        <v>2.2200000000000002</v>
      </c>
      <c r="BN174">
        <v>1.39</v>
      </c>
    </row>
    <row r="175" spans="1:66" x14ac:dyDescent="0.25">
      <c r="A175">
        <v>1</v>
      </c>
      <c r="B175" s="4">
        <v>1</v>
      </c>
      <c r="D175">
        <v>2.3975</v>
      </c>
      <c r="E175">
        <v>3.585</v>
      </c>
      <c r="F175">
        <v>2.84</v>
      </c>
      <c r="J175">
        <v>2.4</v>
      </c>
      <c r="K175">
        <v>3.45</v>
      </c>
      <c r="L175">
        <v>2.88</v>
      </c>
      <c r="M175">
        <v>2.41</v>
      </c>
      <c r="N175">
        <v>3.75</v>
      </c>
      <c r="O175">
        <v>2.8</v>
      </c>
      <c r="P175">
        <v>2.38</v>
      </c>
      <c r="Q175">
        <v>3.7</v>
      </c>
      <c r="R175">
        <v>2.8</v>
      </c>
      <c r="S175">
        <v>0.40731621526556455</v>
      </c>
      <c r="T175">
        <v>0.25325360534646502</v>
      </c>
      <c r="U175">
        <v>0.33943017938797049</v>
      </c>
      <c r="V175">
        <v>0.41159754854961245</v>
      </c>
      <c r="W175">
        <v>0.2341345614487568</v>
      </c>
      <c r="X175">
        <v>0.35426789000163078</v>
      </c>
      <c r="Y175">
        <v>0.41286224692338225</v>
      </c>
      <c r="Z175">
        <v>0.23620484319174273</v>
      </c>
      <c r="AA175">
        <v>0.35093290988487497</v>
      </c>
      <c r="AB175">
        <v>0.40968374642508881</v>
      </c>
      <c r="AC175">
        <v>0.24437538897258457</v>
      </c>
      <c r="AD175">
        <v>0.34594086460232654</v>
      </c>
      <c r="AE175" t="s">
        <v>51</v>
      </c>
      <c r="AF175" t="s">
        <v>26</v>
      </c>
      <c r="AG175">
        <v>199.33</v>
      </c>
      <c r="AH175">
        <v>33</v>
      </c>
      <c r="AI175">
        <v>22</v>
      </c>
      <c r="AJ175">
        <v>9</v>
      </c>
      <c r="AK175">
        <v>25.9</v>
      </c>
      <c r="AL175">
        <v>45</v>
      </c>
      <c r="AM175">
        <v>6714</v>
      </c>
      <c r="AN175">
        <v>78</v>
      </c>
      <c r="AO175">
        <v>77</v>
      </c>
      <c r="AP175">
        <v>77</v>
      </c>
      <c r="AQ175">
        <v>4</v>
      </c>
      <c r="AR175" t="s">
        <v>46</v>
      </c>
      <c r="AS175" t="s">
        <v>54</v>
      </c>
      <c r="AT175" t="s">
        <v>26</v>
      </c>
      <c r="AU175">
        <v>214.6</v>
      </c>
      <c r="AV175">
        <v>30</v>
      </c>
      <c r="AW175">
        <v>22</v>
      </c>
      <c r="AX175">
        <v>15</v>
      </c>
      <c r="AY175">
        <v>25.7</v>
      </c>
      <c r="AZ175">
        <v>194</v>
      </c>
      <c r="BA175">
        <v>3438</v>
      </c>
      <c r="BB175">
        <v>79</v>
      </c>
      <c r="BC175">
        <v>77</v>
      </c>
      <c r="BD175">
        <v>75</v>
      </c>
      <c r="BE175">
        <v>4</v>
      </c>
      <c r="BF175" t="s">
        <v>29</v>
      </c>
      <c r="BG175">
        <v>-1</v>
      </c>
      <c r="BH175">
        <v>4</v>
      </c>
      <c r="BI175">
        <v>0.318</v>
      </c>
      <c r="BJ175" t="s">
        <v>273</v>
      </c>
      <c r="BK175">
        <v>0.47270000000000001</v>
      </c>
      <c r="BL175">
        <v>0.43240000000000001</v>
      </c>
      <c r="BM175">
        <v>1.8</v>
      </c>
      <c r="BN175">
        <v>1.65</v>
      </c>
    </row>
    <row r="176" spans="1:66" x14ac:dyDescent="0.25">
      <c r="A176">
        <v>2</v>
      </c>
      <c r="B176" s="4">
        <v>0</v>
      </c>
      <c r="D176">
        <v>3.5749999999999997</v>
      </c>
      <c r="E176">
        <v>3.9124999999999996</v>
      </c>
      <c r="F176">
        <v>1.9475</v>
      </c>
      <c r="J176">
        <v>3.6</v>
      </c>
      <c r="K176">
        <v>3.95</v>
      </c>
      <c r="L176">
        <v>1.91</v>
      </c>
      <c r="M176">
        <v>3.5</v>
      </c>
      <c r="N176">
        <v>4</v>
      </c>
      <c r="O176">
        <v>1.98</v>
      </c>
      <c r="P176">
        <v>3.5</v>
      </c>
      <c r="Q176">
        <v>3.9</v>
      </c>
      <c r="R176">
        <v>1.98</v>
      </c>
      <c r="S176">
        <v>0.27271298610127465</v>
      </c>
      <c r="T176">
        <v>0.21327300868166302</v>
      </c>
      <c r="U176">
        <v>0.5140140052170622</v>
      </c>
      <c r="V176">
        <v>0.28419185136816683</v>
      </c>
      <c r="W176">
        <v>0.21344881540527549</v>
      </c>
      <c r="X176">
        <v>0.50235933322655757</v>
      </c>
      <c r="Y176">
        <v>0.2824162573890539</v>
      </c>
      <c r="Z176">
        <v>0.21836308561009318</v>
      </c>
      <c r="AA176">
        <v>0.49922065700085283</v>
      </c>
      <c r="AB176">
        <v>0.27631226817445764</v>
      </c>
      <c r="AC176">
        <v>0.21667288947411942</v>
      </c>
      <c r="AD176">
        <v>0.5070148423514228</v>
      </c>
      <c r="AE176" t="s">
        <v>61</v>
      </c>
      <c r="AF176" t="s">
        <v>26</v>
      </c>
      <c r="AG176">
        <v>73.7</v>
      </c>
      <c r="AH176">
        <v>32</v>
      </c>
      <c r="AI176">
        <v>16</v>
      </c>
      <c r="AJ176">
        <v>2</v>
      </c>
      <c r="AK176">
        <v>23.9</v>
      </c>
      <c r="AL176">
        <v>671</v>
      </c>
      <c r="AM176">
        <v>828</v>
      </c>
      <c r="AN176">
        <v>73</v>
      </c>
      <c r="AO176">
        <v>70</v>
      </c>
      <c r="AP176">
        <v>69</v>
      </c>
      <c r="AQ176">
        <v>3.5</v>
      </c>
      <c r="AR176" t="s">
        <v>29</v>
      </c>
      <c r="AS176" t="s">
        <v>49</v>
      </c>
      <c r="AT176" t="s">
        <v>26</v>
      </c>
      <c r="AU176">
        <v>406.85</v>
      </c>
      <c r="AV176">
        <v>28</v>
      </c>
      <c r="AW176">
        <v>16</v>
      </c>
      <c r="AX176">
        <v>13</v>
      </c>
      <c r="AY176">
        <v>25.6</v>
      </c>
      <c r="AZ176">
        <v>22</v>
      </c>
      <c r="BA176">
        <v>8083</v>
      </c>
      <c r="BB176">
        <v>80</v>
      </c>
      <c r="BC176">
        <v>80</v>
      </c>
      <c r="BD176">
        <v>79</v>
      </c>
      <c r="BE176">
        <v>4.5</v>
      </c>
      <c r="BF176" t="s">
        <v>46</v>
      </c>
      <c r="BG176">
        <v>-38</v>
      </c>
      <c r="BH176">
        <v>-29</v>
      </c>
      <c r="BI176">
        <v>0.28399999999999997</v>
      </c>
      <c r="BJ176" t="s">
        <v>273</v>
      </c>
      <c r="BK176">
        <v>0.51349999999999996</v>
      </c>
      <c r="BL176">
        <v>0.58850000000000002</v>
      </c>
      <c r="BM176">
        <v>1.78</v>
      </c>
      <c r="BN176">
        <v>1.78</v>
      </c>
    </row>
    <row r="177" spans="1:66" x14ac:dyDescent="0.25">
      <c r="A177">
        <v>1</v>
      </c>
      <c r="B177" s="4">
        <v>3</v>
      </c>
      <c r="D177">
        <v>1.2549999999999999</v>
      </c>
      <c r="E177">
        <v>6.2625000000000002</v>
      </c>
      <c r="F177">
        <v>11.3125</v>
      </c>
      <c r="J177">
        <v>1.23</v>
      </c>
      <c r="K177">
        <v>6.25</v>
      </c>
      <c r="L177">
        <v>12.5</v>
      </c>
      <c r="M177">
        <v>1.26</v>
      </c>
      <c r="N177">
        <v>6.4</v>
      </c>
      <c r="O177">
        <v>11</v>
      </c>
      <c r="P177">
        <v>1.27</v>
      </c>
      <c r="Q177">
        <v>6</v>
      </c>
      <c r="R177">
        <v>10.75</v>
      </c>
      <c r="S177">
        <v>0.82199283279102331</v>
      </c>
      <c r="T177">
        <v>9.7123072462339907E-2</v>
      </c>
      <c r="U177">
        <v>8.0884094746636687E-2</v>
      </c>
      <c r="V177">
        <v>0.80706903151716214</v>
      </c>
      <c r="W177">
        <v>0.10048487941814468</v>
      </c>
      <c r="X177">
        <v>9.2446089064693121E-2</v>
      </c>
      <c r="Y177">
        <v>0.79889433170413693</v>
      </c>
      <c r="Z177">
        <v>0.10672466352709541</v>
      </c>
      <c r="AA177">
        <v>9.4381004768767804E-2</v>
      </c>
      <c r="AB177">
        <v>0.8087563068823711</v>
      </c>
      <c r="AC177">
        <v>0.10120437370643116</v>
      </c>
      <c r="AD177">
        <v>9.0039319411197694E-2</v>
      </c>
      <c r="AE177" t="s">
        <v>25</v>
      </c>
      <c r="AF177" t="s">
        <v>26</v>
      </c>
      <c r="AG177">
        <v>507.83</v>
      </c>
      <c r="AH177">
        <v>29</v>
      </c>
      <c r="AI177">
        <v>21</v>
      </c>
      <c r="AJ177">
        <v>13</v>
      </c>
      <c r="AK177">
        <v>24.2</v>
      </c>
      <c r="AL177">
        <v>16</v>
      </c>
      <c r="AM177">
        <v>9221</v>
      </c>
      <c r="AN177">
        <v>81</v>
      </c>
      <c r="AO177">
        <v>81</v>
      </c>
      <c r="AP177">
        <v>79</v>
      </c>
      <c r="AQ177">
        <v>4.5</v>
      </c>
      <c r="AR177" t="s">
        <v>29</v>
      </c>
      <c r="AS177" t="s">
        <v>53</v>
      </c>
      <c r="AT177" t="s">
        <v>26</v>
      </c>
      <c r="AU177">
        <v>195.83</v>
      </c>
      <c r="AV177">
        <v>29</v>
      </c>
      <c r="AW177">
        <v>18</v>
      </c>
      <c r="AX177">
        <v>11</v>
      </c>
      <c r="AY177">
        <v>25.3</v>
      </c>
      <c r="AZ177">
        <v>152</v>
      </c>
      <c r="BA177">
        <v>3938</v>
      </c>
      <c r="BB177">
        <v>76</v>
      </c>
      <c r="BC177">
        <v>77</v>
      </c>
      <c r="BD177">
        <v>76</v>
      </c>
      <c r="BE177">
        <v>4</v>
      </c>
      <c r="BF177" t="s">
        <v>29</v>
      </c>
      <c r="BG177">
        <v>5</v>
      </c>
      <c r="BH177">
        <v>8</v>
      </c>
      <c r="BI177">
        <v>0.5</v>
      </c>
      <c r="BJ177" t="s">
        <v>273</v>
      </c>
      <c r="BK177">
        <v>0.55320000000000003</v>
      </c>
      <c r="BL177">
        <v>0.31580000000000003</v>
      </c>
      <c r="BM177">
        <v>2.2799999999999998</v>
      </c>
      <c r="BN177">
        <v>1.29</v>
      </c>
    </row>
    <row r="178" spans="1:66" x14ac:dyDescent="0.25">
      <c r="A178">
        <v>1</v>
      </c>
      <c r="B178" s="4">
        <v>1</v>
      </c>
      <c r="D178">
        <v>2.5249999999999999</v>
      </c>
      <c r="E178">
        <v>3.1625000000000001</v>
      </c>
      <c r="F178">
        <v>2.9074999999999998</v>
      </c>
      <c r="J178">
        <v>2.4500000000000002</v>
      </c>
      <c r="K178">
        <v>3.1</v>
      </c>
      <c r="L178">
        <v>2.88</v>
      </c>
      <c r="M178">
        <v>2.5499999999999998</v>
      </c>
      <c r="N178">
        <v>3.25</v>
      </c>
      <c r="O178">
        <v>2.95</v>
      </c>
      <c r="P178">
        <v>2.5499999999999998</v>
      </c>
      <c r="Q178">
        <v>3.2</v>
      </c>
      <c r="R178">
        <v>2.92</v>
      </c>
      <c r="S178">
        <v>0.38923083630252897</v>
      </c>
      <c r="T178">
        <v>0.2796526536484446</v>
      </c>
      <c r="U178">
        <v>0.33111651004902648</v>
      </c>
      <c r="V178">
        <v>0.39064616125440155</v>
      </c>
      <c r="W178">
        <v>0.2716766485087429</v>
      </c>
      <c r="X178">
        <v>0.3376771902368555</v>
      </c>
      <c r="Y178">
        <v>0.38705770714794729</v>
      </c>
      <c r="Z178">
        <v>0.27492956914408512</v>
      </c>
      <c r="AA178">
        <v>0.33801272370796764</v>
      </c>
      <c r="AB178">
        <v>0.38693629662911544</v>
      </c>
      <c r="AC178">
        <v>0.27706811051308722</v>
      </c>
      <c r="AD178">
        <v>0.3359955928577974</v>
      </c>
      <c r="AE178" t="s">
        <v>40</v>
      </c>
      <c r="AF178" t="s">
        <v>23</v>
      </c>
      <c r="AG178">
        <v>176.8</v>
      </c>
      <c r="AH178">
        <v>30</v>
      </c>
      <c r="AI178">
        <v>14</v>
      </c>
      <c r="AJ178">
        <v>4</v>
      </c>
      <c r="AK178">
        <v>23.5</v>
      </c>
      <c r="AL178">
        <v>255</v>
      </c>
      <c r="AM178">
        <v>2803</v>
      </c>
      <c r="AN178">
        <v>74</v>
      </c>
      <c r="AO178">
        <v>76</v>
      </c>
      <c r="AP178">
        <v>74</v>
      </c>
      <c r="AQ178">
        <v>4</v>
      </c>
      <c r="AR178" t="s">
        <v>28</v>
      </c>
      <c r="AS178" t="s">
        <v>39</v>
      </c>
      <c r="AT178" t="s">
        <v>23</v>
      </c>
      <c r="AU178">
        <v>86.83</v>
      </c>
      <c r="AV178">
        <v>30</v>
      </c>
      <c r="AW178">
        <v>14</v>
      </c>
      <c r="AX178">
        <v>6</v>
      </c>
      <c r="AY178">
        <v>25.1</v>
      </c>
      <c r="AZ178">
        <v>229</v>
      </c>
      <c r="BA178">
        <v>3029</v>
      </c>
      <c r="BB178">
        <v>75</v>
      </c>
      <c r="BC178">
        <v>73</v>
      </c>
      <c r="BD178">
        <v>74</v>
      </c>
      <c r="BE178">
        <v>3.5</v>
      </c>
      <c r="BF178" t="s">
        <v>29</v>
      </c>
      <c r="BG178">
        <v>-14</v>
      </c>
      <c r="BH178">
        <v>2</v>
      </c>
      <c r="BI178">
        <v>0.28000000000000003</v>
      </c>
      <c r="BJ178" t="s">
        <v>266</v>
      </c>
      <c r="BK178">
        <v>0.40629999999999999</v>
      </c>
      <c r="BL178">
        <v>0.40629999999999999</v>
      </c>
      <c r="BM178">
        <v>1.5</v>
      </c>
      <c r="BN178">
        <v>1.28</v>
      </c>
    </row>
    <row r="179" spans="1:66" x14ac:dyDescent="0.25">
      <c r="A179">
        <v>2</v>
      </c>
      <c r="B179" s="4">
        <v>0</v>
      </c>
      <c r="D179">
        <v>2.3125</v>
      </c>
      <c r="E179">
        <v>2.9749999999999996</v>
      </c>
      <c r="F179">
        <v>3.1875</v>
      </c>
      <c r="J179">
        <v>2.25</v>
      </c>
      <c r="K179">
        <v>2.95</v>
      </c>
      <c r="L179">
        <v>3.05</v>
      </c>
      <c r="M179">
        <v>2.39</v>
      </c>
      <c r="N179">
        <v>3</v>
      </c>
      <c r="O179">
        <v>3.35</v>
      </c>
      <c r="P179">
        <v>2.36</v>
      </c>
      <c r="Q179">
        <v>3</v>
      </c>
      <c r="R179">
        <v>3.3</v>
      </c>
      <c r="S179">
        <v>0.40969671529016688</v>
      </c>
      <c r="T179">
        <v>0.28806800293839857</v>
      </c>
      <c r="U179">
        <v>0.30223528177143461</v>
      </c>
      <c r="V179">
        <v>0.41431402790677457</v>
      </c>
      <c r="W179">
        <v>0.29010074024331772</v>
      </c>
      <c r="X179">
        <v>0.29558523184990781</v>
      </c>
      <c r="Y179">
        <v>0.41459337006736774</v>
      </c>
      <c r="Z179">
        <v>0.28890955315718142</v>
      </c>
      <c r="AA179">
        <v>0.29649707677545084</v>
      </c>
      <c r="AB179">
        <v>0.41207520713861906</v>
      </c>
      <c r="AC179">
        <v>0.28878657481932407</v>
      </c>
      <c r="AD179">
        <v>0.29913821804205698</v>
      </c>
      <c r="AE179" t="s">
        <v>110</v>
      </c>
      <c r="AF179" t="s">
        <v>108</v>
      </c>
      <c r="AG179">
        <v>68.63</v>
      </c>
      <c r="AH179">
        <v>35</v>
      </c>
      <c r="AI179">
        <v>2</v>
      </c>
      <c r="AJ179">
        <v>3</v>
      </c>
      <c r="AK179">
        <v>27.4</v>
      </c>
      <c r="AL179">
        <v>9</v>
      </c>
      <c r="AM179">
        <v>10366</v>
      </c>
      <c r="AN179">
        <v>72</v>
      </c>
      <c r="AO179">
        <v>75</v>
      </c>
      <c r="AP179">
        <v>74</v>
      </c>
      <c r="AQ179">
        <v>4</v>
      </c>
      <c r="AR179" t="s">
        <v>29</v>
      </c>
      <c r="AS179" t="s">
        <v>112</v>
      </c>
      <c r="AT179" t="s">
        <v>108</v>
      </c>
      <c r="AU179">
        <v>55.08</v>
      </c>
      <c r="AV179">
        <v>36</v>
      </c>
      <c r="AW179">
        <v>7</v>
      </c>
      <c r="AX179">
        <v>2</v>
      </c>
      <c r="AY179">
        <v>26.4</v>
      </c>
      <c r="AZ179">
        <v>17</v>
      </c>
      <c r="BA179">
        <v>9035</v>
      </c>
      <c r="BB179">
        <v>73</v>
      </c>
      <c r="BC179">
        <v>74</v>
      </c>
      <c r="BD179">
        <v>74</v>
      </c>
      <c r="BE179">
        <v>3.5</v>
      </c>
      <c r="BF179" t="s">
        <v>29</v>
      </c>
      <c r="BG179">
        <v>9</v>
      </c>
      <c r="BH179">
        <v>25</v>
      </c>
      <c r="BI179">
        <v>0.36399999999999999</v>
      </c>
      <c r="BJ179" t="s">
        <v>236</v>
      </c>
      <c r="BK179">
        <v>0.47299999999999998</v>
      </c>
      <c r="BL179">
        <v>0.52939999999999998</v>
      </c>
      <c r="BM179">
        <v>1.36</v>
      </c>
      <c r="BN179">
        <v>1.5</v>
      </c>
    </row>
    <row r="180" spans="1:66" x14ac:dyDescent="0.25">
      <c r="A180">
        <v>1</v>
      </c>
      <c r="B180">
        <v>1</v>
      </c>
      <c r="C180">
        <v>1</v>
      </c>
      <c r="D180" s="56">
        <v>2.54</v>
      </c>
      <c r="E180" s="56">
        <v>2.8362499999999997</v>
      </c>
      <c r="F180" s="56">
        <v>3.2374999999999998</v>
      </c>
      <c r="J180">
        <v>2.5499999999999998</v>
      </c>
      <c r="K180">
        <v>2.8</v>
      </c>
      <c r="L180">
        <v>3.25</v>
      </c>
      <c r="M180">
        <v>2.5</v>
      </c>
      <c r="N180">
        <v>2.875</v>
      </c>
      <c r="O180">
        <v>3.2</v>
      </c>
      <c r="P180">
        <v>2.56</v>
      </c>
      <c r="Q180">
        <v>2.87</v>
      </c>
      <c r="R180">
        <v>3.25</v>
      </c>
      <c r="S180">
        <v>0.38611849304361417</v>
      </c>
      <c r="T180">
        <v>0.31092699702985777</v>
      </c>
      <c r="U180">
        <v>0.30295450992652806</v>
      </c>
      <c r="V180">
        <v>0.39147433472064569</v>
      </c>
      <c r="W180">
        <v>0.30268634127884986</v>
      </c>
      <c r="X180">
        <v>0.3058393240005044</v>
      </c>
      <c r="Y180">
        <v>0.38877735676607622</v>
      </c>
      <c r="Z180">
        <v>0.3049857099043376</v>
      </c>
      <c r="AA180">
        <v>0.30623693332958618</v>
      </c>
      <c r="AB180">
        <v>0.38812216939348754</v>
      </c>
      <c r="AC180">
        <v>0.30738151131072577</v>
      </c>
      <c r="AD180">
        <v>0.30449631929578669</v>
      </c>
      <c r="AE180" t="s">
        <v>77</v>
      </c>
      <c r="AF180" t="s">
        <v>63</v>
      </c>
      <c r="AG180">
        <v>8.23</v>
      </c>
      <c r="AH180">
        <v>32</v>
      </c>
      <c r="AI180">
        <v>2</v>
      </c>
      <c r="AJ180">
        <v>1</v>
      </c>
      <c r="AK180">
        <v>24.9</v>
      </c>
      <c r="AL180">
        <v>362</v>
      </c>
      <c r="AM180">
        <v>2071</v>
      </c>
      <c r="AN180">
        <v>65</v>
      </c>
      <c r="AO180">
        <v>66</v>
      </c>
      <c r="AP180">
        <v>61</v>
      </c>
      <c r="AQ180">
        <v>2</v>
      </c>
      <c r="AR180" t="s">
        <v>46</v>
      </c>
      <c r="AS180" t="s">
        <v>76</v>
      </c>
      <c r="AT180" t="s">
        <v>63</v>
      </c>
      <c r="AU180">
        <v>9.58</v>
      </c>
      <c r="AV180">
        <v>23</v>
      </c>
      <c r="AW180">
        <v>3</v>
      </c>
      <c r="AX180">
        <v>1</v>
      </c>
      <c r="AY180">
        <v>26.6</v>
      </c>
      <c r="AZ180">
        <v>349</v>
      </c>
      <c r="BA180">
        <v>2119</v>
      </c>
      <c r="BB180">
        <v>59</v>
      </c>
      <c r="BC180">
        <v>64</v>
      </c>
      <c r="BD180">
        <v>65</v>
      </c>
      <c r="BE180">
        <v>2</v>
      </c>
      <c r="BF180" t="s">
        <v>29</v>
      </c>
      <c r="BG180">
        <v>9</v>
      </c>
      <c r="BH180">
        <v>25</v>
      </c>
      <c r="BI180">
        <v>0.36399999999999999</v>
      </c>
      <c r="BJ180" t="s">
        <v>63</v>
      </c>
      <c r="BK180">
        <v>0.26090000000000002</v>
      </c>
      <c r="BL180">
        <v>0.2727</v>
      </c>
      <c r="BM180">
        <v>1.22</v>
      </c>
      <c r="BN180">
        <v>0.82</v>
      </c>
    </row>
    <row r="181" spans="1:66" x14ac:dyDescent="0.25">
      <c r="A181">
        <v>3</v>
      </c>
      <c r="B181">
        <v>-2</v>
      </c>
      <c r="C181">
        <v>2</v>
      </c>
      <c r="D181" s="56">
        <v>1.4849999999999999</v>
      </c>
      <c r="E181" s="56">
        <v>4.5250000000000004</v>
      </c>
      <c r="F181" s="56">
        <v>6.75</v>
      </c>
      <c r="J181">
        <v>1.47</v>
      </c>
      <c r="K181">
        <v>4.5999999999999996</v>
      </c>
      <c r="L181">
        <v>7</v>
      </c>
      <c r="M181">
        <v>1.5</v>
      </c>
      <c r="N181">
        <v>4.2</v>
      </c>
      <c r="O181">
        <v>6.5</v>
      </c>
      <c r="P181">
        <v>1.48</v>
      </c>
      <c r="Q181">
        <v>4.5999999999999996</v>
      </c>
      <c r="R181">
        <v>6.5</v>
      </c>
      <c r="S181">
        <v>0.69556911342767991</v>
      </c>
      <c r="T181">
        <v>0.15836137275250742</v>
      </c>
      <c r="U181">
        <v>0.14606951381981279</v>
      </c>
      <c r="V181">
        <v>0.67074261855055173</v>
      </c>
      <c r="W181">
        <v>0.17447062332239785</v>
      </c>
      <c r="X181">
        <v>0.15478675812705039</v>
      </c>
      <c r="Y181">
        <v>0.68359157408769045</v>
      </c>
      <c r="Z181">
        <v>0.16075988288926621</v>
      </c>
      <c r="AA181">
        <v>0.15564854302304337</v>
      </c>
      <c r="AB181">
        <v>0.68624033365144965</v>
      </c>
      <c r="AC181">
        <v>0.16264644608734463</v>
      </c>
      <c r="AD181">
        <v>0.15111322026120577</v>
      </c>
      <c r="AE181" t="s">
        <v>252</v>
      </c>
      <c r="AF181" t="s">
        <v>253</v>
      </c>
      <c r="AG181">
        <v>1020</v>
      </c>
      <c r="AH181">
        <v>31</v>
      </c>
      <c r="AI181">
        <v>23</v>
      </c>
      <c r="AJ181">
        <v>20</v>
      </c>
      <c r="AK181">
        <v>25.8</v>
      </c>
      <c r="AL181">
        <v>1</v>
      </c>
      <c r="AM181">
        <v>14695</v>
      </c>
      <c r="AN181">
        <v>87</v>
      </c>
      <c r="AO181">
        <v>83</v>
      </c>
      <c r="AP181">
        <v>85</v>
      </c>
      <c r="AQ181">
        <v>5</v>
      </c>
      <c r="AR181" t="s">
        <v>29</v>
      </c>
      <c r="AS181" t="s">
        <v>262</v>
      </c>
      <c r="AT181" t="s">
        <v>253</v>
      </c>
      <c r="AU181">
        <v>411.05</v>
      </c>
      <c r="AV181">
        <v>29</v>
      </c>
      <c r="AW181">
        <v>18</v>
      </c>
      <c r="AX181">
        <v>12</v>
      </c>
      <c r="AY181">
        <v>25.7</v>
      </c>
      <c r="AZ181">
        <v>149</v>
      </c>
      <c r="BA181">
        <v>3982</v>
      </c>
      <c r="BB181">
        <v>80</v>
      </c>
      <c r="BC181">
        <v>78</v>
      </c>
      <c r="BD181">
        <v>79</v>
      </c>
      <c r="BE181">
        <v>4</v>
      </c>
      <c r="BF181" t="s">
        <v>29</v>
      </c>
      <c r="BG181">
        <v>9</v>
      </c>
      <c r="BH181">
        <v>25</v>
      </c>
      <c r="BI181">
        <v>0.36399999999999999</v>
      </c>
      <c r="BJ181" t="s">
        <v>267</v>
      </c>
      <c r="BK181">
        <v>0.70909999999999995</v>
      </c>
      <c r="BL181">
        <v>0.52380000000000004</v>
      </c>
      <c r="BM181">
        <v>2.0699999999999998</v>
      </c>
      <c r="BN181">
        <v>1.62</v>
      </c>
    </row>
    <row r="182" spans="1:66" x14ac:dyDescent="0.25">
      <c r="A182">
        <v>3</v>
      </c>
      <c r="B182">
        <v>-2</v>
      </c>
      <c r="C182">
        <v>2</v>
      </c>
      <c r="D182" s="56">
        <v>1.5574999999999999</v>
      </c>
      <c r="E182" s="56">
        <v>3.95</v>
      </c>
      <c r="F182" s="56">
        <v>6.6</v>
      </c>
      <c r="J182">
        <v>1.55</v>
      </c>
      <c r="K182">
        <v>3.95</v>
      </c>
      <c r="L182">
        <v>7</v>
      </c>
      <c r="M182">
        <v>1.56</v>
      </c>
      <c r="N182">
        <v>3.95</v>
      </c>
      <c r="O182">
        <v>6</v>
      </c>
      <c r="P182">
        <v>1.57</v>
      </c>
      <c r="Q182">
        <v>3.95</v>
      </c>
      <c r="R182">
        <v>6.4</v>
      </c>
      <c r="S182">
        <v>0.66782736705026391</v>
      </c>
      <c r="T182">
        <v>0.1842965731028918</v>
      </c>
      <c r="U182">
        <v>0.14787605984684415</v>
      </c>
      <c r="V182">
        <v>0.60425271531283464</v>
      </c>
      <c r="W182">
        <v>0.23864157870582839</v>
      </c>
      <c r="X182">
        <v>0.15710570598133702</v>
      </c>
      <c r="Y182">
        <v>0.60872391914181478</v>
      </c>
      <c r="Z182">
        <v>0.24194849444370864</v>
      </c>
      <c r="AA182">
        <v>0.14932758641447644</v>
      </c>
      <c r="AB182">
        <v>0.62511163962772698</v>
      </c>
      <c r="AC182">
        <v>0.2270093807630624</v>
      </c>
      <c r="AD182">
        <v>0.14787897960921054</v>
      </c>
      <c r="AE182" t="s">
        <v>143</v>
      </c>
      <c r="AF182" t="s">
        <v>141</v>
      </c>
      <c r="AG182">
        <v>764.3</v>
      </c>
      <c r="AH182">
        <v>31</v>
      </c>
      <c r="AI182">
        <v>17</v>
      </c>
      <c r="AJ182">
        <v>18</v>
      </c>
      <c r="AK182">
        <v>25.2</v>
      </c>
      <c r="AL182">
        <v>13</v>
      </c>
      <c r="AM182">
        <v>9329</v>
      </c>
      <c r="AN182">
        <v>81</v>
      </c>
      <c r="AO182">
        <v>83</v>
      </c>
      <c r="AP182">
        <v>82</v>
      </c>
      <c r="AQ182">
        <v>5</v>
      </c>
      <c r="AR182" t="s">
        <v>29</v>
      </c>
      <c r="AS182" t="s">
        <v>151</v>
      </c>
      <c r="AT182" t="s">
        <v>141</v>
      </c>
      <c r="AU182">
        <v>106.95</v>
      </c>
      <c r="AV182">
        <v>31</v>
      </c>
      <c r="AW182">
        <v>8</v>
      </c>
      <c r="AX182">
        <v>3</v>
      </c>
      <c r="AY182">
        <v>27.6</v>
      </c>
      <c r="AZ182">
        <v>116</v>
      </c>
      <c r="BA182">
        <v>4556</v>
      </c>
      <c r="BB182">
        <v>77</v>
      </c>
      <c r="BC182">
        <v>77</v>
      </c>
      <c r="BD182">
        <v>76</v>
      </c>
      <c r="BE182">
        <v>4</v>
      </c>
      <c r="BF182" t="s">
        <v>29</v>
      </c>
      <c r="BG182">
        <v>9</v>
      </c>
      <c r="BH182">
        <v>25</v>
      </c>
      <c r="BI182">
        <v>0.36399999999999999</v>
      </c>
      <c r="BJ182" t="s">
        <v>270</v>
      </c>
      <c r="BK182">
        <v>0.48</v>
      </c>
      <c r="BL182">
        <v>0.3659</v>
      </c>
      <c r="BM182">
        <v>1.36</v>
      </c>
      <c r="BN182">
        <v>1.32</v>
      </c>
    </row>
    <row r="183" spans="1:66" x14ac:dyDescent="0.25">
      <c r="A183">
        <v>1</v>
      </c>
      <c r="B183">
        <v>2</v>
      </c>
      <c r="C183">
        <v>2</v>
      </c>
      <c r="D183" s="56">
        <v>2.5300000000000002</v>
      </c>
      <c r="E183" s="56">
        <v>3.2250000000000001</v>
      </c>
      <c r="F183" s="56">
        <v>2.9575000000000005</v>
      </c>
      <c r="J183">
        <v>2.5499999999999998</v>
      </c>
      <c r="K183">
        <v>3.25</v>
      </c>
      <c r="L183">
        <v>3</v>
      </c>
      <c r="M183">
        <v>2.5</v>
      </c>
      <c r="N183">
        <v>3.2</v>
      </c>
      <c r="O183">
        <v>2.95</v>
      </c>
      <c r="P183">
        <v>2.57</v>
      </c>
      <c r="Q183">
        <v>3.2</v>
      </c>
      <c r="R183">
        <v>2.93</v>
      </c>
      <c r="S183">
        <v>0.39334341906202724</v>
      </c>
      <c r="T183">
        <v>0.27231467473524962</v>
      </c>
      <c r="U183">
        <v>0.33434190620272314</v>
      </c>
      <c r="V183">
        <v>0.38041507152931697</v>
      </c>
      <c r="W183">
        <v>0.29719927463227891</v>
      </c>
      <c r="X183">
        <v>0.32238565383840417</v>
      </c>
      <c r="Y183">
        <v>0.37309839594748928</v>
      </c>
      <c r="Z183">
        <v>0.2996446492453273</v>
      </c>
      <c r="AA183">
        <v>0.32725695480718342</v>
      </c>
      <c r="AB183">
        <v>0.38225482950715484</v>
      </c>
      <c r="AC183">
        <v>0.29078242493971124</v>
      </c>
      <c r="AD183">
        <v>0.32696274555313398</v>
      </c>
      <c r="AE183" t="s">
        <v>142</v>
      </c>
      <c r="AF183" t="s">
        <v>141</v>
      </c>
      <c r="AG183">
        <v>328.38</v>
      </c>
      <c r="AH183">
        <v>26</v>
      </c>
      <c r="AI183">
        <v>14</v>
      </c>
      <c r="AJ183">
        <v>8</v>
      </c>
      <c r="AK183">
        <v>25.8</v>
      </c>
      <c r="AL183">
        <v>11</v>
      </c>
      <c r="AM183">
        <v>9770</v>
      </c>
      <c r="AN183">
        <v>81</v>
      </c>
      <c r="AO183">
        <v>81</v>
      </c>
      <c r="AP183">
        <v>81</v>
      </c>
      <c r="AQ183">
        <v>4.5</v>
      </c>
      <c r="AR183" t="s">
        <v>29</v>
      </c>
      <c r="AS183" t="s">
        <v>153</v>
      </c>
      <c r="AT183" t="s">
        <v>141</v>
      </c>
      <c r="AU183">
        <v>128.25</v>
      </c>
      <c r="AV183">
        <v>26</v>
      </c>
      <c r="AW183">
        <v>8</v>
      </c>
      <c r="AX183">
        <v>4</v>
      </c>
      <c r="AY183">
        <v>26.4</v>
      </c>
      <c r="AZ183">
        <v>138</v>
      </c>
      <c r="BA183">
        <v>4059</v>
      </c>
      <c r="BB183">
        <v>80</v>
      </c>
      <c r="BC183">
        <v>77</v>
      </c>
      <c r="BD183">
        <v>76</v>
      </c>
      <c r="BE183">
        <v>4</v>
      </c>
      <c r="BF183" t="s">
        <v>29</v>
      </c>
      <c r="BG183">
        <v>9</v>
      </c>
      <c r="BH183">
        <v>25</v>
      </c>
      <c r="BI183">
        <v>0.36399999999999999</v>
      </c>
      <c r="BJ183" t="s">
        <v>270</v>
      </c>
      <c r="BK183">
        <v>0.36</v>
      </c>
      <c r="BL183">
        <v>0.2195</v>
      </c>
      <c r="BM183">
        <v>1.24</v>
      </c>
      <c r="BN183">
        <v>1.07</v>
      </c>
    </row>
    <row r="184" spans="1:66" x14ac:dyDescent="0.25">
      <c r="A184">
        <v>3</v>
      </c>
      <c r="B184">
        <v>-1</v>
      </c>
      <c r="C184">
        <v>1</v>
      </c>
      <c r="D184" s="56">
        <v>5.7750000000000004</v>
      </c>
      <c r="E184" s="56">
        <v>3.9249999999999998</v>
      </c>
      <c r="F184" s="56">
        <v>1.62</v>
      </c>
      <c r="J184">
        <v>6</v>
      </c>
      <c r="K184">
        <v>3.95</v>
      </c>
      <c r="L184">
        <v>1.61</v>
      </c>
      <c r="M184">
        <v>5.5</v>
      </c>
      <c r="N184">
        <v>4</v>
      </c>
      <c r="O184">
        <v>1.59</v>
      </c>
      <c r="P184">
        <v>5.5</v>
      </c>
      <c r="Q184">
        <v>3.8</v>
      </c>
      <c r="R184">
        <v>1.66</v>
      </c>
      <c r="S184">
        <v>0.17070462783337589</v>
      </c>
      <c r="T184">
        <v>0.19312905725963331</v>
      </c>
      <c r="U184">
        <v>0.63616631490699083</v>
      </c>
      <c r="V184">
        <v>0.17140547096078695</v>
      </c>
      <c r="W184">
        <v>0.23568252257108208</v>
      </c>
      <c r="X184">
        <v>0.59291200646813091</v>
      </c>
      <c r="Y184">
        <v>0.17359238262975399</v>
      </c>
      <c r="Z184">
        <v>0.25125213275359132</v>
      </c>
      <c r="AA184">
        <v>0.57515548461665478</v>
      </c>
      <c r="AB184">
        <v>0.16854693004490334</v>
      </c>
      <c r="AC184">
        <v>0.23120326715935191</v>
      </c>
      <c r="AD184">
        <v>0.6002498027957448</v>
      </c>
      <c r="AE184" t="s">
        <v>154</v>
      </c>
      <c r="AF184" t="s">
        <v>141</v>
      </c>
      <c r="AG184">
        <v>61.55</v>
      </c>
      <c r="AH184">
        <v>28</v>
      </c>
      <c r="AI184">
        <v>5</v>
      </c>
      <c r="AJ184">
        <v>3</v>
      </c>
      <c r="AK184">
        <v>27.8</v>
      </c>
      <c r="AL184">
        <v>139</v>
      </c>
      <c r="AM184">
        <v>4059</v>
      </c>
      <c r="AN184">
        <v>76</v>
      </c>
      <c r="AO184">
        <v>76</v>
      </c>
      <c r="AP184">
        <v>73</v>
      </c>
      <c r="AQ184">
        <v>4</v>
      </c>
      <c r="AR184" t="s">
        <v>43</v>
      </c>
      <c r="AS184" t="s">
        <v>144</v>
      </c>
      <c r="AT184" t="s">
        <v>141</v>
      </c>
      <c r="AU184">
        <v>1080</v>
      </c>
      <c r="AV184">
        <v>34</v>
      </c>
      <c r="AW184">
        <v>20</v>
      </c>
      <c r="AX184">
        <v>21</v>
      </c>
      <c r="AY184">
        <v>26.1</v>
      </c>
      <c r="AZ184">
        <v>18</v>
      </c>
      <c r="BA184">
        <v>8949</v>
      </c>
      <c r="BB184">
        <v>85</v>
      </c>
      <c r="BC184">
        <v>87</v>
      </c>
      <c r="BD184">
        <v>85</v>
      </c>
      <c r="BE184">
        <v>5</v>
      </c>
      <c r="BF184" t="s">
        <v>28</v>
      </c>
      <c r="BG184">
        <v>9</v>
      </c>
      <c r="BH184">
        <v>25</v>
      </c>
      <c r="BI184">
        <v>0.36399999999999999</v>
      </c>
      <c r="BJ184" t="s">
        <v>270</v>
      </c>
      <c r="BK184">
        <v>0.24390000000000001</v>
      </c>
      <c r="BL184">
        <v>0.62749999999999995</v>
      </c>
      <c r="BM184">
        <v>0.9</v>
      </c>
      <c r="BN184">
        <v>1.94</v>
      </c>
    </row>
    <row r="185" spans="1:66" x14ac:dyDescent="0.25">
      <c r="A185">
        <v>3</v>
      </c>
      <c r="B185">
        <v>-1</v>
      </c>
      <c r="C185">
        <v>1</v>
      </c>
      <c r="D185" s="56">
        <v>3.4625000000000004</v>
      </c>
      <c r="E185" s="56">
        <v>3.6</v>
      </c>
      <c r="F185" s="56">
        <v>2.085</v>
      </c>
      <c r="J185">
        <v>3.45</v>
      </c>
      <c r="K185">
        <v>3.6</v>
      </c>
      <c r="L185">
        <v>2.06</v>
      </c>
      <c r="M185">
        <v>3.5</v>
      </c>
      <c r="N185">
        <v>3.6</v>
      </c>
      <c r="O185">
        <v>2.1</v>
      </c>
      <c r="P185">
        <v>3.4</v>
      </c>
      <c r="Q185">
        <v>3.55</v>
      </c>
      <c r="R185">
        <v>2.1</v>
      </c>
      <c r="S185">
        <v>0.28500079710056064</v>
      </c>
      <c r="T185">
        <v>0.23769204270675287</v>
      </c>
      <c r="U185">
        <v>0.47730716019268649</v>
      </c>
      <c r="V185">
        <v>0.27480916030534358</v>
      </c>
      <c r="W185">
        <v>0.26717557251908403</v>
      </c>
      <c r="X185">
        <v>0.45801526717557256</v>
      </c>
      <c r="Y185">
        <v>0.2795799737483593</v>
      </c>
      <c r="Z185">
        <v>0.26776673542096385</v>
      </c>
      <c r="AA185">
        <v>0.4526532908306769</v>
      </c>
      <c r="AB185">
        <v>0.27849869268475713</v>
      </c>
      <c r="AC185">
        <v>0.25898851495941783</v>
      </c>
      <c r="AD185">
        <v>0.4625127923558251</v>
      </c>
      <c r="AE185" t="s">
        <v>60</v>
      </c>
      <c r="AF185" t="s">
        <v>26</v>
      </c>
      <c r="AG185">
        <v>94.35</v>
      </c>
      <c r="AH185">
        <v>32</v>
      </c>
      <c r="AI185">
        <v>11</v>
      </c>
      <c r="AJ185">
        <v>5</v>
      </c>
      <c r="AK185">
        <v>25.3</v>
      </c>
      <c r="AL185">
        <v>299</v>
      </c>
      <c r="AM185">
        <v>2454</v>
      </c>
      <c r="AN185">
        <v>76</v>
      </c>
      <c r="AO185">
        <v>75</v>
      </c>
      <c r="AP185">
        <v>73</v>
      </c>
      <c r="AQ185">
        <v>4</v>
      </c>
      <c r="AR185" t="s">
        <v>46</v>
      </c>
      <c r="AS185" t="s">
        <v>61</v>
      </c>
      <c r="AT185" t="s">
        <v>26</v>
      </c>
      <c r="AU185">
        <v>73.7</v>
      </c>
      <c r="AV185">
        <v>32</v>
      </c>
      <c r="AW185">
        <v>16</v>
      </c>
      <c r="AX185">
        <v>2</v>
      </c>
      <c r="AY185">
        <v>23.9</v>
      </c>
      <c r="AZ185">
        <v>671</v>
      </c>
      <c r="BA185">
        <v>828</v>
      </c>
      <c r="BB185">
        <v>73</v>
      </c>
      <c r="BC185">
        <v>70</v>
      </c>
      <c r="BD185">
        <v>69</v>
      </c>
      <c r="BE185">
        <v>3.5</v>
      </c>
      <c r="BF185" t="s">
        <v>29</v>
      </c>
      <c r="BG185">
        <v>9</v>
      </c>
      <c r="BH185">
        <v>25</v>
      </c>
      <c r="BI185">
        <v>0.36399999999999999</v>
      </c>
      <c r="BJ185" t="s">
        <v>273</v>
      </c>
      <c r="BK185">
        <v>0.27779999999999999</v>
      </c>
      <c r="BL185">
        <v>0.51349999999999996</v>
      </c>
      <c r="BM185">
        <v>1.56</v>
      </c>
      <c r="BN185">
        <v>1.78</v>
      </c>
    </row>
    <row r="186" spans="1:66" x14ac:dyDescent="0.25">
      <c r="A186">
        <v>3</v>
      </c>
      <c r="B186">
        <v>-1</v>
      </c>
      <c r="C186">
        <v>3</v>
      </c>
      <c r="D186" s="56">
        <v>1.72675</v>
      </c>
      <c r="E186" s="56">
        <v>3.8624999999999998</v>
      </c>
      <c r="F186" s="56">
        <v>4.8875000000000002</v>
      </c>
      <c r="J186">
        <v>1.71</v>
      </c>
      <c r="K186">
        <v>3.75</v>
      </c>
      <c r="L186">
        <v>5</v>
      </c>
      <c r="M186">
        <v>1.7270000000000001</v>
      </c>
      <c r="N186">
        <v>4</v>
      </c>
      <c r="O186">
        <v>4.75</v>
      </c>
      <c r="P186">
        <v>1.73</v>
      </c>
      <c r="Q186">
        <v>3.9</v>
      </c>
      <c r="R186">
        <v>4.8</v>
      </c>
      <c r="S186">
        <v>0.58719445020665439</v>
      </c>
      <c r="T186">
        <v>0.21198504782266978</v>
      </c>
      <c r="U186">
        <v>0.2008205019706758</v>
      </c>
      <c r="V186">
        <v>0.55700098940965226</v>
      </c>
      <c r="W186">
        <v>0.24048517717761736</v>
      </c>
      <c r="X186">
        <v>0.20251383341273038</v>
      </c>
      <c r="Y186">
        <v>0.55432175535222539</v>
      </c>
      <c r="Z186">
        <v>0.24589144532291021</v>
      </c>
      <c r="AA186">
        <v>0.19978679932486454</v>
      </c>
      <c r="AB186">
        <v>0.56306483150035169</v>
      </c>
      <c r="AC186">
        <v>0.23797931942272052</v>
      </c>
      <c r="AD186">
        <v>0.19895584907692779</v>
      </c>
      <c r="AE186" t="s">
        <v>52</v>
      </c>
      <c r="AF186" t="s">
        <v>26</v>
      </c>
      <c r="AG186">
        <v>294.73</v>
      </c>
      <c r="AH186">
        <v>35</v>
      </c>
      <c r="AI186">
        <v>19</v>
      </c>
      <c r="AJ186">
        <v>10</v>
      </c>
      <c r="AK186">
        <v>24.9</v>
      </c>
      <c r="AL186">
        <v>76</v>
      </c>
      <c r="AM186">
        <v>5412</v>
      </c>
      <c r="AN186">
        <v>78</v>
      </c>
      <c r="AO186">
        <v>79</v>
      </c>
      <c r="AP186">
        <v>78</v>
      </c>
      <c r="AQ186">
        <v>4.5</v>
      </c>
      <c r="AR186" t="s">
        <v>29</v>
      </c>
      <c r="AS186" t="s">
        <v>57</v>
      </c>
      <c r="AT186" t="s">
        <v>26</v>
      </c>
      <c r="AU186">
        <v>117.95</v>
      </c>
      <c r="AV186">
        <v>36</v>
      </c>
      <c r="AW186">
        <v>17</v>
      </c>
      <c r="AX186">
        <v>6</v>
      </c>
      <c r="AY186">
        <v>24</v>
      </c>
      <c r="AZ186">
        <v>234</v>
      </c>
      <c r="BA186">
        <v>2973</v>
      </c>
      <c r="BB186">
        <v>75</v>
      </c>
      <c r="BC186">
        <v>73</v>
      </c>
      <c r="BD186">
        <v>75</v>
      </c>
      <c r="BE186">
        <v>4</v>
      </c>
      <c r="BF186" t="s">
        <v>46</v>
      </c>
      <c r="BG186">
        <v>9</v>
      </c>
      <c r="BH186">
        <v>25</v>
      </c>
      <c r="BI186">
        <v>0.36399999999999999</v>
      </c>
      <c r="BJ186" t="s">
        <v>273</v>
      </c>
      <c r="BK186">
        <v>0.54759999999999998</v>
      </c>
      <c r="BL186">
        <v>0.31430000000000002</v>
      </c>
      <c r="BM186">
        <v>1.76</v>
      </c>
      <c r="BN186">
        <v>1.26</v>
      </c>
    </row>
    <row r="187" spans="1:66" x14ac:dyDescent="0.25">
      <c r="A187">
        <v>1</v>
      </c>
      <c r="B187">
        <v>1</v>
      </c>
      <c r="C187">
        <v>3</v>
      </c>
      <c r="D187" s="56">
        <v>3.9749999999999996</v>
      </c>
      <c r="E187" s="56">
        <v>4.2082499999999996</v>
      </c>
      <c r="F187" s="56">
        <v>1.8022500000000001</v>
      </c>
      <c r="J187">
        <v>4</v>
      </c>
      <c r="K187">
        <v>4.0999999999999996</v>
      </c>
      <c r="L187">
        <v>1.79</v>
      </c>
      <c r="M187">
        <v>4</v>
      </c>
      <c r="N187">
        <v>4.3330000000000002</v>
      </c>
      <c r="O187">
        <v>1.7689999999999999</v>
      </c>
      <c r="P187">
        <v>3.8</v>
      </c>
      <c r="Q187">
        <v>4.2</v>
      </c>
      <c r="R187">
        <v>1.83</v>
      </c>
      <c r="S187">
        <v>0.24682100077814731</v>
      </c>
      <c r="T187">
        <v>0.20162369022040622</v>
      </c>
      <c r="U187">
        <v>0.55155530900144645</v>
      </c>
      <c r="V187">
        <v>0.23898789006118748</v>
      </c>
      <c r="W187">
        <v>0.22062117707010151</v>
      </c>
      <c r="X187">
        <v>0.54039093286871109</v>
      </c>
      <c r="Y187">
        <v>0.25117647058823528</v>
      </c>
      <c r="Z187">
        <v>0.22725490196078432</v>
      </c>
      <c r="AA187">
        <v>0.52156862745098032</v>
      </c>
      <c r="AB187">
        <v>0.24336284100652439</v>
      </c>
      <c r="AC187">
        <v>0.22008390723270177</v>
      </c>
      <c r="AD187">
        <v>0.53655325176077384</v>
      </c>
      <c r="AE187" t="s">
        <v>51</v>
      </c>
      <c r="AF187" t="s">
        <v>26</v>
      </c>
      <c r="AG187">
        <v>199.33</v>
      </c>
      <c r="AH187">
        <v>33</v>
      </c>
      <c r="AI187">
        <v>22</v>
      </c>
      <c r="AJ187">
        <v>9</v>
      </c>
      <c r="AK187">
        <v>25.9</v>
      </c>
      <c r="AL187">
        <v>45</v>
      </c>
      <c r="AM187">
        <v>6714</v>
      </c>
      <c r="AN187">
        <v>78</v>
      </c>
      <c r="AO187">
        <v>77</v>
      </c>
      <c r="AP187">
        <v>77</v>
      </c>
      <c r="AQ187">
        <v>4</v>
      </c>
      <c r="AR187" t="s">
        <v>46</v>
      </c>
      <c r="AS187" t="s">
        <v>31</v>
      </c>
      <c r="AT187" t="s">
        <v>26</v>
      </c>
      <c r="AU187">
        <v>925.24</v>
      </c>
      <c r="AV187">
        <v>31</v>
      </c>
      <c r="AW187">
        <v>15</v>
      </c>
      <c r="AX187">
        <v>15</v>
      </c>
      <c r="AY187">
        <v>25.3</v>
      </c>
      <c r="AZ187">
        <v>6</v>
      </c>
      <c r="BA187">
        <v>10885</v>
      </c>
      <c r="BB187">
        <v>87</v>
      </c>
      <c r="BC187">
        <v>85</v>
      </c>
      <c r="BD187">
        <v>81</v>
      </c>
      <c r="BE187">
        <v>5</v>
      </c>
      <c r="BF187" t="s">
        <v>29</v>
      </c>
      <c r="BG187">
        <v>9</v>
      </c>
      <c r="BH187">
        <v>25</v>
      </c>
      <c r="BI187">
        <v>0.36399999999999999</v>
      </c>
      <c r="BJ187" t="s">
        <v>273</v>
      </c>
      <c r="BK187">
        <v>0.47270000000000001</v>
      </c>
      <c r="BL187">
        <v>0.83330000000000004</v>
      </c>
      <c r="BM187">
        <v>1.8</v>
      </c>
      <c r="BN187">
        <v>3</v>
      </c>
    </row>
    <row r="188" spans="1:66" x14ac:dyDescent="0.25">
      <c r="A188">
        <v>3</v>
      </c>
      <c r="B188">
        <v>-1</v>
      </c>
      <c r="C188">
        <v>1</v>
      </c>
      <c r="D188" s="56">
        <v>2.4874999999999998</v>
      </c>
      <c r="E188" s="56">
        <v>3.15</v>
      </c>
      <c r="F188" s="56">
        <v>3.1125000000000003</v>
      </c>
      <c r="J188">
        <v>2.4500000000000002</v>
      </c>
      <c r="K188">
        <v>3.1</v>
      </c>
      <c r="L188">
        <v>3.15</v>
      </c>
      <c r="M188">
        <v>2.5</v>
      </c>
      <c r="N188">
        <v>3.2</v>
      </c>
      <c r="O188">
        <v>3.1</v>
      </c>
      <c r="P188">
        <v>2.52</v>
      </c>
      <c r="Q188">
        <v>3.15</v>
      </c>
      <c r="R188">
        <v>3</v>
      </c>
      <c r="S188">
        <v>0.40358744394618828</v>
      </c>
      <c r="T188">
        <v>0.28251121076233182</v>
      </c>
      <c r="U188">
        <v>0.31390134529147978</v>
      </c>
      <c r="V188">
        <v>0.3864433190494741</v>
      </c>
      <c r="W188">
        <v>0.30190884300740162</v>
      </c>
      <c r="X188">
        <v>0.31164783794312428</v>
      </c>
      <c r="Y188">
        <v>0.37878787878787873</v>
      </c>
      <c r="Z188">
        <v>0.30303030303030298</v>
      </c>
      <c r="AA188">
        <v>0.31818181818181818</v>
      </c>
      <c r="AB188">
        <v>0.38977319072310379</v>
      </c>
      <c r="AC188">
        <v>0.29867844795794624</v>
      </c>
      <c r="AD188">
        <v>0.31154836131894992</v>
      </c>
      <c r="AE188" t="s">
        <v>55</v>
      </c>
      <c r="AF188" t="s">
        <v>26</v>
      </c>
      <c r="AG188">
        <v>108.3</v>
      </c>
      <c r="AH188">
        <v>28</v>
      </c>
      <c r="AI188">
        <v>11</v>
      </c>
      <c r="AJ188">
        <v>8</v>
      </c>
      <c r="AK188">
        <v>25.8</v>
      </c>
      <c r="AL188">
        <v>213</v>
      </c>
      <c r="AM188">
        <v>3138</v>
      </c>
      <c r="AN188">
        <v>76</v>
      </c>
      <c r="AO188">
        <v>73</v>
      </c>
      <c r="AP188">
        <v>75</v>
      </c>
      <c r="AQ188">
        <v>3.5</v>
      </c>
      <c r="AR188" t="s">
        <v>29</v>
      </c>
      <c r="AS188" t="s">
        <v>58</v>
      </c>
      <c r="AT188" t="s">
        <v>26</v>
      </c>
      <c r="AU188">
        <v>59.55</v>
      </c>
      <c r="AV188">
        <v>28</v>
      </c>
      <c r="AW188">
        <v>8</v>
      </c>
      <c r="AX188">
        <v>3</v>
      </c>
      <c r="AY188">
        <v>26.6</v>
      </c>
      <c r="AZ188">
        <v>243</v>
      </c>
      <c r="BA188">
        <v>2873</v>
      </c>
      <c r="BB188">
        <v>73</v>
      </c>
      <c r="BC188">
        <v>71</v>
      </c>
      <c r="BD188">
        <v>73</v>
      </c>
      <c r="BE188">
        <v>3.5</v>
      </c>
      <c r="BF188" t="s">
        <v>46</v>
      </c>
      <c r="BG188">
        <v>9</v>
      </c>
      <c r="BH188">
        <v>25</v>
      </c>
      <c r="BI188">
        <v>0.36399999999999999</v>
      </c>
      <c r="BJ188" t="s">
        <v>273</v>
      </c>
      <c r="BK188">
        <v>0.38890000000000002</v>
      </c>
      <c r="BL188">
        <v>0.3947</v>
      </c>
      <c r="BM188">
        <v>1.39</v>
      </c>
      <c r="BN188">
        <v>1.37</v>
      </c>
    </row>
    <row r="189" spans="1:66" x14ac:dyDescent="0.25">
      <c r="A189">
        <v>3</v>
      </c>
      <c r="B189">
        <v>-3</v>
      </c>
      <c r="C189">
        <v>4</v>
      </c>
      <c r="D189" s="56">
        <v>9.85</v>
      </c>
      <c r="E189" s="56">
        <v>5.7375000000000007</v>
      </c>
      <c r="F189" s="56">
        <v>1.30125</v>
      </c>
      <c r="J189">
        <v>9.5</v>
      </c>
      <c r="K189">
        <v>5.6</v>
      </c>
      <c r="L189">
        <v>1.3</v>
      </c>
      <c r="M189">
        <v>11</v>
      </c>
      <c r="N189">
        <v>6</v>
      </c>
      <c r="O189">
        <v>1.2849999999999999</v>
      </c>
      <c r="P189">
        <v>9.4</v>
      </c>
      <c r="Q189">
        <v>5.6</v>
      </c>
      <c r="R189">
        <v>1.3</v>
      </c>
      <c r="S189">
        <v>0.10619497155208035</v>
      </c>
      <c r="T189">
        <v>0.11776485172117861</v>
      </c>
      <c r="U189">
        <v>0.77604017672674097</v>
      </c>
      <c r="V189">
        <v>8.7768228129091019E-2</v>
      </c>
      <c r="W189">
        <v>0.16090841823666685</v>
      </c>
      <c r="X189">
        <v>0.75132335363424219</v>
      </c>
      <c r="Y189">
        <v>0.10091488771832548</v>
      </c>
      <c r="Z189">
        <v>0.16939284724147491</v>
      </c>
      <c r="AA189">
        <v>0.72969226504019957</v>
      </c>
      <c r="AB189">
        <v>9.9102439380474167E-2</v>
      </c>
      <c r="AC189">
        <v>0.15395352348082131</v>
      </c>
      <c r="AD189">
        <v>0.74694403713870439</v>
      </c>
      <c r="AE189" t="s">
        <v>53</v>
      </c>
      <c r="AF189" t="s">
        <v>26</v>
      </c>
      <c r="AG189">
        <v>195.83</v>
      </c>
      <c r="AH189">
        <v>29</v>
      </c>
      <c r="AI189">
        <v>18</v>
      </c>
      <c r="AJ189">
        <v>11</v>
      </c>
      <c r="AK189">
        <v>25.3</v>
      </c>
      <c r="AL189">
        <v>152</v>
      </c>
      <c r="AM189">
        <v>3938</v>
      </c>
      <c r="AN189">
        <v>76</v>
      </c>
      <c r="AO189">
        <v>77</v>
      </c>
      <c r="AP189">
        <v>76</v>
      </c>
      <c r="AQ189">
        <v>4</v>
      </c>
      <c r="AR189" t="s">
        <v>29</v>
      </c>
      <c r="AS189" t="s">
        <v>50</v>
      </c>
      <c r="AT189" t="s">
        <v>26</v>
      </c>
      <c r="AU189">
        <v>559.54999999999995</v>
      </c>
      <c r="AV189">
        <v>29</v>
      </c>
      <c r="AW189">
        <v>17</v>
      </c>
      <c r="AX189">
        <v>13</v>
      </c>
      <c r="AY189">
        <v>25</v>
      </c>
      <c r="AZ189">
        <v>36</v>
      </c>
      <c r="BA189">
        <v>7276</v>
      </c>
      <c r="BB189">
        <v>83</v>
      </c>
      <c r="BC189">
        <v>83</v>
      </c>
      <c r="BD189">
        <v>82</v>
      </c>
      <c r="BE189">
        <v>4.5</v>
      </c>
      <c r="BF189" t="s">
        <v>29</v>
      </c>
      <c r="BG189">
        <v>9</v>
      </c>
      <c r="BH189">
        <v>25</v>
      </c>
      <c r="BI189">
        <v>0.36399999999999999</v>
      </c>
      <c r="BJ189" t="s">
        <v>273</v>
      </c>
      <c r="BK189">
        <v>0.31580000000000003</v>
      </c>
      <c r="BL189">
        <v>0.60870000000000002</v>
      </c>
      <c r="BM189">
        <v>1.29</v>
      </c>
      <c r="BN189">
        <v>2.2200000000000002</v>
      </c>
    </row>
    <row r="190" spans="1:66" x14ac:dyDescent="0.25">
      <c r="A190">
        <v>2</v>
      </c>
      <c r="B190">
        <v>0</v>
      </c>
      <c r="C190">
        <v>0</v>
      </c>
      <c r="D190" s="56">
        <v>2.41</v>
      </c>
      <c r="E190" s="56">
        <v>2.7833333333333332</v>
      </c>
      <c r="F190" s="56">
        <v>3.6</v>
      </c>
      <c r="J190">
        <v>2.35</v>
      </c>
      <c r="K190">
        <v>2.75</v>
      </c>
      <c r="L190">
        <v>3.8</v>
      </c>
      <c r="M190">
        <v>2.4500000000000002</v>
      </c>
      <c r="N190">
        <v>2.8</v>
      </c>
      <c r="O190">
        <v>3.4</v>
      </c>
      <c r="P190">
        <v>2.4300000000000002</v>
      </c>
      <c r="Q190">
        <v>2.8</v>
      </c>
      <c r="R190">
        <v>3.6</v>
      </c>
      <c r="S190">
        <v>0.42571470033376874</v>
      </c>
      <c r="T190">
        <v>0.31101436656508491</v>
      </c>
      <c r="U190">
        <v>0.26327093310114646</v>
      </c>
      <c r="V190">
        <v>0.38526912181303113</v>
      </c>
      <c r="W190">
        <v>0.33711048158640228</v>
      </c>
      <c r="X190">
        <v>0.27762039660056659</v>
      </c>
      <c r="Y190">
        <v>0.39325842696629215</v>
      </c>
      <c r="Z190">
        <v>0.3412921348314607</v>
      </c>
      <c r="AA190">
        <v>0.2654494382022472</v>
      </c>
      <c r="AB190">
        <v>0.40141408303769732</v>
      </c>
      <c r="AC190">
        <v>0.32980566099431591</v>
      </c>
      <c r="AD190">
        <v>0.26878025596798677</v>
      </c>
      <c r="AE190" t="s">
        <v>71</v>
      </c>
      <c r="AF190" t="s">
        <v>63</v>
      </c>
      <c r="AG190">
        <v>12.88</v>
      </c>
      <c r="AH190">
        <v>35</v>
      </c>
      <c r="AI190">
        <v>4</v>
      </c>
      <c r="AJ190">
        <v>0</v>
      </c>
      <c r="AK190">
        <v>26.7</v>
      </c>
      <c r="AL190">
        <v>205</v>
      </c>
      <c r="AM190">
        <v>3223</v>
      </c>
      <c r="AN190">
        <v>73</v>
      </c>
      <c r="AO190">
        <v>66</v>
      </c>
      <c r="AP190">
        <v>65</v>
      </c>
      <c r="AQ190">
        <v>2.5</v>
      </c>
      <c r="AR190" t="s">
        <v>29</v>
      </c>
      <c r="AS190" t="s">
        <v>73</v>
      </c>
      <c r="AT190" t="s">
        <v>63</v>
      </c>
      <c r="AU190">
        <v>10.88</v>
      </c>
      <c r="AV190">
        <v>26</v>
      </c>
      <c r="AW190">
        <v>4</v>
      </c>
      <c r="AX190">
        <v>2</v>
      </c>
      <c r="AY190">
        <v>26.5</v>
      </c>
      <c r="AZ190">
        <v>237</v>
      </c>
      <c r="BA190">
        <v>2952</v>
      </c>
      <c r="BB190">
        <v>69</v>
      </c>
      <c r="BC190">
        <v>68</v>
      </c>
      <c r="BD190">
        <v>68</v>
      </c>
      <c r="BE190">
        <v>2.5</v>
      </c>
      <c r="BF190" t="s">
        <v>29</v>
      </c>
      <c r="BG190">
        <v>11</v>
      </c>
      <c r="BH190">
        <v>27</v>
      </c>
      <c r="BI190">
        <v>0.42899999999999999</v>
      </c>
      <c r="BJ190" t="s">
        <v>63</v>
      </c>
      <c r="BK190">
        <v>0.3846</v>
      </c>
      <c r="BL190">
        <v>0.31819999999999998</v>
      </c>
      <c r="BM190">
        <v>1.42</v>
      </c>
      <c r="BN190">
        <v>1.23</v>
      </c>
    </row>
    <row r="191" spans="1:66" x14ac:dyDescent="0.25">
      <c r="A191">
        <v>2</v>
      </c>
      <c r="B191">
        <v>0</v>
      </c>
      <c r="C191">
        <v>0</v>
      </c>
      <c r="D191" s="56">
        <v>1.7266666666666666</v>
      </c>
      <c r="E191" s="56">
        <v>3.2166666666666668</v>
      </c>
      <c r="F191" s="56">
        <v>6.2166666666666659</v>
      </c>
      <c r="J191">
        <v>1.72</v>
      </c>
      <c r="K191">
        <v>3.25</v>
      </c>
      <c r="L191">
        <v>6.2</v>
      </c>
      <c r="M191">
        <v>1.73</v>
      </c>
      <c r="N191">
        <v>3.15</v>
      </c>
      <c r="O191">
        <v>6.25</v>
      </c>
      <c r="P191">
        <v>1.73</v>
      </c>
      <c r="Q191">
        <v>3.25</v>
      </c>
      <c r="R191">
        <v>6.2</v>
      </c>
      <c r="S191">
        <v>0.60171364435804875</v>
      </c>
      <c r="T191">
        <v>0.23135934462649266</v>
      </c>
      <c r="U191">
        <v>0.16692701101545865</v>
      </c>
      <c r="V191">
        <v>0.54764322174160984</v>
      </c>
      <c r="W191">
        <v>0.30076913448031273</v>
      </c>
      <c r="X191">
        <v>0.1515876437780776</v>
      </c>
      <c r="Y191">
        <v>0.55207748263627276</v>
      </c>
      <c r="Z191">
        <v>0.2938750907571544</v>
      </c>
      <c r="AA191">
        <v>0.15404742660657286</v>
      </c>
      <c r="AB191">
        <v>0.56714478291197723</v>
      </c>
      <c r="AC191">
        <v>0.27533452328798658</v>
      </c>
      <c r="AD191">
        <v>0.15752069380003636</v>
      </c>
      <c r="AE191" t="s">
        <v>72</v>
      </c>
      <c r="AF191" t="s">
        <v>63</v>
      </c>
      <c r="AG191">
        <v>13.68</v>
      </c>
      <c r="AH191">
        <v>31</v>
      </c>
      <c r="AI191">
        <v>7</v>
      </c>
      <c r="AJ191">
        <v>0</v>
      </c>
      <c r="AK191">
        <v>27.2</v>
      </c>
      <c r="AL191">
        <v>209</v>
      </c>
      <c r="AM191">
        <v>3175</v>
      </c>
      <c r="AN191">
        <v>70</v>
      </c>
      <c r="AO191">
        <v>68</v>
      </c>
      <c r="AP191">
        <v>68</v>
      </c>
      <c r="AQ191">
        <v>2.5</v>
      </c>
      <c r="AR191" t="s">
        <v>46</v>
      </c>
      <c r="AS191" t="s">
        <v>65</v>
      </c>
      <c r="AT191" t="s">
        <v>63</v>
      </c>
      <c r="AU191">
        <v>12.28</v>
      </c>
      <c r="AV191">
        <v>29</v>
      </c>
      <c r="AW191">
        <v>2</v>
      </c>
      <c r="AX191">
        <v>0</v>
      </c>
      <c r="AY191">
        <v>25.3</v>
      </c>
      <c r="AZ191">
        <v>91</v>
      </c>
      <c r="BA191">
        <v>5087</v>
      </c>
      <c r="BB191">
        <v>70</v>
      </c>
      <c r="BC191">
        <v>67</v>
      </c>
      <c r="BD191">
        <v>68</v>
      </c>
      <c r="BE191">
        <v>2.5</v>
      </c>
      <c r="BF191" t="s">
        <v>29</v>
      </c>
      <c r="BG191">
        <v>21</v>
      </c>
      <c r="BH191">
        <v>39</v>
      </c>
      <c r="BI191">
        <v>0.51700000000000002</v>
      </c>
      <c r="BJ191" t="s">
        <v>63</v>
      </c>
      <c r="BK191">
        <v>0.51719999999999999</v>
      </c>
      <c r="BL191">
        <v>0.35289999999999999</v>
      </c>
      <c r="BM191">
        <v>1.55</v>
      </c>
      <c r="BN191">
        <v>1.24</v>
      </c>
    </row>
    <row r="192" spans="1:66" x14ac:dyDescent="0.25">
      <c r="A192">
        <v>3</v>
      </c>
      <c r="B192">
        <v>-1</v>
      </c>
      <c r="C192">
        <v>1</v>
      </c>
      <c r="D192" s="56">
        <v>6.2</v>
      </c>
      <c r="E192" s="56">
        <v>4.166666666666667</v>
      </c>
      <c r="F192" s="56">
        <v>1.55</v>
      </c>
      <c r="J192">
        <v>6.5</v>
      </c>
      <c r="K192">
        <v>4.4000000000000004</v>
      </c>
      <c r="L192">
        <v>1.52</v>
      </c>
      <c r="M192">
        <v>6</v>
      </c>
      <c r="N192">
        <v>3.9</v>
      </c>
      <c r="O192">
        <v>1.58</v>
      </c>
      <c r="P192">
        <v>6.1</v>
      </c>
      <c r="Q192">
        <v>4.2</v>
      </c>
      <c r="R192">
        <v>1.55</v>
      </c>
      <c r="S192">
        <v>0.15741896544629019</v>
      </c>
      <c r="T192">
        <v>0.16940782705312687</v>
      </c>
      <c r="U192">
        <v>0.67317320750058307</v>
      </c>
      <c r="V192">
        <v>0.15783002919932379</v>
      </c>
      <c r="W192">
        <v>0.24281542953742125</v>
      </c>
      <c r="X192">
        <v>0.59935454126325494</v>
      </c>
      <c r="Y192">
        <v>0.15654683179030901</v>
      </c>
      <c r="Z192">
        <v>0.22736563664782974</v>
      </c>
      <c r="AA192">
        <v>0.61608753156186125</v>
      </c>
      <c r="AB192">
        <v>0.157265275478641</v>
      </c>
      <c r="AC192">
        <v>0.21319629774612595</v>
      </c>
      <c r="AD192">
        <v>0.62953842677523308</v>
      </c>
      <c r="AE192" t="s">
        <v>256</v>
      </c>
      <c r="AF192" t="s">
        <v>253</v>
      </c>
      <c r="AG192">
        <v>599.35</v>
      </c>
      <c r="AH192">
        <v>30</v>
      </c>
      <c r="AI192">
        <v>22</v>
      </c>
      <c r="AJ192">
        <v>13</v>
      </c>
      <c r="AK192">
        <v>26</v>
      </c>
      <c r="AL192">
        <v>25</v>
      </c>
      <c r="AM192">
        <v>7938</v>
      </c>
      <c r="AN192">
        <v>84</v>
      </c>
      <c r="AO192">
        <v>82</v>
      </c>
      <c r="AP192">
        <v>78</v>
      </c>
      <c r="AQ192">
        <v>4.5</v>
      </c>
      <c r="AR192" t="s">
        <v>29</v>
      </c>
      <c r="AS192" t="s">
        <v>254</v>
      </c>
      <c r="AT192" t="s">
        <v>253</v>
      </c>
      <c r="AU192">
        <v>1070</v>
      </c>
      <c r="AV192">
        <v>35</v>
      </c>
      <c r="AW192">
        <v>27</v>
      </c>
      <c r="AX192">
        <v>22</v>
      </c>
      <c r="AY192">
        <v>25.2</v>
      </c>
      <c r="AZ192">
        <v>8</v>
      </c>
      <c r="BA192">
        <v>10390</v>
      </c>
      <c r="BB192">
        <v>87</v>
      </c>
      <c r="BC192">
        <v>86</v>
      </c>
      <c r="BD192">
        <v>83</v>
      </c>
      <c r="BE192">
        <v>5</v>
      </c>
      <c r="BF192" t="s">
        <v>28</v>
      </c>
      <c r="BG192">
        <v>39</v>
      </c>
      <c r="BH192">
        <v>92</v>
      </c>
      <c r="BI192">
        <v>0.48099999999999998</v>
      </c>
      <c r="BJ192" t="s">
        <v>267</v>
      </c>
      <c r="BK192">
        <v>0.48209999999999997</v>
      </c>
      <c r="BL192">
        <v>0.78949999999999998</v>
      </c>
      <c r="BM192">
        <v>1.59</v>
      </c>
      <c r="BN192">
        <v>2.11</v>
      </c>
    </row>
    <row r="193" spans="1:66" x14ac:dyDescent="0.25">
      <c r="A193">
        <v>1</v>
      </c>
      <c r="B193">
        <v>2</v>
      </c>
      <c r="C193">
        <v>2</v>
      </c>
      <c r="D193">
        <v>2.1933333333333334</v>
      </c>
      <c r="E193">
        <v>3.2833333333333332</v>
      </c>
      <c r="F193">
        <v>3.5</v>
      </c>
      <c r="G193" s="40">
        <v>0.2</v>
      </c>
      <c r="H193" s="40">
        <v>0.51</v>
      </c>
      <c r="I193" s="40">
        <f t="shared" ref="I193:I201" si="0">1-G193-H193</f>
        <v>0.29000000000000004</v>
      </c>
      <c r="J193">
        <v>2.15</v>
      </c>
      <c r="K193">
        <v>3.4</v>
      </c>
      <c r="L193">
        <v>3.65</v>
      </c>
      <c r="M193">
        <v>2.2599999999999998</v>
      </c>
      <c r="N193">
        <v>3.15</v>
      </c>
      <c r="O193">
        <v>3.3</v>
      </c>
      <c r="P193">
        <v>2.17</v>
      </c>
      <c r="Q193">
        <v>3.3</v>
      </c>
      <c r="R193">
        <v>3.55</v>
      </c>
      <c r="S193">
        <v>0.46925050641458477</v>
      </c>
      <c r="T193">
        <v>0.25434166103983796</v>
      </c>
      <c r="U193">
        <v>0.27640783254557733</v>
      </c>
      <c r="V193">
        <v>0.41626621816434412</v>
      </c>
      <c r="W193">
        <v>0.2986544930321961</v>
      </c>
      <c r="X193">
        <v>0.2850792888034599</v>
      </c>
      <c r="Y193">
        <v>0.44075321206192747</v>
      </c>
      <c r="Z193">
        <v>0.28982862732557046</v>
      </c>
      <c r="AA193">
        <v>0.26941816061250218</v>
      </c>
      <c r="AB193">
        <v>0.44208997888028545</v>
      </c>
      <c r="AC193">
        <v>0.28094159379920147</v>
      </c>
      <c r="AD193">
        <v>0.27696842732051313</v>
      </c>
      <c r="AE193" t="s">
        <v>255</v>
      </c>
      <c r="AF193" t="s">
        <v>253</v>
      </c>
      <c r="AG193">
        <v>808.5</v>
      </c>
      <c r="AH193">
        <v>31</v>
      </c>
      <c r="AI193">
        <v>22</v>
      </c>
      <c r="AJ193">
        <v>19</v>
      </c>
      <c r="AK193">
        <v>25.8</v>
      </c>
      <c r="AL193">
        <v>19</v>
      </c>
      <c r="AM193">
        <v>8832</v>
      </c>
      <c r="AN193">
        <v>80</v>
      </c>
      <c r="AO193">
        <v>84</v>
      </c>
      <c r="AP193">
        <v>81</v>
      </c>
      <c r="AQ193">
        <v>4.5</v>
      </c>
      <c r="AR193" t="s">
        <v>28</v>
      </c>
      <c r="AS193" t="s">
        <v>144</v>
      </c>
      <c r="AT193" t="s">
        <v>141</v>
      </c>
      <c r="AU193">
        <v>1080</v>
      </c>
      <c r="AV193">
        <v>34</v>
      </c>
      <c r="AW193">
        <v>20</v>
      </c>
      <c r="AX193">
        <v>21</v>
      </c>
      <c r="AY193">
        <v>26.1</v>
      </c>
      <c r="AZ193">
        <v>18</v>
      </c>
      <c r="BA193">
        <v>8949</v>
      </c>
      <c r="BB193">
        <v>85</v>
      </c>
      <c r="BC193">
        <v>87</v>
      </c>
      <c r="BD193">
        <v>85</v>
      </c>
      <c r="BE193">
        <v>5</v>
      </c>
      <c r="BF193" t="s">
        <v>28</v>
      </c>
      <c r="BG193">
        <v>0</v>
      </c>
      <c r="BH193">
        <v>1</v>
      </c>
      <c r="BI193">
        <v>0</v>
      </c>
      <c r="BJ193" t="s">
        <v>282</v>
      </c>
      <c r="BK193">
        <v>0.58179999999999998</v>
      </c>
      <c r="BL193">
        <v>0.62749999999999995</v>
      </c>
      <c r="BM193">
        <v>1.73</v>
      </c>
      <c r="BN193">
        <v>1.94</v>
      </c>
    </row>
    <row r="194" spans="1:66" x14ac:dyDescent="0.25">
      <c r="A194">
        <v>2</v>
      </c>
      <c r="B194">
        <v>0</v>
      </c>
      <c r="C194">
        <v>0</v>
      </c>
      <c r="D194">
        <v>3.8333333333333335</v>
      </c>
      <c r="E194">
        <v>3.3166666666666664</v>
      </c>
      <c r="F194">
        <v>2.0333333333333332</v>
      </c>
      <c r="G194" s="40">
        <v>0.59</v>
      </c>
      <c r="H194" s="40">
        <v>0.16</v>
      </c>
      <c r="I194" s="40">
        <f t="shared" si="0"/>
        <v>0.25</v>
      </c>
      <c r="J194">
        <v>3.65</v>
      </c>
      <c r="K194">
        <v>3.3</v>
      </c>
      <c r="L194">
        <v>2.0699999999999998</v>
      </c>
      <c r="M194">
        <v>3.95</v>
      </c>
      <c r="N194">
        <v>3.25</v>
      </c>
      <c r="O194">
        <v>2</v>
      </c>
      <c r="P194">
        <v>3.9</v>
      </c>
      <c r="Q194">
        <v>3.4</v>
      </c>
      <c r="R194">
        <v>2.0299999999999998</v>
      </c>
      <c r="S194">
        <v>0.2686634336831123</v>
      </c>
      <c r="T194">
        <v>0.25760635716550612</v>
      </c>
      <c r="U194">
        <v>0.47373020915138164</v>
      </c>
      <c r="V194">
        <v>0.23864157870582836</v>
      </c>
      <c r="W194">
        <v>0.29004130335016065</v>
      </c>
      <c r="X194">
        <v>0.47131711794401104</v>
      </c>
      <c r="Y194">
        <v>0.24580647458955088</v>
      </c>
      <c r="Z194">
        <v>0.28195448555860247</v>
      </c>
      <c r="AA194">
        <v>0.47223903985184656</v>
      </c>
      <c r="AB194">
        <v>0.25103716232616385</v>
      </c>
      <c r="AC194">
        <v>0.27653404869142312</v>
      </c>
      <c r="AD194">
        <v>0.47242878898241303</v>
      </c>
      <c r="AE194" t="s">
        <v>91</v>
      </c>
      <c r="AF194" t="s">
        <v>85</v>
      </c>
      <c r="AG194">
        <v>59.6</v>
      </c>
      <c r="AH194">
        <v>34</v>
      </c>
      <c r="AI194">
        <v>4</v>
      </c>
      <c r="AJ194">
        <v>3</v>
      </c>
      <c r="AK194">
        <v>27.8</v>
      </c>
      <c r="AL194">
        <v>97</v>
      </c>
      <c r="AM194">
        <v>4926</v>
      </c>
      <c r="AN194">
        <v>78</v>
      </c>
      <c r="AO194">
        <v>76</v>
      </c>
      <c r="AP194">
        <v>75</v>
      </c>
      <c r="AQ194">
        <v>4</v>
      </c>
      <c r="AR194" t="s">
        <v>29</v>
      </c>
      <c r="AS194" t="s">
        <v>116</v>
      </c>
      <c r="AT194" t="s">
        <v>108</v>
      </c>
      <c r="AU194">
        <v>50.33</v>
      </c>
      <c r="AV194">
        <v>33</v>
      </c>
      <c r="AW194">
        <v>4</v>
      </c>
      <c r="AX194">
        <v>1</v>
      </c>
      <c r="AY194">
        <v>25.3</v>
      </c>
      <c r="AZ194">
        <v>75</v>
      </c>
      <c r="BA194">
        <v>5476</v>
      </c>
      <c r="BB194">
        <v>75</v>
      </c>
      <c r="BC194">
        <v>75</v>
      </c>
      <c r="BD194">
        <v>75</v>
      </c>
      <c r="BE194">
        <v>4</v>
      </c>
      <c r="BF194" t="s">
        <v>29</v>
      </c>
      <c r="BG194">
        <v>0</v>
      </c>
      <c r="BH194">
        <v>0</v>
      </c>
      <c r="BI194">
        <v>0</v>
      </c>
      <c r="BJ194" t="s">
        <v>271</v>
      </c>
      <c r="BK194">
        <v>0.42859999999999998</v>
      </c>
      <c r="BL194">
        <v>0.44619999999999999</v>
      </c>
      <c r="BM194">
        <v>1.35</v>
      </c>
      <c r="BN194">
        <v>1.69</v>
      </c>
    </row>
    <row r="195" spans="1:66" x14ac:dyDescent="0.25">
      <c r="A195">
        <v>1</v>
      </c>
      <c r="B195">
        <v>2</v>
      </c>
      <c r="C195">
        <v>4</v>
      </c>
      <c r="D195">
        <v>2.1</v>
      </c>
      <c r="E195">
        <v>3.4833333333333329</v>
      </c>
      <c r="F195">
        <v>3.3833333333333333</v>
      </c>
      <c r="G195" s="40">
        <v>0.31</v>
      </c>
      <c r="H195" s="40">
        <v>0.26</v>
      </c>
      <c r="I195" s="40">
        <v>0.43</v>
      </c>
      <c r="J195">
        <v>2.1</v>
      </c>
      <c r="K195">
        <v>3.45</v>
      </c>
      <c r="L195">
        <v>3.35</v>
      </c>
      <c r="M195">
        <v>2.1</v>
      </c>
      <c r="N195">
        <v>3.45</v>
      </c>
      <c r="O195">
        <v>3.35</v>
      </c>
      <c r="P195">
        <v>2.1</v>
      </c>
      <c r="Q195">
        <v>3.55</v>
      </c>
      <c r="R195">
        <v>3.45</v>
      </c>
      <c r="S195">
        <v>0.46231318084387935</v>
      </c>
      <c r="T195">
        <v>0.24787855653756935</v>
      </c>
      <c r="U195">
        <v>0.28980826261855125</v>
      </c>
      <c r="V195">
        <v>0.4473149492017417</v>
      </c>
      <c r="W195">
        <v>0.27227866473149492</v>
      </c>
      <c r="X195">
        <v>0.28040638606676344</v>
      </c>
      <c r="Y195">
        <v>0.45449485109935989</v>
      </c>
      <c r="Z195">
        <v>0.26885610910102981</v>
      </c>
      <c r="AA195">
        <v>0.27664903979961036</v>
      </c>
      <c r="AB195">
        <v>0.45470766038166027</v>
      </c>
      <c r="AC195">
        <v>0.26300444345669804</v>
      </c>
      <c r="AD195">
        <v>0.28228789616164168</v>
      </c>
      <c r="AE195" t="s">
        <v>125</v>
      </c>
      <c r="AF195" t="s">
        <v>126</v>
      </c>
      <c r="AG195">
        <v>13.2</v>
      </c>
      <c r="AH195">
        <v>33</v>
      </c>
      <c r="AI195">
        <v>6</v>
      </c>
      <c r="AJ195">
        <v>2</v>
      </c>
      <c r="AK195">
        <v>25.8</v>
      </c>
      <c r="AL195">
        <v>648</v>
      </c>
      <c r="AM195">
        <v>911</v>
      </c>
      <c r="AN195">
        <v>73</v>
      </c>
      <c r="AO195">
        <v>70</v>
      </c>
      <c r="AP195">
        <v>72</v>
      </c>
      <c r="AQ195">
        <v>3.5</v>
      </c>
      <c r="AR195" t="s">
        <v>28</v>
      </c>
      <c r="AS195" t="s">
        <v>247</v>
      </c>
      <c r="AT195" t="s">
        <v>246</v>
      </c>
      <c r="AU195">
        <v>12.3</v>
      </c>
      <c r="AV195">
        <v>30</v>
      </c>
      <c r="AW195">
        <v>6</v>
      </c>
      <c r="AX195">
        <v>2</v>
      </c>
      <c r="AY195">
        <v>24.6</v>
      </c>
      <c r="AZ195">
        <v>215</v>
      </c>
      <c r="BA195">
        <v>3127</v>
      </c>
      <c r="BB195">
        <v>73</v>
      </c>
      <c r="BC195">
        <v>70</v>
      </c>
      <c r="BD195">
        <v>69</v>
      </c>
      <c r="BE195">
        <v>3</v>
      </c>
      <c r="BF195" t="s">
        <v>46</v>
      </c>
      <c r="BG195">
        <v>0</v>
      </c>
      <c r="BH195">
        <v>0</v>
      </c>
      <c r="BI195">
        <v>0</v>
      </c>
      <c r="BJ195" t="s">
        <v>271</v>
      </c>
      <c r="BK195">
        <v>0.51060000000000005</v>
      </c>
      <c r="BL195">
        <v>0.5</v>
      </c>
      <c r="BM195">
        <v>1.74</v>
      </c>
      <c r="BN195">
        <v>1.42</v>
      </c>
    </row>
    <row r="196" spans="1:66" x14ac:dyDescent="0.25">
      <c r="A196">
        <v>2</v>
      </c>
      <c r="B196">
        <v>0</v>
      </c>
      <c r="C196">
        <v>0</v>
      </c>
      <c r="D196">
        <v>4.7833333333333332</v>
      </c>
      <c r="E196">
        <v>4.0666666666666664</v>
      </c>
      <c r="F196">
        <v>1.6856666666666669</v>
      </c>
      <c r="G196" s="40">
        <v>0.16</v>
      </c>
      <c r="H196" s="40">
        <v>0.5</v>
      </c>
      <c r="I196" s="40">
        <f t="shared" si="0"/>
        <v>0.33999999999999997</v>
      </c>
      <c r="J196">
        <v>4.5</v>
      </c>
      <c r="K196">
        <v>4</v>
      </c>
      <c r="L196">
        <v>1.65</v>
      </c>
      <c r="M196">
        <v>4.75</v>
      </c>
      <c r="N196">
        <v>3.8</v>
      </c>
      <c r="O196">
        <v>1.7270000000000001</v>
      </c>
      <c r="P196">
        <v>5.0999999999999996</v>
      </c>
      <c r="Q196">
        <v>4.4000000000000004</v>
      </c>
      <c r="R196">
        <v>1.68</v>
      </c>
      <c r="S196">
        <v>0.2151104585196556</v>
      </c>
      <c r="T196">
        <v>0.19822465460855634</v>
      </c>
      <c r="U196">
        <v>0.58666488687178808</v>
      </c>
      <c r="V196">
        <v>0.19998263034478767</v>
      </c>
      <c r="W196">
        <v>0.24997828793098459</v>
      </c>
      <c r="X196">
        <v>0.55003908172422777</v>
      </c>
      <c r="Y196">
        <v>0.19250000000000003</v>
      </c>
      <c r="Z196">
        <v>0.22312499999999996</v>
      </c>
      <c r="AA196">
        <v>0.58437500000000009</v>
      </c>
      <c r="AB196">
        <v>0.20253102962148109</v>
      </c>
      <c r="AC196">
        <v>0.22377598084651362</v>
      </c>
      <c r="AD196">
        <v>0.57369298953200532</v>
      </c>
      <c r="AE196" t="s">
        <v>72</v>
      </c>
      <c r="AF196" t="s">
        <v>63</v>
      </c>
      <c r="AG196">
        <v>13.68</v>
      </c>
      <c r="AH196">
        <v>31</v>
      </c>
      <c r="AI196">
        <v>7</v>
      </c>
      <c r="AJ196">
        <v>0</v>
      </c>
      <c r="AK196">
        <v>27.2</v>
      </c>
      <c r="AL196">
        <v>209</v>
      </c>
      <c r="AM196">
        <v>3175</v>
      </c>
      <c r="AN196">
        <v>70</v>
      </c>
      <c r="AO196">
        <v>68</v>
      </c>
      <c r="AP196">
        <v>68</v>
      </c>
      <c r="AQ196">
        <v>2.5</v>
      </c>
      <c r="AR196" t="s">
        <v>46</v>
      </c>
      <c r="AS196" t="s">
        <v>84</v>
      </c>
      <c r="AT196" t="s">
        <v>85</v>
      </c>
      <c r="AU196">
        <v>115.65</v>
      </c>
      <c r="AV196">
        <v>32</v>
      </c>
      <c r="AW196">
        <v>7</v>
      </c>
      <c r="AX196">
        <v>7</v>
      </c>
      <c r="AY196">
        <v>27.6</v>
      </c>
      <c r="AZ196">
        <v>4</v>
      </c>
      <c r="BA196">
        <v>11425</v>
      </c>
      <c r="BB196">
        <v>78</v>
      </c>
      <c r="BC196">
        <v>78</v>
      </c>
      <c r="BD196">
        <v>77</v>
      </c>
      <c r="BE196">
        <v>4</v>
      </c>
      <c r="BF196" t="s">
        <v>29</v>
      </c>
      <c r="BG196">
        <v>-6</v>
      </c>
      <c r="BH196">
        <v>-6</v>
      </c>
      <c r="BI196">
        <v>0</v>
      </c>
      <c r="BJ196" t="s">
        <v>271</v>
      </c>
      <c r="BK196">
        <v>0.51719999999999999</v>
      </c>
      <c r="BL196">
        <v>0.65310000000000001</v>
      </c>
      <c r="BM196">
        <v>1.55</v>
      </c>
      <c r="BN196">
        <v>2.12</v>
      </c>
    </row>
    <row r="197" spans="1:66" x14ac:dyDescent="0.25">
      <c r="A197">
        <v>2</v>
      </c>
      <c r="B197">
        <v>0</v>
      </c>
      <c r="C197">
        <v>0</v>
      </c>
      <c r="D197">
        <v>1.8733333333333333</v>
      </c>
      <c r="E197">
        <v>3.5833333333333335</v>
      </c>
      <c r="F197">
        <v>4.166666666666667</v>
      </c>
      <c r="G197" s="40">
        <v>0.31</v>
      </c>
      <c r="H197" s="40">
        <v>0.36</v>
      </c>
      <c r="I197" s="40">
        <f t="shared" si="0"/>
        <v>0.32999999999999996</v>
      </c>
      <c r="J197">
        <v>1.86</v>
      </c>
      <c r="K197">
        <v>3.55</v>
      </c>
      <c r="L197">
        <v>4.25</v>
      </c>
      <c r="M197">
        <v>1.9</v>
      </c>
      <c r="N197">
        <v>3.5</v>
      </c>
      <c r="O197">
        <v>4.05</v>
      </c>
      <c r="P197">
        <v>1.86</v>
      </c>
      <c r="Q197">
        <v>3.7</v>
      </c>
      <c r="R197">
        <v>4.2</v>
      </c>
      <c r="S197">
        <v>0.53383321517766003</v>
      </c>
      <c r="T197">
        <v>0.23253624829752875</v>
      </c>
      <c r="U197">
        <v>0.23363053652481119</v>
      </c>
      <c r="V197">
        <v>0.49701963534361848</v>
      </c>
      <c r="W197">
        <v>0.26981065918653574</v>
      </c>
      <c r="X197">
        <v>0.23316970546984572</v>
      </c>
      <c r="Y197">
        <v>0.51399087120460407</v>
      </c>
      <c r="Z197">
        <v>0.25838460011907122</v>
      </c>
      <c r="AA197">
        <v>0.22762452867632466</v>
      </c>
      <c r="AB197">
        <v>0.51494790724196093</v>
      </c>
      <c r="AC197">
        <v>0.25357716920104523</v>
      </c>
      <c r="AD197">
        <v>0.23147492355699387</v>
      </c>
      <c r="AE197" t="s">
        <v>256</v>
      </c>
      <c r="AF197" t="s">
        <v>253</v>
      </c>
      <c r="AG197">
        <v>599.35</v>
      </c>
      <c r="AH197">
        <v>30</v>
      </c>
      <c r="AI197">
        <v>22</v>
      </c>
      <c r="AJ197">
        <v>13</v>
      </c>
      <c r="AK197">
        <v>26</v>
      </c>
      <c r="AL197">
        <v>25</v>
      </c>
      <c r="AM197">
        <v>7938</v>
      </c>
      <c r="AN197">
        <v>84</v>
      </c>
      <c r="AO197">
        <v>82</v>
      </c>
      <c r="AP197">
        <v>78</v>
      </c>
      <c r="AQ197">
        <v>4.5</v>
      </c>
      <c r="AR197" t="s">
        <v>29</v>
      </c>
      <c r="AS197" t="s">
        <v>149</v>
      </c>
      <c r="AT197" t="s">
        <v>141</v>
      </c>
      <c r="AU197">
        <v>271.52999999999997</v>
      </c>
      <c r="AV197">
        <v>27</v>
      </c>
      <c r="AW197">
        <v>6</v>
      </c>
      <c r="AX197">
        <v>7</v>
      </c>
      <c r="AY197">
        <v>27.4</v>
      </c>
      <c r="AZ197">
        <v>77</v>
      </c>
      <c r="BA197">
        <v>5396</v>
      </c>
      <c r="BB197">
        <v>80</v>
      </c>
      <c r="BC197">
        <v>79</v>
      </c>
      <c r="BD197">
        <v>78</v>
      </c>
      <c r="BE197">
        <v>4.5</v>
      </c>
      <c r="BF197" t="s">
        <v>29</v>
      </c>
      <c r="BG197">
        <v>3</v>
      </c>
      <c r="BH197">
        <v>5</v>
      </c>
      <c r="BI197">
        <v>0.4</v>
      </c>
      <c r="BJ197" t="s">
        <v>283</v>
      </c>
      <c r="BK197">
        <v>0.48209999999999997</v>
      </c>
      <c r="BL197">
        <v>0.51160000000000005</v>
      </c>
      <c r="BM197">
        <v>1.59</v>
      </c>
      <c r="BN197">
        <v>1.79</v>
      </c>
    </row>
    <row r="198" spans="1:66" x14ac:dyDescent="0.25">
      <c r="A198">
        <v>3</v>
      </c>
      <c r="B198">
        <v>-3</v>
      </c>
      <c r="C198">
        <v>5</v>
      </c>
      <c r="D198">
        <v>1.42</v>
      </c>
      <c r="E198">
        <v>4.7333333333333334</v>
      </c>
      <c r="F198">
        <v>7.666666666666667</v>
      </c>
      <c r="G198" s="40">
        <v>0.5</v>
      </c>
      <c r="H198" s="40">
        <v>0.23</v>
      </c>
      <c r="I198" s="40">
        <f t="shared" si="0"/>
        <v>0.27</v>
      </c>
      <c r="J198">
        <v>1.4</v>
      </c>
      <c r="K198">
        <v>4.9000000000000004</v>
      </c>
      <c r="L198">
        <v>8.5</v>
      </c>
      <c r="M198">
        <v>1.44</v>
      </c>
      <c r="N198">
        <v>4.5</v>
      </c>
      <c r="O198">
        <v>7</v>
      </c>
      <c r="P198">
        <v>1.42</v>
      </c>
      <c r="Q198">
        <v>4.8</v>
      </c>
      <c r="R198">
        <v>7.5</v>
      </c>
      <c r="S198">
        <v>0.73767258382643008</v>
      </c>
      <c r="T198">
        <v>0.14082840236686389</v>
      </c>
      <c r="U198">
        <v>0.12149901380670612</v>
      </c>
      <c r="V198">
        <v>0.65543071161048683</v>
      </c>
      <c r="W198">
        <v>0.20973782771535582</v>
      </c>
      <c r="X198">
        <v>0.1348314606741573</v>
      </c>
      <c r="Y198">
        <v>0.67332510380428678</v>
      </c>
      <c r="Z198">
        <v>0.19919200987543484</v>
      </c>
      <c r="AA198">
        <v>0.12748288632027829</v>
      </c>
      <c r="AB198">
        <v>0.68880946641373464</v>
      </c>
      <c r="AC198">
        <v>0.18325274665255153</v>
      </c>
      <c r="AD198">
        <v>0.12793778693371391</v>
      </c>
      <c r="AE198" t="s">
        <v>260</v>
      </c>
      <c r="AF198" t="s">
        <v>253</v>
      </c>
      <c r="AG198">
        <v>454.8</v>
      </c>
      <c r="AH198">
        <v>29</v>
      </c>
      <c r="AI198">
        <v>19</v>
      </c>
      <c r="AJ198">
        <v>12</v>
      </c>
      <c r="AK198">
        <v>27.4</v>
      </c>
      <c r="AL198">
        <v>85</v>
      </c>
      <c r="AM198">
        <v>5188</v>
      </c>
      <c r="AN198">
        <v>80</v>
      </c>
      <c r="AO198">
        <v>79</v>
      </c>
      <c r="AP198">
        <v>79</v>
      </c>
      <c r="AQ198">
        <v>4.5</v>
      </c>
      <c r="AR198" t="s">
        <v>29</v>
      </c>
      <c r="AS198" t="s">
        <v>263</v>
      </c>
      <c r="AT198" t="s">
        <v>253</v>
      </c>
      <c r="AU198">
        <v>228.1</v>
      </c>
      <c r="AV198">
        <v>29</v>
      </c>
      <c r="AW198">
        <v>17</v>
      </c>
      <c r="AX198">
        <v>7</v>
      </c>
      <c r="AY198">
        <v>27.5</v>
      </c>
      <c r="AZ198">
        <v>156</v>
      </c>
      <c r="BA198">
        <v>3890</v>
      </c>
      <c r="BB198">
        <v>75</v>
      </c>
      <c r="BC198">
        <v>78</v>
      </c>
      <c r="BD198">
        <v>77</v>
      </c>
      <c r="BE198">
        <v>4</v>
      </c>
      <c r="BF198" t="s">
        <v>46</v>
      </c>
      <c r="BG198">
        <v>25</v>
      </c>
      <c r="BH198">
        <v>29</v>
      </c>
      <c r="BI198">
        <v>0.42399999999999999</v>
      </c>
      <c r="BJ198" t="s">
        <v>267</v>
      </c>
      <c r="BK198">
        <v>0.57999999999999996</v>
      </c>
      <c r="BL198">
        <v>0.3</v>
      </c>
      <c r="BM198">
        <v>1.82</v>
      </c>
      <c r="BN198">
        <v>1.23</v>
      </c>
    </row>
    <row r="199" spans="1:66" x14ac:dyDescent="0.25">
      <c r="A199">
        <v>1</v>
      </c>
      <c r="B199">
        <v>1</v>
      </c>
      <c r="C199">
        <v>3</v>
      </c>
      <c r="D199">
        <v>2.08</v>
      </c>
      <c r="E199">
        <v>3.5166666666666671</v>
      </c>
      <c r="F199">
        <v>3.5499999999999994</v>
      </c>
      <c r="G199" s="40">
        <v>0.35</v>
      </c>
      <c r="H199" s="40">
        <v>0.32</v>
      </c>
      <c r="I199" s="40">
        <f t="shared" si="0"/>
        <v>0.33</v>
      </c>
      <c r="J199">
        <v>2.06</v>
      </c>
      <c r="K199">
        <v>3.5</v>
      </c>
      <c r="L199">
        <v>3.55</v>
      </c>
      <c r="M199">
        <v>2.1</v>
      </c>
      <c r="N199">
        <v>3.55</v>
      </c>
      <c r="O199">
        <v>3.55</v>
      </c>
      <c r="P199">
        <v>2.08</v>
      </c>
      <c r="Q199">
        <v>3.5</v>
      </c>
      <c r="R199">
        <v>3.55</v>
      </c>
      <c r="S199">
        <v>0.47833072418585137</v>
      </c>
      <c r="T199">
        <v>0.24410271473728831</v>
      </c>
      <c r="U199">
        <v>0.27756656107686023</v>
      </c>
      <c r="V199">
        <v>0.45806451612903226</v>
      </c>
      <c r="W199">
        <v>0.2709677419354839</v>
      </c>
      <c r="X199">
        <v>0.2709677419354839</v>
      </c>
      <c r="Y199">
        <v>0.45867326220975307</v>
      </c>
      <c r="Z199">
        <v>0.27258296725608178</v>
      </c>
      <c r="AA199">
        <v>0.26874377053416515</v>
      </c>
      <c r="AB199">
        <v>0.46502283417487894</v>
      </c>
      <c r="AC199">
        <v>0.26255114130961799</v>
      </c>
      <c r="AD199">
        <v>0.27242602451550307</v>
      </c>
      <c r="AE199" t="s">
        <v>61</v>
      </c>
      <c r="AF199" t="s">
        <v>26</v>
      </c>
      <c r="AG199">
        <v>73.7</v>
      </c>
      <c r="AH199">
        <v>32</v>
      </c>
      <c r="AI199">
        <v>16</v>
      </c>
      <c r="AJ199">
        <v>2</v>
      </c>
      <c r="AK199">
        <v>23.9</v>
      </c>
      <c r="AL199">
        <v>671</v>
      </c>
      <c r="AM199">
        <v>828</v>
      </c>
      <c r="AN199">
        <v>73</v>
      </c>
      <c r="AO199">
        <v>70</v>
      </c>
      <c r="AP199">
        <v>69</v>
      </c>
      <c r="AQ199">
        <v>3.5</v>
      </c>
      <c r="AR199" t="s">
        <v>29</v>
      </c>
      <c r="AS199" t="s">
        <v>275</v>
      </c>
      <c r="AT199" t="s">
        <v>26</v>
      </c>
      <c r="AU199">
        <v>119.98</v>
      </c>
      <c r="AV199">
        <v>33</v>
      </c>
      <c r="AW199">
        <v>18</v>
      </c>
      <c r="AX199">
        <v>6</v>
      </c>
      <c r="AY199">
        <v>26</v>
      </c>
      <c r="AZ199">
        <v>276</v>
      </c>
      <c r="BA199">
        <v>2599</v>
      </c>
      <c r="BB199">
        <v>78</v>
      </c>
      <c r="BC199">
        <v>74</v>
      </c>
      <c r="BD199">
        <v>75</v>
      </c>
      <c r="BE199">
        <v>4</v>
      </c>
      <c r="BF199" t="s">
        <v>46</v>
      </c>
      <c r="BG199">
        <v>-9</v>
      </c>
      <c r="BH199">
        <v>-3</v>
      </c>
      <c r="BI199">
        <v>0.39100000000000001</v>
      </c>
      <c r="BJ199" t="s">
        <v>273</v>
      </c>
      <c r="BK199">
        <v>0.51349999999999996</v>
      </c>
      <c r="BL199">
        <v>0.2571</v>
      </c>
      <c r="BM199">
        <v>1.78</v>
      </c>
      <c r="BN199">
        <v>1.31</v>
      </c>
    </row>
    <row r="200" spans="1:66" x14ac:dyDescent="0.25">
      <c r="A200">
        <v>2</v>
      </c>
      <c r="B200">
        <v>0</v>
      </c>
      <c r="C200">
        <v>4</v>
      </c>
      <c r="D200">
        <v>2.1933333333333334</v>
      </c>
      <c r="E200">
        <v>3.3000000000000003</v>
      </c>
      <c r="F200">
        <v>3.4166666666666665</v>
      </c>
      <c r="G200" s="40">
        <v>0.41</v>
      </c>
      <c r="H200" s="40">
        <v>0.35</v>
      </c>
      <c r="I200" s="40">
        <f t="shared" si="0"/>
        <v>0.2400000000000001</v>
      </c>
      <c r="J200">
        <v>2.23</v>
      </c>
      <c r="K200">
        <v>3.4</v>
      </c>
      <c r="L200">
        <v>3.35</v>
      </c>
      <c r="M200">
        <v>2.15</v>
      </c>
      <c r="N200">
        <v>3.25</v>
      </c>
      <c r="O200">
        <v>3.45</v>
      </c>
      <c r="P200">
        <v>2.2000000000000002</v>
      </c>
      <c r="Q200">
        <v>3.25</v>
      </c>
      <c r="R200">
        <v>3.45</v>
      </c>
      <c r="S200">
        <v>0.44673857321783533</v>
      </c>
      <c r="T200">
        <v>0.25588022729685944</v>
      </c>
      <c r="U200">
        <v>0.29738119948530528</v>
      </c>
      <c r="V200">
        <v>0.43768907973065296</v>
      </c>
      <c r="W200">
        <v>0.28954816043720116</v>
      </c>
      <c r="X200">
        <v>0.27276275983214598</v>
      </c>
      <c r="Y200">
        <v>0.43203930257200651</v>
      </c>
      <c r="Z200">
        <v>0.29245737404874289</v>
      </c>
      <c r="AA200">
        <v>0.27550332337925054</v>
      </c>
      <c r="AB200">
        <v>0.43882231850683162</v>
      </c>
      <c r="AC200">
        <v>0.27929525392760118</v>
      </c>
      <c r="AD200">
        <v>0.28188242756556731</v>
      </c>
      <c r="AE200" t="s">
        <v>156</v>
      </c>
      <c r="AF200" t="s">
        <v>141</v>
      </c>
      <c r="AG200">
        <v>84.05</v>
      </c>
      <c r="AH200">
        <v>33</v>
      </c>
      <c r="AI200">
        <v>9</v>
      </c>
      <c r="AJ200">
        <v>5</v>
      </c>
      <c r="AK200">
        <v>26.2</v>
      </c>
      <c r="AL200">
        <v>177</v>
      </c>
      <c r="AM200">
        <v>3663</v>
      </c>
      <c r="AN200">
        <v>76</v>
      </c>
      <c r="AO200">
        <v>75</v>
      </c>
      <c r="AP200">
        <v>76</v>
      </c>
      <c r="AQ200">
        <v>4</v>
      </c>
      <c r="AR200" t="s">
        <v>43</v>
      </c>
      <c r="AS200" t="s">
        <v>151</v>
      </c>
      <c r="AT200" t="s">
        <v>141</v>
      </c>
      <c r="AU200">
        <v>106.95</v>
      </c>
      <c r="AV200">
        <v>31</v>
      </c>
      <c r="AW200">
        <v>8</v>
      </c>
      <c r="AX200">
        <v>3</v>
      </c>
      <c r="AY200">
        <v>27.6</v>
      </c>
      <c r="AZ200">
        <v>116</v>
      </c>
      <c r="BA200">
        <v>4556</v>
      </c>
      <c r="BB200">
        <v>77</v>
      </c>
      <c r="BC200">
        <v>77</v>
      </c>
      <c r="BD200">
        <v>76</v>
      </c>
      <c r="BE200">
        <v>4</v>
      </c>
      <c r="BF200" t="s">
        <v>29</v>
      </c>
      <c r="BG200">
        <v>8</v>
      </c>
      <c r="BH200">
        <v>27</v>
      </c>
      <c r="BI200">
        <v>0.63200000000000001</v>
      </c>
      <c r="BJ200" t="s">
        <v>270</v>
      </c>
      <c r="BK200">
        <v>0.25640000000000002</v>
      </c>
      <c r="BL200">
        <v>0.3659</v>
      </c>
      <c r="BM200">
        <v>0.9</v>
      </c>
      <c r="BN200">
        <v>1.32</v>
      </c>
    </row>
    <row r="201" spans="1:66" x14ac:dyDescent="0.25">
      <c r="A201">
        <v>2</v>
      </c>
      <c r="B201">
        <v>0</v>
      </c>
      <c r="C201">
        <v>0</v>
      </c>
      <c r="D201">
        <v>1.8099999999999998</v>
      </c>
      <c r="E201">
        <v>3.6666666666666665</v>
      </c>
      <c r="F201">
        <v>4.4666666666666659</v>
      </c>
      <c r="G201" s="40">
        <v>0.36</v>
      </c>
      <c r="H201" s="40">
        <v>0.33</v>
      </c>
      <c r="I201" s="40">
        <f t="shared" si="0"/>
        <v>0.31</v>
      </c>
      <c r="J201">
        <v>1.8</v>
      </c>
      <c r="K201">
        <v>3.7</v>
      </c>
      <c r="L201">
        <v>4.5999999999999996</v>
      </c>
      <c r="M201">
        <v>1.83</v>
      </c>
      <c r="N201">
        <v>3.6</v>
      </c>
      <c r="O201">
        <v>4.3</v>
      </c>
      <c r="P201">
        <v>1.8</v>
      </c>
      <c r="Q201">
        <v>3.7</v>
      </c>
      <c r="R201">
        <v>4.5</v>
      </c>
      <c r="S201">
        <v>0.56007820831852118</v>
      </c>
      <c r="T201">
        <v>0.22076075364379669</v>
      </c>
      <c r="U201">
        <v>0.21916103803768219</v>
      </c>
      <c r="V201">
        <v>0.51708588034873226</v>
      </c>
      <c r="W201">
        <v>0.26285198917727226</v>
      </c>
      <c r="X201">
        <v>0.22006213047399542</v>
      </c>
      <c r="Y201">
        <v>0.53008595988538676</v>
      </c>
      <c r="Z201">
        <v>0.25787965616045844</v>
      </c>
      <c r="AA201">
        <v>0.21203438395415475</v>
      </c>
      <c r="AB201">
        <v>0.53575001618421336</v>
      </c>
      <c r="AC201">
        <v>0.24716413299384243</v>
      </c>
      <c r="AD201">
        <v>0.21708585082194412</v>
      </c>
      <c r="AE201" t="s">
        <v>137</v>
      </c>
      <c r="AF201" t="s">
        <v>141</v>
      </c>
      <c r="AG201">
        <v>992.2</v>
      </c>
      <c r="AH201">
        <v>32</v>
      </c>
      <c r="AI201">
        <v>20</v>
      </c>
      <c r="AJ201">
        <v>17</v>
      </c>
      <c r="AK201">
        <v>25.9</v>
      </c>
      <c r="AL201">
        <v>3</v>
      </c>
      <c r="AM201">
        <v>13105</v>
      </c>
      <c r="AN201">
        <v>88</v>
      </c>
      <c r="AO201">
        <v>85</v>
      </c>
      <c r="AP201">
        <v>85</v>
      </c>
      <c r="AQ201">
        <v>5</v>
      </c>
      <c r="AR201" t="s">
        <v>28</v>
      </c>
      <c r="AS201" t="s">
        <v>143</v>
      </c>
      <c r="AT201" t="s">
        <v>141</v>
      </c>
      <c r="AU201">
        <v>764.3</v>
      </c>
      <c r="AV201">
        <v>31</v>
      </c>
      <c r="AW201">
        <v>17</v>
      </c>
      <c r="AX201">
        <v>18</v>
      </c>
      <c r="AY201">
        <v>25.2</v>
      </c>
      <c r="AZ201">
        <v>13</v>
      </c>
      <c r="BA201">
        <v>9329</v>
      </c>
      <c r="BB201">
        <v>81</v>
      </c>
      <c r="BC201">
        <v>83</v>
      </c>
      <c r="BD201">
        <v>82</v>
      </c>
      <c r="BE201">
        <v>5</v>
      </c>
      <c r="BF201" t="s">
        <v>29</v>
      </c>
      <c r="BG201">
        <v>89</v>
      </c>
      <c r="BH201">
        <v>139</v>
      </c>
      <c r="BI201">
        <v>0.45500000000000002</v>
      </c>
      <c r="BJ201" t="s">
        <v>270</v>
      </c>
      <c r="BK201">
        <v>0.62749999999999995</v>
      </c>
      <c r="BL201">
        <v>0.48</v>
      </c>
      <c r="BM201">
        <v>2.16</v>
      </c>
      <c r="BN201">
        <v>1.36</v>
      </c>
    </row>
    <row r="202" spans="1:66" x14ac:dyDescent="0.25">
      <c r="A202">
        <v>1</v>
      </c>
      <c r="B202">
        <v>1</v>
      </c>
      <c r="C202">
        <v>3</v>
      </c>
      <c r="D202">
        <v>1.8066666666666666</v>
      </c>
      <c r="E202">
        <v>3.5499999999999994</v>
      </c>
      <c r="F202">
        <v>4.6833333333333336</v>
      </c>
      <c r="G202" s="40">
        <v>0.38</v>
      </c>
      <c r="H202" s="40">
        <v>0.39</v>
      </c>
      <c r="I202" s="40">
        <f t="shared" ref="I202:I265" si="1">1-G202-H202</f>
        <v>0.22999999999999998</v>
      </c>
      <c r="J202">
        <v>1.81</v>
      </c>
      <c r="K202">
        <v>3.65</v>
      </c>
      <c r="L202">
        <v>4.7</v>
      </c>
      <c r="M202">
        <v>1.83</v>
      </c>
      <c r="N202">
        <v>3.45</v>
      </c>
      <c r="O202">
        <v>4.5</v>
      </c>
      <c r="P202">
        <v>1.78</v>
      </c>
      <c r="Q202">
        <v>3.55</v>
      </c>
      <c r="R202">
        <v>4.8499999999999996</v>
      </c>
      <c r="S202">
        <v>0.56051369541920459</v>
      </c>
      <c r="T202">
        <v>0.22362890272786778</v>
      </c>
      <c r="U202">
        <v>0.2158574018529277</v>
      </c>
      <c r="V202">
        <v>0.51623522370193031</v>
      </c>
      <c r="W202">
        <v>0.27382911865928478</v>
      </c>
      <c r="X202">
        <v>0.20993565763878502</v>
      </c>
      <c r="Y202">
        <v>0.53521192433827069</v>
      </c>
      <c r="Z202">
        <v>0.26835978178087944</v>
      </c>
      <c r="AA202">
        <v>0.19642829388084987</v>
      </c>
      <c r="AB202">
        <v>0.53732028115313524</v>
      </c>
      <c r="AC202">
        <v>0.25527260105601068</v>
      </c>
      <c r="AD202">
        <v>0.20740711779085419</v>
      </c>
      <c r="AE202" t="s">
        <v>148</v>
      </c>
      <c r="AF202" t="s">
        <v>141</v>
      </c>
      <c r="AG202">
        <v>216.3</v>
      </c>
      <c r="AH202">
        <v>26</v>
      </c>
      <c r="AI202">
        <v>1</v>
      </c>
      <c r="AJ202">
        <v>3</v>
      </c>
      <c r="AK202">
        <v>26.7</v>
      </c>
      <c r="AL202">
        <v>61</v>
      </c>
      <c r="AM202">
        <v>6139</v>
      </c>
      <c r="AN202">
        <v>79</v>
      </c>
      <c r="AO202">
        <v>79</v>
      </c>
      <c r="AP202">
        <v>79</v>
      </c>
      <c r="AQ202">
        <v>4.5</v>
      </c>
      <c r="AR202" t="s">
        <v>29</v>
      </c>
      <c r="AS202" t="s">
        <v>157</v>
      </c>
      <c r="AT202" t="s">
        <v>141</v>
      </c>
      <c r="AU202">
        <v>70.53</v>
      </c>
      <c r="AV202">
        <v>26</v>
      </c>
      <c r="AW202">
        <v>3</v>
      </c>
      <c r="AX202">
        <v>0</v>
      </c>
      <c r="AY202">
        <v>28.5</v>
      </c>
      <c r="AZ202">
        <v>202</v>
      </c>
      <c r="BA202">
        <v>3267</v>
      </c>
      <c r="BB202">
        <v>76</v>
      </c>
      <c r="BC202">
        <v>74</v>
      </c>
      <c r="BD202">
        <v>74</v>
      </c>
      <c r="BE202">
        <v>3.5</v>
      </c>
      <c r="BF202" t="s">
        <v>46</v>
      </c>
      <c r="BG202">
        <v>54</v>
      </c>
      <c r="BH202">
        <v>87</v>
      </c>
      <c r="BI202">
        <v>0.48199999999999998</v>
      </c>
      <c r="BJ202" t="s">
        <v>270</v>
      </c>
      <c r="BK202">
        <v>0.36959999999999998</v>
      </c>
      <c r="BL202">
        <v>0.38100000000000001</v>
      </c>
      <c r="BM202">
        <v>1.2</v>
      </c>
      <c r="BN202">
        <v>1.31</v>
      </c>
    </row>
    <row r="203" spans="1:66" x14ac:dyDescent="0.25">
      <c r="A203">
        <v>3</v>
      </c>
      <c r="B203">
        <v>-2</v>
      </c>
      <c r="C203">
        <v>2</v>
      </c>
      <c r="D203">
        <v>2.9299999999999997</v>
      </c>
      <c r="E203">
        <v>3.1833333333333336</v>
      </c>
      <c r="F203">
        <v>2.5333333333333332</v>
      </c>
      <c r="G203" s="40">
        <v>0.33</v>
      </c>
      <c r="H203" s="40">
        <v>0.24</v>
      </c>
      <c r="I203" s="40">
        <f t="shared" si="1"/>
        <v>0.42999999999999994</v>
      </c>
      <c r="J203">
        <v>3</v>
      </c>
      <c r="K203">
        <v>3.25</v>
      </c>
      <c r="L203">
        <v>2.5</v>
      </c>
      <c r="M203">
        <v>2.85</v>
      </c>
      <c r="N203">
        <v>3.1</v>
      </c>
      <c r="O203">
        <v>2.5499999999999998</v>
      </c>
      <c r="P203">
        <v>2.94</v>
      </c>
      <c r="Q203">
        <v>3.2</v>
      </c>
      <c r="R203">
        <v>2.5499999999999998</v>
      </c>
      <c r="S203">
        <v>0.33132530120481929</v>
      </c>
      <c r="T203">
        <v>0.27108433734939763</v>
      </c>
      <c r="U203">
        <v>0.39759036144578314</v>
      </c>
      <c r="V203">
        <v>0.32927210246797872</v>
      </c>
      <c r="W203">
        <v>0.30271790065604492</v>
      </c>
      <c r="X203">
        <v>0.36800999687597624</v>
      </c>
      <c r="Y203">
        <v>0.32555356074207065</v>
      </c>
      <c r="Z203">
        <v>0.29910233393177738</v>
      </c>
      <c r="AA203">
        <v>0.37534410532615203</v>
      </c>
      <c r="AB203">
        <v>0.32871698813828953</v>
      </c>
      <c r="AC203">
        <v>0.29096819064573998</v>
      </c>
      <c r="AD203">
        <v>0.38031482121597043</v>
      </c>
      <c r="AE203" t="s">
        <v>264</v>
      </c>
      <c r="AF203" t="s">
        <v>253</v>
      </c>
      <c r="AG203">
        <v>140.75</v>
      </c>
      <c r="AH203">
        <v>24</v>
      </c>
      <c r="AI203">
        <v>10</v>
      </c>
      <c r="AJ203">
        <v>7</v>
      </c>
      <c r="AK203">
        <v>28</v>
      </c>
      <c r="AL203">
        <v>157</v>
      </c>
      <c r="AM203">
        <v>3883</v>
      </c>
      <c r="AN203">
        <v>73</v>
      </c>
      <c r="AO203">
        <v>77</v>
      </c>
      <c r="AP203">
        <v>75</v>
      </c>
      <c r="AQ203">
        <v>4</v>
      </c>
      <c r="AR203" t="s">
        <v>46</v>
      </c>
      <c r="AS203" t="s">
        <v>261</v>
      </c>
      <c r="AT203" t="s">
        <v>253</v>
      </c>
      <c r="AU203">
        <v>179.43</v>
      </c>
      <c r="AV203">
        <v>24</v>
      </c>
      <c r="AW203">
        <v>15</v>
      </c>
      <c r="AX203">
        <v>8</v>
      </c>
      <c r="AY203">
        <v>29</v>
      </c>
      <c r="AZ203">
        <v>135</v>
      </c>
      <c r="BA203">
        <v>4146</v>
      </c>
      <c r="BB203">
        <v>73</v>
      </c>
      <c r="BC203">
        <v>77</v>
      </c>
      <c r="BD203">
        <v>76</v>
      </c>
      <c r="BE203">
        <v>4</v>
      </c>
      <c r="BF203" t="s">
        <v>29</v>
      </c>
      <c r="BG203">
        <v>-4</v>
      </c>
      <c r="BH203">
        <v>7</v>
      </c>
      <c r="BI203">
        <v>0.45200000000000001</v>
      </c>
      <c r="BJ203" t="s">
        <v>267</v>
      </c>
      <c r="BK203">
        <v>0.2</v>
      </c>
      <c r="BL203">
        <v>0.29730000000000001</v>
      </c>
      <c r="BM203">
        <v>0.63</v>
      </c>
      <c r="BN203">
        <v>1</v>
      </c>
    </row>
    <row r="204" spans="1:66" x14ac:dyDescent="0.25">
      <c r="A204">
        <v>3</v>
      </c>
      <c r="B204">
        <v>-1</v>
      </c>
      <c r="C204">
        <v>3</v>
      </c>
      <c r="D204">
        <v>1.92</v>
      </c>
      <c r="E204">
        <v>3.4333333333333336</v>
      </c>
      <c r="F204">
        <v>4.2333333333333334</v>
      </c>
      <c r="G204" s="40">
        <v>0.38</v>
      </c>
      <c r="H204" s="40">
        <v>0.28000000000000003</v>
      </c>
      <c r="I204" s="40">
        <f t="shared" si="1"/>
        <v>0.33999999999999997</v>
      </c>
      <c r="J204">
        <v>1.91</v>
      </c>
      <c r="K204">
        <v>3.5</v>
      </c>
      <c r="L204">
        <v>4.3</v>
      </c>
      <c r="M204">
        <v>1.95</v>
      </c>
      <c r="N204">
        <v>3.3</v>
      </c>
      <c r="O204">
        <v>4.0999999999999996</v>
      </c>
      <c r="P204">
        <v>1.9</v>
      </c>
      <c r="Q204">
        <v>3.5</v>
      </c>
      <c r="R204">
        <v>4.3</v>
      </c>
      <c r="S204">
        <v>0.52770109715250157</v>
      </c>
      <c r="T204">
        <v>0.23790143876348027</v>
      </c>
      <c r="U204">
        <v>0.23439746408401813</v>
      </c>
      <c r="V204">
        <v>0.48390557939914158</v>
      </c>
      <c r="W204">
        <v>0.28594420600858372</v>
      </c>
      <c r="X204">
        <v>0.23015021459227469</v>
      </c>
      <c r="Y204">
        <v>0.50385001673920327</v>
      </c>
      <c r="Z204">
        <v>0.27351858051556749</v>
      </c>
      <c r="AA204">
        <v>0.22263140274522936</v>
      </c>
      <c r="AB204">
        <v>0.50515223109694884</v>
      </c>
      <c r="AC204">
        <v>0.26578807509587715</v>
      </c>
      <c r="AD204">
        <v>0.22905969380717406</v>
      </c>
      <c r="AE204" t="s">
        <v>254</v>
      </c>
      <c r="AF204" t="s">
        <v>253</v>
      </c>
      <c r="AG204">
        <v>1070</v>
      </c>
      <c r="AH204">
        <v>35</v>
      </c>
      <c r="AI204">
        <v>27</v>
      </c>
      <c r="AJ204">
        <v>22</v>
      </c>
      <c r="AK204">
        <v>25.2</v>
      </c>
      <c r="AL204">
        <v>8</v>
      </c>
      <c r="AM204">
        <v>10390</v>
      </c>
      <c r="AN204">
        <v>87</v>
      </c>
      <c r="AO204">
        <v>86</v>
      </c>
      <c r="AP204">
        <v>83</v>
      </c>
      <c r="AQ204">
        <v>5</v>
      </c>
      <c r="AR204" t="s">
        <v>28</v>
      </c>
      <c r="AS204" t="s">
        <v>255</v>
      </c>
      <c r="AT204" t="s">
        <v>253</v>
      </c>
      <c r="AU204">
        <v>808.5</v>
      </c>
      <c r="AV204">
        <v>31</v>
      </c>
      <c r="AW204">
        <v>22</v>
      </c>
      <c r="AX204">
        <v>19</v>
      </c>
      <c r="AY204">
        <v>25.8</v>
      </c>
      <c r="AZ204">
        <v>19</v>
      </c>
      <c r="BA204">
        <v>8832</v>
      </c>
      <c r="BB204">
        <v>80</v>
      </c>
      <c r="BC204">
        <v>84</v>
      </c>
      <c r="BD204">
        <v>81</v>
      </c>
      <c r="BE204">
        <v>4.5</v>
      </c>
      <c r="BF204" t="s">
        <v>28</v>
      </c>
      <c r="BG204">
        <v>-13</v>
      </c>
      <c r="BH204">
        <v>-14</v>
      </c>
      <c r="BI204">
        <v>0.33700000000000002</v>
      </c>
      <c r="BJ204" t="s">
        <v>267</v>
      </c>
      <c r="BK204">
        <v>0.78949999999999998</v>
      </c>
      <c r="BL204">
        <v>0.58179999999999998</v>
      </c>
      <c r="BM204">
        <v>2.11</v>
      </c>
      <c r="BN204">
        <v>1.73</v>
      </c>
    </row>
    <row r="205" spans="1:66" x14ac:dyDescent="0.25">
      <c r="A205">
        <v>1</v>
      </c>
      <c r="B205">
        <v>1</v>
      </c>
      <c r="C205">
        <v>5</v>
      </c>
      <c r="D205">
        <v>2.2533333333333334</v>
      </c>
      <c r="E205">
        <v>3.6333333333333333</v>
      </c>
      <c r="F205">
        <v>3.0500000000000003</v>
      </c>
      <c r="G205" s="40">
        <v>0.4</v>
      </c>
      <c r="H205" s="40">
        <v>0.31</v>
      </c>
      <c r="I205" s="40">
        <f t="shared" si="1"/>
        <v>0.28999999999999998</v>
      </c>
      <c r="J205">
        <v>2.1800000000000002</v>
      </c>
      <c r="K205">
        <v>3.6</v>
      </c>
      <c r="L205">
        <v>3.15</v>
      </c>
      <c r="M205">
        <v>2.2999999999999998</v>
      </c>
      <c r="N205">
        <v>3.65</v>
      </c>
      <c r="O205">
        <v>3</v>
      </c>
      <c r="P205">
        <v>2.2799999999999998</v>
      </c>
      <c r="Q205">
        <v>3.65</v>
      </c>
      <c r="R205">
        <v>3</v>
      </c>
      <c r="S205">
        <v>0.44907206111888875</v>
      </c>
      <c r="T205">
        <v>0.2401415600750231</v>
      </c>
      <c r="U205">
        <v>0.31078637880608811</v>
      </c>
      <c r="V205">
        <v>0.4172223280624881</v>
      </c>
      <c r="W205">
        <v>0.26290722042293774</v>
      </c>
      <c r="X205">
        <v>0.31987045151457416</v>
      </c>
      <c r="Y205">
        <v>0.41934742647058826</v>
      </c>
      <c r="Z205">
        <v>0.26194852941176466</v>
      </c>
      <c r="AA205">
        <v>0.31870404411764702</v>
      </c>
      <c r="AB205">
        <v>0.42854727188398839</v>
      </c>
      <c r="AC205">
        <v>0.25499910330324183</v>
      </c>
      <c r="AD205">
        <v>0.31645362481276978</v>
      </c>
      <c r="AE205" t="s">
        <v>50</v>
      </c>
      <c r="AF205" t="s">
        <v>26</v>
      </c>
      <c r="AG205">
        <v>559.54999999999995</v>
      </c>
      <c r="AH205">
        <v>29</v>
      </c>
      <c r="AI205">
        <v>17</v>
      </c>
      <c r="AJ205">
        <v>13</v>
      </c>
      <c r="AK205">
        <v>25</v>
      </c>
      <c r="AL205">
        <v>36</v>
      </c>
      <c r="AM205">
        <v>7276</v>
      </c>
      <c r="AN205">
        <v>83</v>
      </c>
      <c r="AO205">
        <v>83</v>
      </c>
      <c r="AP205">
        <v>82</v>
      </c>
      <c r="AQ205">
        <v>4.5</v>
      </c>
      <c r="AR205" t="s">
        <v>29</v>
      </c>
      <c r="AS205" t="s">
        <v>25</v>
      </c>
      <c r="AT205" t="s">
        <v>26</v>
      </c>
      <c r="AU205">
        <v>507.83</v>
      </c>
      <c r="AV205">
        <v>29</v>
      </c>
      <c r="AW205">
        <v>21</v>
      </c>
      <c r="AX205">
        <v>13</v>
      </c>
      <c r="AY205">
        <v>24.2</v>
      </c>
      <c r="AZ205">
        <v>16</v>
      </c>
      <c r="BA205">
        <v>9221</v>
      </c>
      <c r="BB205">
        <v>81</v>
      </c>
      <c r="BC205">
        <v>81</v>
      </c>
      <c r="BD205">
        <v>79</v>
      </c>
      <c r="BE205">
        <v>4.5</v>
      </c>
      <c r="BF205" t="s">
        <v>29</v>
      </c>
      <c r="BG205">
        <v>7</v>
      </c>
      <c r="BH205">
        <v>11</v>
      </c>
      <c r="BI205">
        <v>0.55600000000000005</v>
      </c>
      <c r="BJ205" t="s">
        <v>273</v>
      </c>
      <c r="BK205">
        <v>0.60870000000000002</v>
      </c>
      <c r="BL205">
        <v>0.55320000000000003</v>
      </c>
      <c r="BM205">
        <v>2.2200000000000002</v>
      </c>
      <c r="BN205">
        <v>2.2799999999999998</v>
      </c>
    </row>
    <row r="206" spans="1:66" x14ac:dyDescent="0.25">
      <c r="A206">
        <v>1</v>
      </c>
      <c r="B206">
        <v>2</v>
      </c>
      <c r="C206">
        <v>6</v>
      </c>
      <c r="D206">
        <v>1.2133333333333332</v>
      </c>
      <c r="E206">
        <v>6.916666666666667</v>
      </c>
      <c r="F206">
        <v>12.5</v>
      </c>
      <c r="G206" s="40">
        <v>0.49</v>
      </c>
      <c r="H206" s="40">
        <v>0.31</v>
      </c>
      <c r="I206" s="40">
        <f t="shared" si="1"/>
        <v>0.2</v>
      </c>
      <c r="J206">
        <v>1.21</v>
      </c>
      <c r="K206">
        <v>6.75</v>
      </c>
      <c r="L206">
        <v>13</v>
      </c>
      <c r="M206">
        <v>1.22</v>
      </c>
      <c r="N206">
        <v>7</v>
      </c>
      <c r="O206">
        <v>12</v>
      </c>
      <c r="P206">
        <v>1.21</v>
      </c>
      <c r="Q206">
        <v>7</v>
      </c>
      <c r="R206">
        <v>12.5</v>
      </c>
      <c r="S206">
        <v>0.83280581806738052</v>
      </c>
      <c r="T206">
        <v>8.9679178866347992E-2</v>
      </c>
      <c r="U206">
        <v>7.7515003066271571E-2</v>
      </c>
      <c r="V206">
        <v>0.78372830752005973</v>
      </c>
      <c r="W206">
        <v>0.13659264788206757</v>
      </c>
      <c r="X206">
        <v>7.9679044597872742E-2</v>
      </c>
      <c r="Y206">
        <v>0.7876142040595886</v>
      </c>
      <c r="Z206">
        <v>0.13614474098744317</v>
      </c>
      <c r="AA206">
        <v>7.6241054952968179E-2</v>
      </c>
      <c r="AB206">
        <v>0.80138277654900969</v>
      </c>
      <c r="AC206">
        <v>0.12080552257861958</v>
      </c>
      <c r="AD206">
        <v>7.7811700872370826E-2</v>
      </c>
      <c r="AE206" t="s">
        <v>54</v>
      </c>
      <c r="AF206" t="s">
        <v>26</v>
      </c>
      <c r="AG206">
        <v>214.6</v>
      </c>
      <c r="AH206">
        <v>30</v>
      </c>
      <c r="AI206">
        <v>22</v>
      </c>
      <c r="AJ206">
        <v>15</v>
      </c>
      <c r="AK206">
        <v>25.7</v>
      </c>
      <c r="AL206">
        <v>194</v>
      </c>
      <c r="AM206">
        <v>3438</v>
      </c>
      <c r="AN206">
        <v>79</v>
      </c>
      <c r="AO206">
        <v>77</v>
      </c>
      <c r="AP206">
        <v>75</v>
      </c>
      <c r="AQ206">
        <v>4</v>
      </c>
      <c r="AR206" t="s">
        <v>29</v>
      </c>
      <c r="AS206" t="s">
        <v>53</v>
      </c>
      <c r="AT206" t="s">
        <v>26</v>
      </c>
      <c r="AU206">
        <v>195.83</v>
      </c>
      <c r="AV206">
        <v>29</v>
      </c>
      <c r="AW206">
        <v>18</v>
      </c>
      <c r="AX206">
        <v>11</v>
      </c>
      <c r="AY206">
        <v>25.3</v>
      </c>
      <c r="AZ206">
        <v>152</v>
      </c>
      <c r="BA206">
        <v>3938</v>
      </c>
      <c r="BB206">
        <v>76</v>
      </c>
      <c r="BC206">
        <v>77</v>
      </c>
      <c r="BD206">
        <v>76</v>
      </c>
      <c r="BE206">
        <v>4</v>
      </c>
      <c r="BF206" t="s">
        <v>29</v>
      </c>
      <c r="BG206">
        <v>-6</v>
      </c>
      <c r="BH206">
        <v>10</v>
      </c>
      <c r="BI206">
        <v>0.38500000000000001</v>
      </c>
      <c r="BJ206" t="s">
        <v>273</v>
      </c>
      <c r="BK206">
        <v>0.43240000000000001</v>
      </c>
      <c r="BL206">
        <v>0.31580000000000003</v>
      </c>
      <c r="BM206">
        <v>1.65</v>
      </c>
      <c r="BN206">
        <v>1.29</v>
      </c>
    </row>
    <row r="207" spans="1:66" x14ac:dyDescent="0.25">
      <c r="A207">
        <v>1</v>
      </c>
      <c r="B207">
        <v>3</v>
      </c>
      <c r="C207">
        <v>3</v>
      </c>
      <c r="D207">
        <v>1.71</v>
      </c>
      <c r="E207">
        <v>3.8166666666666664</v>
      </c>
      <c r="F207">
        <v>5</v>
      </c>
      <c r="G207" s="40">
        <v>0.38</v>
      </c>
      <c r="H207" s="40">
        <v>0.42</v>
      </c>
      <c r="I207" s="40">
        <f t="shared" si="1"/>
        <v>0.2</v>
      </c>
      <c r="J207">
        <v>1.68</v>
      </c>
      <c r="K207">
        <v>3.9</v>
      </c>
      <c r="L207">
        <v>5</v>
      </c>
      <c r="M207">
        <v>1.72</v>
      </c>
      <c r="N207">
        <v>3.8</v>
      </c>
      <c r="O207">
        <v>5</v>
      </c>
      <c r="P207">
        <v>1.73</v>
      </c>
      <c r="Q207">
        <v>3.75</v>
      </c>
      <c r="R207">
        <v>5</v>
      </c>
      <c r="S207">
        <v>0.59630244072479399</v>
      </c>
      <c r="T207">
        <v>0.20333993919167534</v>
      </c>
      <c r="U207">
        <v>0.20035762008353075</v>
      </c>
      <c r="V207">
        <v>0.55659714084837131</v>
      </c>
      <c r="W207">
        <v>0.25193344269978912</v>
      </c>
      <c r="X207">
        <v>0.19146941645183971</v>
      </c>
      <c r="Y207">
        <v>0.55330136481003322</v>
      </c>
      <c r="Z207">
        <v>0.25525636296569532</v>
      </c>
      <c r="AA207">
        <v>0.19144227222427149</v>
      </c>
      <c r="AB207">
        <v>0.56873364879439947</v>
      </c>
      <c r="AC207">
        <v>0.23684324828571993</v>
      </c>
      <c r="AD207">
        <v>0.19442310291988063</v>
      </c>
      <c r="AE207" t="s">
        <v>274</v>
      </c>
      <c r="AF207" t="s">
        <v>26</v>
      </c>
      <c r="AG207">
        <v>205.55</v>
      </c>
      <c r="AH207">
        <v>29</v>
      </c>
      <c r="AI207">
        <v>21</v>
      </c>
      <c r="AJ207">
        <v>10</v>
      </c>
      <c r="AK207">
        <v>26.2</v>
      </c>
      <c r="AL207">
        <v>65</v>
      </c>
      <c r="AM207">
        <v>5919</v>
      </c>
      <c r="AN207">
        <v>77</v>
      </c>
      <c r="AO207">
        <v>77</v>
      </c>
      <c r="AP207">
        <v>78</v>
      </c>
      <c r="AQ207">
        <v>4</v>
      </c>
      <c r="AR207" t="s">
        <v>46</v>
      </c>
      <c r="AS207" t="s">
        <v>58</v>
      </c>
      <c r="AT207" t="s">
        <v>26</v>
      </c>
      <c r="AU207">
        <v>59.55</v>
      </c>
      <c r="AV207">
        <v>28</v>
      </c>
      <c r="AW207">
        <v>8</v>
      </c>
      <c r="AX207">
        <v>3</v>
      </c>
      <c r="AY207">
        <v>26.6</v>
      </c>
      <c r="AZ207">
        <v>243</v>
      </c>
      <c r="BA207">
        <v>2873</v>
      </c>
      <c r="BB207">
        <v>73</v>
      </c>
      <c r="BC207">
        <v>71</v>
      </c>
      <c r="BD207">
        <v>73</v>
      </c>
      <c r="BE207">
        <v>3.5</v>
      </c>
      <c r="BF207" t="s">
        <v>46</v>
      </c>
      <c r="BG207">
        <v>6</v>
      </c>
      <c r="BH207">
        <v>11</v>
      </c>
      <c r="BI207">
        <v>0.6</v>
      </c>
      <c r="BJ207" t="s">
        <v>273</v>
      </c>
      <c r="BK207">
        <v>0.41299999999999998</v>
      </c>
      <c r="BL207">
        <v>0.3947</v>
      </c>
      <c r="BM207">
        <v>1.5</v>
      </c>
      <c r="BN207">
        <v>1.37</v>
      </c>
    </row>
    <row r="208" spans="1:66" x14ac:dyDescent="0.25">
      <c r="A208">
        <v>2</v>
      </c>
      <c r="B208">
        <v>0</v>
      </c>
      <c r="C208">
        <v>0</v>
      </c>
      <c r="D208">
        <v>4.3099999999999996</v>
      </c>
      <c r="E208">
        <v>3.8333333333333335</v>
      </c>
      <c r="F208">
        <v>1.8066666666666666</v>
      </c>
      <c r="G208" s="40">
        <v>0.21</v>
      </c>
      <c r="H208" s="40">
        <v>0.28000000000000003</v>
      </c>
      <c r="I208" s="40">
        <f t="shared" si="1"/>
        <v>0.51</v>
      </c>
      <c r="J208">
        <v>4.3</v>
      </c>
      <c r="K208">
        <v>3.8</v>
      </c>
      <c r="L208">
        <v>1.8</v>
      </c>
      <c r="M208">
        <v>4.33</v>
      </c>
      <c r="N208">
        <v>3.85</v>
      </c>
      <c r="O208">
        <v>1.8</v>
      </c>
      <c r="P208">
        <v>4.3</v>
      </c>
      <c r="Q208">
        <v>3.85</v>
      </c>
      <c r="R208">
        <v>1.82</v>
      </c>
      <c r="S208">
        <v>0.2312849162011173</v>
      </c>
      <c r="T208">
        <v>0.21620111731843575</v>
      </c>
      <c r="U208">
        <v>0.55251396648044693</v>
      </c>
      <c r="V208">
        <v>0.2207393014700027</v>
      </c>
      <c r="W208">
        <v>0.24826004554937967</v>
      </c>
      <c r="X208">
        <v>0.5310006529806176</v>
      </c>
      <c r="Y208">
        <v>0.22323818019625336</v>
      </c>
      <c r="Z208">
        <v>0.24933095450490633</v>
      </c>
      <c r="AA208">
        <v>0.52743086529884031</v>
      </c>
      <c r="AB208">
        <v>0.2250874659557911</v>
      </c>
      <c r="AC208">
        <v>0.23793070579090725</v>
      </c>
      <c r="AD208">
        <v>0.53698182825330154</v>
      </c>
      <c r="AE208" t="s">
        <v>56</v>
      </c>
      <c r="AF208" t="s">
        <v>26</v>
      </c>
      <c r="AG208">
        <v>123.65</v>
      </c>
      <c r="AH208">
        <v>40</v>
      </c>
      <c r="AI208">
        <v>20</v>
      </c>
      <c r="AJ208">
        <v>5</v>
      </c>
      <c r="AK208">
        <v>24.2</v>
      </c>
      <c r="AL208">
        <v>216</v>
      </c>
      <c r="AM208">
        <v>3121</v>
      </c>
      <c r="AN208">
        <v>77</v>
      </c>
      <c r="AO208">
        <v>76</v>
      </c>
      <c r="AP208">
        <v>77</v>
      </c>
      <c r="AQ208">
        <v>4</v>
      </c>
      <c r="AR208" t="s">
        <v>29</v>
      </c>
      <c r="AS208" t="s">
        <v>49</v>
      </c>
      <c r="AT208" t="s">
        <v>26</v>
      </c>
      <c r="AU208">
        <v>406.85</v>
      </c>
      <c r="AV208">
        <v>28</v>
      </c>
      <c r="AW208">
        <v>16</v>
      </c>
      <c r="AX208">
        <v>13</v>
      </c>
      <c r="AY208">
        <v>25.6</v>
      </c>
      <c r="AZ208">
        <v>22</v>
      </c>
      <c r="BA208">
        <v>8083</v>
      </c>
      <c r="BB208">
        <v>80</v>
      </c>
      <c r="BC208">
        <v>80</v>
      </c>
      <c r="BD208">
        <v>79</v>
      </c>
      <c r="BE208">
        <v>4.5</v>
      </c>
      <c r="BF208" t="s">
        <v>46</v>
      </c>
      <c r="BG208">
        <v>3</v>
      </c>
      <c r="BH208">
        <v>66</v>
      </c>
      <c r="BI208">
        <v>0.38300000000000001</v>
      </c>
      <c r="BJ208" t="s">
        <v>273</v>
      </c>
      <c r="BK208">
        <v>0.27500000000000002</v>
      </c>
      <c r="BL208">
        <v>0.58850000000000002</v>
      </c>
      <c r="BM208">
        <v>1.43</v>
      </c>
      <c r="BN208">
        <v>1.78</v>
      </c>
    </row>
    <row r="209" spans="1:66" x14ac:dyDescent="0.25">
      <c r="A209">
        <v>1</v>
      </c>
      <c r="B209">
        <v>3</v>
      </c>
      <c r="C209">
        <v>6</v>
      </c>
      <c r="D209">
        <v>1.3533333333333335</v>
      </c>
      <c r="E209">
        <v>5.7</v>
      </c>
      <c r="F209">
        <v>7.666666666666667</v>
      </c>
      <c r="G209" s="40">
        <v>0.46</v>
      </c>
      <c r="H209" s="40">
        <v>0.32</v>
      </c>
      <c r="I209" s="40">
        <f t="shared" si="1"/>
        <v>0.22000000000000003</v>
      </c>
      <c r="J209">
        <v>1.35</v>
      </c>
      <c r="K209">
        <v>5.5</v>
      </c>
      <c r="L209">
        <v>8</v>
      </c>
      <c r="M209">
        <v>1.35</v>
      </c>
      <c r="N209">
        <v>6</v>
      </c>
      <c r="O209">
        <v>7.5</v>
      </c>
      <c r="P209">
        <v>1.36</v>
      </c>
      <c r="Q209">
        <v>5.6</v>
      </c>
      <c r="R209">
        <v>7.5</v>
      </c>
      <c r="S209">
        <v>0.7470707426658445</v>
      </c>
      <c r="T209">
        <v>0.12686106950929438</v>
      </c>
      <c r="U209">
        <v>0.12606818782486126</v>
      </c>
      <c r="V209">
        <v>0.71174377224199281</v>
      </c>
      <c r="W209">
        <v>0.16014234875444841</v>
      </c>
      <c r="X209">
        <v>0.12811387900355872</v>
      </c>
      <c r="Y209">
        <v>0.70215327002808614</v>
      </c>
      <c r="Z209">
        <v>0.17052293700682092</v>
      </c>
      <c r="AA209">
        <v>0.12732379296509294</v>
      </c>
      <c r="AB209">
        <v>0.72032259497864126</v>
      </c>
      <c r="AC209">
        <v>0.15250878509018789</v>
      </c>
      <c r="AD209">
        <v>0.12716861993117098</v>
      </c>
      <c r="AE209" t="s">
        <v>31</v>
      </c>
      <c r="AF209" t="s">
        <v>26</v>
      </c>
      <c r="AG209">
        <v>925.24</v>
      </c>
      <c r="AH209">
        <v>31</v>
      </c>
      <c r="AI209">
        <v>15</v>
      </c>
      <c r="AJ209">
        <v>15</v>
      </c>
      <c r="AK209">
        <v>25.3</v>
      </c>
      <c r="AL209">
        <v>6</v>
      </c>
      <c r="AM209">
        <v>10885</v>
      </c>
      <c r="AN209">
        <v>87</v>
      </c>
      <c r="AO209">
        <v>85</v>
      </c>
      <c r="AP209">
        <v>81</v>
      </c>
      <c r="AQ209">
        <v>5</v>
      </c>
      <c r="AR209" t="s">
        <v>29</v>
      </c>
      <c r="AS209" t="s">
        <v>52</v>
      </c>
      <c r="AT209" t="s">
        <v>26</v>
      </c>
      <c r="AU209">
        <v>294.73</v>
      </c>
      <c r="AV209">
        <v>35</v>
      </c>
      <c r="AW209">
        <v>19</v>
      </c>
      <c r="AX209">
        <v>10</v>
      </c>
      <c r="AY209">
        <v>24.9</v>
      </c>
      <c r="AZ209">
        <v>76</v>
      </c>
      <c r="BA209">
        <v>5412</v>
      </c>
      <c r="BB209">
        <v>78</v>
      </c>
      <c r="BC209">
        <v>79</v>
      </c>
      <c r="BD209">
        <v>78</v>
      </c>
      <c r="BE209">
        <v>4.5</v>
      </c>
      <c r="BF209" t="s">
        <v>29</v>
      </c>
      <c r="BG209">
        <v>74</v>
      </c>
      <c r="BH209">
        <v>120</v>
      </c>
      <c r="BI209">
        <v>0.5</v>
      </c>
      <c r="BJ209" t="s">
        <v>273</v>
      </c>
      <c r="BK209">
        <v>0.83330000000000004</v>
      </c>
      <c r="BL209">
        <v>0.54759999999999998</v>
      </c>
      <c r="BM209">
        <v>3</v>
      </c>
      <c r="BN209">
        <v>1.76</v>
      </c>
    </row>
    <row r="210" spans="1:66" x14ac:dyDescent="0.25">
      <c r="A210">
        <v>3</v>
      </c>
      <c r="B210">
        <v>-1</v>
      </c>
      <c r="C210">
        <v>1</v>
      </c>
      <c r="D210">
        <v>3.5499999999999994</v>
      </c>
      <c r="E210">
        <v>3.2666666666666662</v>
      </c>
      <c r="F210">
        <v>2.0666666666666664</v>
      </c>
      <c r="G210" s="40">
        <v>0.26</v>
      </c>
      <c r="H210" s="40">
        <v>0.36</v>
      </c>
      <c r="I210" s="40">
        <f t="shared" si="1"/>
        <v>0.38</v>
      </c>
      <c r="J210">
        <v>3.6</v>
      </c>
      <c r="K210">
        <v>3.15</v>
      </c>
      <c r="L210">
        <v>2</v>
      </c>
      <c r="M210">
        <v>3.55</v>
      </c>
      <c r="N210">
        <v>3.35</v>
      </c>
      <c r="O210">
        <v>2.1</v>
      </c>
      <c r="P210">
        <v>3.5</v>
      </c>
      <c r="Q210">
        <v>3.3</v>
      </c>
      <c r="R210">
        <v>2.1</v>
      </c>
      <c r="S210">
        <v>0.2625122669283611</v>
      </c>
      <c r="T210">
        <v>0.26496565260058885</v>
      </c>
      <c r="U210">
        <v>0.47252208047105004</v>
      </c>
      <c r="V210">
        <v>0.266654032028807</v>
      </c>
      <c r="W210">
        <v>0.28257367573201936</v>
      </c>
      <c r="X210">
        <v>0.45077229223917376</v>
      </c>
      <c r="Y210">
        <v>0.26829268292682934</v>
      </c>
      <c r="Z210">
        <v>0.28455284552845533</v>
      </c>
      <c r="AA210">
        <v>0.44715447154471549</v>
      </c>
      <c r="AB210">
        <v>0.26581966062799917</v>
      </c>
      <c r="AC210">
        <v>0.27736405795368785</v>
      </c>
      <c r="AD210">
        <v>0.45681628141831315</v>
      </c>
      <c r="AE210" t="s">
        <v>103</v>
      </c>
      <c r="AF210" t="s">
        <v>85</v>
      </c>
      <c r="AG210">
        <v>28.78</v>
      </c>
      <c r="AH210">
        <v>35</v>
      </c>
      <c r="AI210">
        <v>5</v>
      </c>
      <c r="AJ210">
        <v>0</v>
      </c>
      <c r="AK210">
        <v>23.9</v>
      </c>
      <c r="AL210">
        <v>235</v>
      </c>
      <c r="AM210">
        <v>2968</v>
      </c>
      <c r="AN210">
        <v>70</v>
      </c>
      <c r="AO210">
        <v>66</v>
      </c>
      <c r="AP210">
        <v>68</v>
      </c>
      <c r="AQ210">
        <v>3</v>
      </c>
      <c r="AR210" t="s">
        <v>43</v>
      </c>
      <c r="AS210" t="s">
        <v>102</v>
      </c>
      <c r="AT210" t="s">
        <v>85</v>
      </c>
      <c r="AU210">
        <v>25.38</v>
      </c>
      <c r="AV210">
        <v>28</v>
      </c>
      <c r="AW210">
        <v>4</v>
      </c>
      <c r="AX210">
        <v>0</v>
      </c>
      <c r="AY210">
        <v>26.5</v>
      </c>
      <c r="AZ210">
        <v>232</v>
      </c>
      <c r="BA210">
        <v>3005</v>
      </c>
      <c r="BB210">
        <v>71</v>
      </c>
      <c r="BC210">
        <v>72</v>
      </c>
      <c r="BD210">
        <v>69</v>
      </c>
      <c r="BE210">
        <v>3.5</v>
      </c>
      <c r="BF210" t="s">
        <v>46</v>
      </c>
      <c r="BG210">
        <v>3</v>
      </c>
      <c r="BH210">
        <v>16</v>
      </c>
      <c r="BI210">
        <v>0.4</v>
      </c>
      <c r="BJ210" t="s">
        <v>85</v>
      </c>
      <c r="BK210">
        <v>0.22220000000000001</v>
      </c>
      <c r="BL210">
        <v>0.3947</v>
      </c>
      <c r="BM210">
        <v>0.92</v>
      </c>
      <c r="BN210">
        <v>1.1599999999999999</v>
      </c>
    </row>
    <row r="211" spans="1:66" x14ac:dyDescent="0.25">
      <c r="A211">
        <v>3</v>
      </c>
      <c r="B211">
        <v>-3</v>
      </c>
      <c r="C211">
        <v>5</v>
      </c>
      <c r="D211">
        <v>2.46</v>
      </c>
      <c r="E211">
        <v>3.2000000000000006</v>
      </c>
      <c r="F211">
        <v>2.8333333333333335</v>
      </c>
      <c r="G211" s="40">
        <v>0.23</v>
      </c>
      <c r="H211" s="40">
        <v>0.25</v>
      </c>
      <c r="I211" s="40">
        <f t="shared" si="1"/>
        <v>0.52</v>
      </c>
      <c r="J211">
        <v>2.5499999999999998</v>
      </c>
      <c r="K211">
        <v>3.15</v>
      </c>
      <c r="L211">
        <v>2.5499999999999998</v>
      </c>
      <c r="M211">
        <v>2.4500000000000002</v>
      </c>
      <c r="N211">
        <v>3.2</v>
      </c>
      <c r="O211">
        <v>2.95</v>
      </c>
      <c r="P211">
        <v>2.38</v>
      </c>
      <c r="Q211">
        <v>3.25</v>
      </c>
      <c r="R211">
        <v>3</v>
      </c>
      <c r="S211">
        <v>0.36363636363636359</v>
      </c>
      <c r="T211">
        <v>0.27272727272727265</v>
      </c>
      <c r="U211">
        <v>0.36363636363636359</v>
      </c>
      <c r="V211">
        <v>0.38518820769152301</v>
      </c>
      <c r="W211">
        <v>0.29490972151382233</v>
      </c>
      <c r="X211">
        <v>0.31990207079465471</v>
      </c>
      <c r="Y211">
        <v>0.39593908629441626</v>
      </c>
      <c r="Z211">
        <v>0.28994923857868021</v>
      </c>
      <c r="AA211">
        <v>0.31411167512690358</v>
      </c>
      <c r="AB211">
        <v>0.38158788587410092</v>
      </c>
      <c r="AC211">
        <v>0.28586207760659171</v>
      </c>
      <c r="AD211">
        <v>0.33255003651930726</v>
      </c>
      <c r="AE211" t="s">
        <v>100</v>
      </c>
      <c r="AF211" t="s">
        <v>85</v>
      </c>
      <c r="AG211">
        <v>9.3800000000000008</v>
      </c>
      <c r="AH211">
        <v>28</v>
      </c>
      <c r="AI211">
        <v>4</v>
      </c>
      <c r="AJ211">
        <v>0</v>
      </c>
      <c r="AK211">
        <v>26.4</v>
      </c>
      <c r="AL211">
        <v>224</v>
      </c>
      <c r="AM211">
        <v>3048</v>
      </c>
      <c r="AN211">
        <v>69</v>
      </c>
      <c r="AO211">
        <v>69</v>
      </c>
      <c r="AP211">
        <v>70</v>
      </c>
      <c r="AQ211">
        <v>3</v>
      </c>
      <c r="AR211" t="s">
        <v>46</v>
      </c>
      <c r="AS211" t="s">
        <v>92</v>
      </c>
      <c r="AT211" t="s">
        <v>85</v>
      </c>
      <c r="AU211">
        <v>65.13</v>
      </c>
      <c r="AV211">
        <v>32</v>
      </c>
      <c r="AW211">
        <v>5</v>
      </c>
      <c r="AX211">
        <v>1</v>
      </c>
      <c r="AY211">
        <v>25.7</v>
      </c>
      <c r="AZ211">
        <v>98</v>
      </c>
      <c r="BA211">
        <v>4872</v>
      </c>
      <c r="BB211">
        <v>73</v>
      </c>
      <c r="BC211">
        <v>73</v>
      </c>
      <c r="BD211">
        <v>73</v>
      </c>
      <c r="BE211">
        <v>3.5</v>
      </c>
      <c r="BF211" t="s">
        <v>28</v>
      </c>
      <c r="BG211">
        <v>-6</v>
      </c>
      <c r="BH211">
        <v>2</v>
      </c>
      <c r="BI211">
        <v>0.38500000000000001</v>
      </c>
      <c r="BJ211" t="s">
        <v>85</v>
      </c>
      <c r="BK211">
        <v>0.32429999999999998</v>
      </c>
      <c r="BL211">
        <v>0.46810000000000002</v>
      </c>
      <c r="BM211">
        <v>1.19</v>
      </c>
      <c r="BN211">
        <v>1.3</v>
      </c>
    </row>
    <row r="212" spans="1:66" x14ac:dyDescent="0.25">
      <c r="A212">
        <v>1</v>
      </c>
      <c r="B212">
        <v>1</v>
      </c>
      <c r="C212">
        <v>1</v>
      </c>
      <c r="D212">
        <v>6.1000000000000005</v>
      </c>
      <c r="E212">
        <v>3.7833333333333337</v>
      </c>
      <c r="F212">
        <v>1.5433333333333332</v>
      </c>
      <c r="G212" s="40">
        <v>0.17</v>
      </c>
      <c r="H212" s="40">
        <v>0.19</v>
      </c>
      <c r="I212" s="40">
        <f t="shared" si="1"/>
        <v>0.6399999999999999</v>
      </c>
      <c r="J212">
        <v>6.5</v>
      </c>
      <c r="K212">
        <v>3.7</v>
      </c>
      <c r="L212">
        <v>1.48</v>
      </c>
      <c r="M212">
        <v>6</v>
      </c>
      <c r="N212">
        <v>3.8</v>
      </c>
      <c r="O212">
        <v>1.57</v>
      </c>
      <c r="P212">
        <v>5.8</v>
      </c>
      <c r="Q212">
        <v>3.85</v>
      </c>
      <c r="R212">
        <v>1.58</v>
      </c>
      <c r="S212">
        <v>0.1499684338410445</v>
      </c>
      <c r="T212">
        <v>0.19138641753274654</v>
      </c>
      <c r="U212">
        <v>0.65864514862620893</v>
      </c>
      <c r="V212">
        <v>0.15623526947048658</v>
      </c>
      <c r="W212">
        <v>0.2466872675849788</v>
      </c>
      <c r="X212">
        <v>0.59707746294453468</v>
      </c>
      <c r="Y212">
        <v>0.16188093780770155</v>
      </c>
      <c r="Z212">
        <v>0.24387258163238151</v>
      </c>
      <c r="AA212">
        <v>0.59424648055991702</v>
      </c>
      <c r="AB212">
        <v>0.15602821370641087</v>
      </c>
      <c r="AC212">
        <v>0.22731542225003562</v>
      </c>
      <c r="AD212">
        <v>0.61665636404355351</v>
      </c>
      <c r="AE212" t="s">
        <v>104</v>
      </c>
      <c r="AF212" t="s">
        <v>85</v>
      </c>
      <c r="AG212">
        <v>5.55</v>
      </c>
      <c r="AH212">
        <v>26</v>
      </c>
      <c r="AI212">
        <v>1</v>
      </c>
      <c r="AJ212">
        <v>0</v>
      </c>
      <c r="AK212">
        <v>27.3</v>
      </c>
      <c r="AL212">
        <v>277</v>
      </c>
      <c r="AM212">
        <v>2592</v>
      </c>
      <c r="AN212">
        <v>68</v>
      </c>
      <c r="AO212">
        <v>67</v>
      </c>
      <c r="AP212">
        <v>68</v>
      </c>
      <c r="AQ212">
        <v>2.5</v>
      </c>
      <c r="AR212" t="s">
        <v>43</v>
      </c>
      <c r="AS212" t="s">
        <v>86</v>
      </c>
      <c r="AT212" t="s">
        <v>85</v>
      </c>
      <c r="AU212">
        <v>80.2</v>
      </c>
      <c r="AV212">
        <v>31</v>
      </c>
      <c r="AW212">
        <v>6</v>
      </c>
      <c r="AX212">
        <v>4</v>
      </c>
      <c r="AY212">
        <v>26.9</v>
      </c>
      <c r="AZ212">
        <v>10</v>
      </c>
      <c r="BA212">
        <v>9954</v>
      </c>
      <c r="BB212">
        <v>75</v>
      </c>
      <c r="BC212">
        <v>76</v>
      </c>
      <c r="BD212">
        <v>76</v>
      </c>
      <c r="BE212">
        <v>4</v>
      </c>
      <c r="BF212" t="s">
        <v>46</v>
      </c>
      <c r="BG212">
        <v>-5</v>
      </c>
      <c r="BH212">
        <v>-8</v>
      </c>
      <c r="BI212">
        <v>0</v>
      </c>
      <c r="BJ212" t="s">
        <v>85</v>
      </c>
      <c r="BK212">
        <v>0.16220000000000001</v>
      </c>
      <c r="BL212">
        <v>0.56000000000000005</v>
      </c>
      <c r="BM212">
        <v>0.84</v>
      </c>
      <c r="BN212">
        <v>1.5</v>
      </c>
    </row>
    <row r="213" spans="1:66" x14ac:dyDescent="0.25">
      <c r="A213">
        <v>3</v>
      </c>
      <c r="B213">
        <v>-1</v>
      </c>
      <c r="C213">
        <v>1</v>
      </c>
      <c r="D213">
        <v>2.2166666666666668</v>
      </c>
      <c r="E213">
        <v>3.0333333333333332</v>
      </c>
      <c r="F213">
        <v>3.7333333333333329</v>
      </c>
      <c r="G213" s="40">
        <v>0.39</v>
      </c>
      <c r="H213" s="40">
        <v>0.38</v>
      </c>
      <c r="I213" s="40">
        <f t="shared" si="1"/>
        <v>0.22999999999999998</v>
      </c>
      <c r="J213">
        <v>2.23</v>
      </c>
      <c r="K213">
        <v>3.05</v>
      </c>
      <c r="L213">
        <v>3.75</v>
      </c>
      <c r="M213">
        <v>2.2000000000000002</v>
      </c>
      <c r="N213">
        <v>3</v>
      </c>
      <c r="O213">
        <v>3.7</v>
      </c>
      <c r="P213">
        <v>2.2200000000000002</v>
      </c>
      <c r="Q213">
        <v>3.05</v>
      </c>
      <c r="R213">
        <v>3.75</v>
      </c>
      <c r="S213">
        <v>0.4502332106855349</v>
      </c>
      <c r="T213">
        <v>0.28202810669346712</v>
      </c>
      <c r="U213">
        <v>0.26773868262099809</v>
      </c>
      <c r="V213">
        <v>0.42956656346749222</v>
      </c>
      <c r="W213">
        <v>0.31501547987616102</v>
      </c>
      <c r="X213">
        <v>0.25541795665634676</v>
      </c>
      <c r="Y213">
        <v>0.43105885013285095</v>
      </c>
      <c r="Z213">
        <v>0.31375431058850134</v>
      </c>
      <c r="AA213">
        <v>0.25518683927864777</v>
      </c>
      <c r="AB213">
        <v>0.43695287476195938</v>
      </c>
      <c r="AC213">
        <v>0.30359929905270983</v>
      </c>
      <c r="AD213">
        <v>0.25944782618533085</v>
      </c>
      <c r="AE213" t="s">
        <v>145</v>
      </c>
      <c r="AF213" t="s">
        <v>141</v>
      </c>
      <c r="AG213">
        <v>155.69999999999999</v>
      </c>
      <c r="AH213">
        <v>26</v>
      </c>
      <c r="AI213">
        <v>14</v>
      </c>
      <c r="AJ213">
        <v>8</v>
      </c>
      <c r="AK213">
        <v>27.3</v>
      </c>
      <c r="AL213">
        <v>27</v>
      </c>
      <c r="AM213">
        <v>7881</v>
      </c>
      <c r="AN213">
        <v>80</v>
      </c>
      <c r="AO213">
        <v>77</v>
      </c>
      <c r="AP213">
        <v>78</v>
      </c>
      <c r="AQ213">
        <v>4</v>
      </c>
      <c r="AR213" t="s">
        <v>46</v>
      </c>
      <c r="AS213" t="s">
        <v>155</v>
      </c>
      <c r="AT213" t="s">
        <v>141</v>
      </c>
      <c r="AU213">
        <v>46.75</v>
      </c>
      <c r="AV213">
        <v>22</v>
      </c>
      <c r="AW213">
        <v>6</v>
      </c>
      <c r="AX213">
        <v>1</v>
      </c>
      <c r="AY213">
        <v>29</v>
      </c>
      <c r="AZ213">
        <v>159</v>
      </c>
      <c r="BA213">
        <v>3861</v>
      </c>
      <c r="BB213">
        <v>77</v>
      </c>
      <c r="BC213">
        <v>78</v>
      </c>
      <c r="BD213">
        <v>75</v>
      </c>
      <c r="BE213">
        <v>4</v>
      </c>
      <c r="BF213" t="s">
        <v>46</v>
      </c>
      <c r="BG213">
        <v>4</v>
      </c>
      <c r="BH213">
        <v>19</v>
      </c>
      <c r="BI213">
        <v>0.28000000000000003</v>
      </c>
      <c r="BJ213" t="s">
        <v>270</v>
      </c>
      <c r="BK213">
        <v>0.40820000000000001</v>
      </c>
      <c r="BL213">
        <v>0.31709999999999999</v>
      </c>
      <c r="BM213">
        <v>1.1399999999999999</v>
      </c>
      <c r="BN213">
        <v>1.1499999999999999</v>
      </c>
    </row>
    <row r="214" spans="1:66" x14ac:dyDescent="0.25">
      <c r="A214">
        <v>1</v>
      </c>
      <c r="B214">
        <v>3</v>
      </c>
      <c r="C214">
        <v>3</v>
      </c>
      <c r="D214">
        <v>2.09</v>
      </c>
      <c r="E214">
        <v>3.1833333333333336</v>
      </c>
      <c r="F214">
        <v>3.8666666666666667</v>
      </c>
      <c r="G214" s="40">
        <v>0.3</v>
      </c>
      <c r="H214" s="40">
        <v>0.52</v>
      </c>
      <c r="I214" s="40">
        <f t="shared" si="1"/>
        <v>0.17999999999999994</v>
      </c>
      <c r="J214">
        <v>2.08</v>
      </c>
      <c r="K214">
        <v>3.25</v>
      </c>
      <c r="L214">
        <v>3.95</v>
      </c>
      <c r="M214">
        <v>2.09</v>
      </c>
      <c r="N214">
        <v>3.1</v>
      </c>
      <c r="O214">
        <v>3.85</v>
      </c>
      <c r="P214">
        <v>2.1</v>
      </c>
      <c r="Q214">
        <v>3.2</v>
      </c>
      <c r="R214">
        <v>3.8</v>
      </c>
      <c r="S214">
        <v>0.4836106394659242</v>
      </c>
      <c r="T214">
        <v>0.26172856810644984</v>
      </c>
      <c r="U214">
        <v>0.2546607924276259</v>
      </c>
      <c r="V214">
        <v>0.45104967782165872</v>
      </c>
      <c r="W214">
        <v>0.30409478278944085</v>
      </c>
      <c r="X214">
        <v>0.24485553938890048</v>
      </c>
      <c r="Y214">
        <v>0.45271779597915118</v>
      </c>
      <c r="Z214">
        <v>0.29709605361131797</v>
      </c>
      <c r="AA214">
        <v>0.25018615040953091</v>
      </c>
      <c r="AB214">
        <v>0.46245937108891139</v>
      </c>
      <c r="AC214">
        <v>0.28763980150240287</v>
      </c>
      <c r="AD214">
        <v>0.24990082740868577</v>
      </c>
      <c r="AE214" t="s">
        <v>142</v>
      </c>
      <c r="AF214" t="s">
        <v>141</v>
      </c>
      <c r="AG214">
        <v>328.38</v>
      </c>
      <c r="AH214">
        <v>26</v>
      </c>
      <c r="AI214">
        <v>14</v>
      </c>
      <c r="AJ214">
        <v>8</v>
      </c>
      <c r="AK214">
        <v>25.8</v>
      </c>
      <c r="AL214">
        <v>11</v>
      </c>
      <c r="AM214">
        <v>9770</v>
      </c>
      <c r="AN214">
        <v>81</v>
      </c>
      <c r="AO214">
        <v>81</v>
      </c>
      <c r="AP214">
        <v>81</v>
      </c>
      <c r="AQ214">
        <v>4.5</v>
      </c>
      <c r="AR214" t="s">
        <v>29</v>
      </c>
      <c r="AS214" t="s">
        <v>154</v>
      </c>
      <c r="AT214" t="s">
        <v>141</v>
      </c>
      <c r="AU214">
        <v>61.55</v>
      </c>
      <c r="AV214">
        <v>28</v>
      </c>
      <c r="AW214">
        <v>5</v>
      </c>
      <c r="AX214">
        <v>3</v>
      </c>
      <c r="AY214">
        <v>27.8</v>
      </c>
      <c r="AZ214">
        <v>139</v>
      </c>
      <c r="BA214">
        <v>4059</v>
      </c>
      <c r="BB214">
        <v>76</v>
      </c>
      <c r="BC214">
        <v>76</v>
      </c>
      <c r="BD214">
        <v>73</v>
      </c>
      <c r="BE214">
        <v>4</v>
      </c>
      <c r="BF214" t="s">
        <v>43</v>
      </c>
      <c r="BG214">
        <v>46</v>
      </c>
      <c r="BH214">
        <v>75</v>
      </c>
      <c r="BI214">
        <v>0.46100000000000002</v>
      </c>
      <c r="BJ214" t="s">
        <v>270</v>
      </c>
      <c r="BK214">
        <v>0.36</v>
      </c>
      <c r="BL214">
        <v>0.24390000000000001</v>
      </c>
      <c r="BM214">
        <v>1.24</v>
      </c>
      <c r="BN214">
        <v>0.9</v>
      </c>
    </row>
    <row r="215" spans="1:66" x14ac:dyDescent="0.25">
      <c r="A215">
        <v>3</v>
      </c>
      <c r="B215">
        <v>-2</v>
      </c>
      <c r="C215">
        <v>6</v>
      </c>
      <c r="D215">
        <v>1.9766666666666666</v>
      </c>
      <c r="E215">
        <v>3.6166666666666667</v>
      </c>
      <c r="F215">
        <v>3.75</v>
      </c>
      <c r="G215" s="40">
        <v>0.36</v>
      </c>
      <c r="H215" s="40">
        <v>0.34</v>
      </c>
      <c r="I215" s="40">
        <f t="shared" si="1"/>
        <v>0.3</v>
      </c>
      <c r="J215">
        <v>1.98</v>
      </c>
      <c r="K215">
        <v>3.75</v>
      </c>
      <c r="L215">
        <v>3.7</v>
      </c>
      <c r="M215">
        <v>2.0099999999999998</v>
      </c>
      <c r="N215">
        <v>3.4</v>
      </c>
      <c r="O215">
        <v>3.7</v>
      </c>
      <c r="P215">
        <v>1.94</v>
      </c>
      <c r="Q215">
        <v>3.7</v>
      </c>
      <c r="R215">
        <v>3.85</v>
      </c>
      <c r="S215">
        <v>0.5035708237471137</v>
      </c>
      <c r="T215">
        <v>0.22695073543686314</v>
      </c>
      <c r="U215">
        <v>0.26947844081602307</v>
      </c>
      <c r="V215">
        <v>0.46851141484488473</v>
      </c>
      <c r="W215">
        <v>0.27697292465829948</v>
      </c>
      <c r="X215">
        <v>0.25451566049681573</v>
      </c>
      <c r="Y215">
        <v>0.49304305690156447</v>
      </c>
      <c r="Z215">
        <v>0.25851446767271213</v>
      </c>
      <c r="AA215">
        <v>0.24844247542572337</v>
      </c>
      <c r="AB215">
        <v>0.48837509849785432</v>
      </c>
      <c r="AC215">
        <v>0.25414604258929158</v>
      </c>
      <c r="AD215">
        <v>0.25747885891285405</v>
      </c>
      <c r="AE215" t="s">
        <v>149</v>
      </c>
      <c r="AF215" t="s">
        <v>141</v>
      </c>
      <c r="AG215">
        <v>271.52999999999997</v>
      </c>
      <c r="AH215">
        <v>27</v>
      </c>
      <c r="AI215">
        <v>6</v>
      </c>
      <c r="AJ215">
        <v>7</v>
      </c>
      <c r="AK215">
        <v>27.4</v>
      </c>
      <c r="AL215">
        <v>77</v>
      </c>
      <c r="AM215">
        <v>5396</v>
      </c>
      <c r="AN215">
        <v>80</v>
      </c>
      <c r="AO215">
        <v>79</v>
      </c>
      <c r="AP215">
        <v>78</v>
      </c>
      <c r="AQ215">
        <v>4.5</v>
      </c>
      <c r="AR215" t="s">
        <v>29</v>
      </c>
      <c r="AS215" t="s">
        <v>153</v>
      </c>
      <c r="AT215" t="s">
        <v>141</v>
      </c>
      <c r="AU215">
        <v>128.25</v>
      </c>
      <c r="AV215">
        <v>26</v>
      </c>
      <c r="AW215">
        <v>8</v>
      </c>
      <c r="AX215">
        <v>4</v>
      </c>
      <c r="AY215">
        <v>26.4</v>
      </c>
      <c r="AZ215">
        <v>138</v>
      </c>
      <c r="BA215">
        <v>4059</v>
      </c>
      <c r="BB215">
        <v>80</v>
      </c>
      <c r="BC215">
        <v>77</v>
      </c>
      <c r="BD215">
        <v>76</v>
      </c>
      <c r="BE215">
        <v>4</v>
      </c>
      <c r="BF215" t="s">
        <v>29</v>
      </c>
      <c r="BG215">
        <v>10</v>
      </c>
      <c r="BH215">
        <v>3</v>
      </c>
      <c r="BI215">
        <v>0.38700000000000001</v>
      </c>
      <c r="BJ215" t="s">
        <v>270</v>
      </c>
      <c r="BK215">
        <v>0.51160000000000005</v>
      </c>
      <c r="BL215">
        <v>0.2195</v>
      </c>
      <c r="BM215">
        <v>1.79</v>
      </c>
      <c r="BN215">
        <v>1.07</v>
      </c>
    </row>
    <row r="216" spans="1:66" x14ac:dyDescent="0.25">
      <c r="A216">
        <v>2</v>
      </c>
      <c r="B216">
        <v>0</v>
      </c>
      <c r="C216">
        <v>4</v>
      </c>
      <c r="D216">
        <v>1.9400000000000002</v>
      </c>
      <c r="E216">
        <v>3.6666666666666665</v>
      </c>
      <c r="F216">
        <v>3.8833333333333329</v>
      </c>
      <c r="G216" s="40">
        <v>0.41</v>
      </c>
      <c r="H216" s="40">
        <v>0.28999999999999998</v>
      </c>
      <c r="I216" s="40">
        <f t="shared" si="1"/>
        <v>0.3000000000000001</v>
      </c>
      <c r="J216">
        <v>1.93</v>
      </c>
      <c r="K216">
        <v>3.8</v>
      </c>
      <c r="L216">
        <v>3.9</v>
      </c>
      <c r="M216">
        <v>2.0299999999999998</v>
      </c>
      <c r="N216">
        <v>3.4</v>
      </c>
      <c r="O216">
        <v>3.7</v>
      </c>
      <c r="P216">
        <v>1.86</v>
      </c>
      <c r="Q216">
        <v>3.8</v>
      </c>
      <c r="R216">
        <v>4.05</v>
      </c>
      <c r="S216">
        <v>0.5200722642909732</v>
      </c>
      <c r="T216">
        <v>0.22255864081631446</v>
      </c>
      <c r="U216">
        <v>0.25736909489271231</v>
      </c>
      <c r="V216">
        <v>0.4660467528618531</v>
      </c>
      <c r="W216">
        <v>0.27825732597340053</v>
      </c>
      <c r="X216">
        <v>0.25569592116474638</v>
      </c>
      <c r="Y216">
        <v>0.51315394618385513</v>
      </c>
      <c r="Z216">
        <v>0.25117535260578178</v>
      </c>
      <c r="AA216">
        <v>0.2356707012103631</v>
      </c>
      <c r="AB216">
        <v>0.49975765444556047</v>
      </c>
      <c r="AC216">
        <v>0.25066377313183225</v>
      </c>
      <c r="AD216">
        <v>0.24957857242260725</v>
      </c>
      <c r="AE216" t="s">
        <v>144</v>
      </c>
      <c r="AF216" t="s">
        <v>141</v>
      </c>
      <c r="AG216">
        <v>1080</v>
      </c>
      <c r="AH216">
        <v>34</v>
      </c>
      <c r="AI216">
        <v>20</v>
      </c>
      <c r="AJ216">
        <v>21</v>
      </c>
      <c r="AK216">
        <v>26.1</v>
      </c>
      <c r="AL216">
        <v>18</v>
      </c>
      <c r="AM216">
        <v>8949</v>
      </c>
      <c r="AN216">
        <v>85</v>
      </c>
      <c r="AO216">
        <v>87</v>
      </c>
      <c r="AP216">
        <v>85</v>
      </c>
      <c r="AQ216">
        <v>5</v>
      </c>
      <c r="AR216" t="s">
        <v>28</v>
      </c>
      <c r="AS216" t="s">
        <v>146</v>
      </c>
      <c r="AT216" t="s">
        <v>141</v>
      </c>
      <c r="AU216">
        <v>318</v>
      </c>
      <c r="AV216">
        <v>29</v>
      </c>
      <c r="AW216">
        <v>13</v>
      </c>
      <c r="AX216">
        <v>7</v>
      </c>
      <c r="AY216">
        <v>27.2</v>
      </c>
      <c r="AZ216">
        <v>31</v>
      </c>
      <c r="BA216">
        <v>7447</v>
      </c>
      <c r="BB216">
        <v>79</v>
      </c>
      <c r="BC216">
        <v>81</v>
      </c>
      <c r="BD216">
        <v>80</v>
      </c>
      <c r="BE216">
        <v>4.5</v>
      </c>
      <c r="BF216" t="s">
        <v>29</v>
      </c>
      <c r="BG216">
        <v>133</v>
      </c>
      <c r="BH216">
        <v>151</v>
      </c>
      <c r="BI216">
        <v>0.53900000000000003</v>
      </c>
      <c r="BJ216" t="s">
        <v>270</v>
      </c>
      <c r="BK216">
        <v>0.62749999999999995</v>
      </c>
      <c r="BL216">
        <v>0.57410000000000005</v>
      </c>
      <c r="BM216">
        <v>1.94</v>
      </c>
      <c r="BN216">
        <v>1.61</v>
      </c>
    </row>
    <row r="217" spans="1:66" x14ac:dyDescent="0.25">
      <c r="A217">
        <v>3</v>
      </c>
      <c r="B217">
        <v>-3</v>
      </c>
      <c r="C217">
        <v>5</v>
      </c>
      <c r="D217">
        <v>2.0866666666666664</v>
      </c>
      <c r="E217">
        <v>3.5833333333333335</v>
      </c>
      <c r="F217">
        <v>3.4499999999999997</v>
      </c>
      <c r="G217" s="40">
        <v>0.31</v>
      </c>
      <c r="H217" s="40">
        <v>0.28999999999999998</v>
      </c>
      <c r="I217" s="40">
        <f t="shared" si="1"/>
        <v>0.39999999999999997</v>
      </c>
      <c r="J217">
        <v>2.06</v>
      </c>
      <c r="K217">
        <v>3.65</v>
      </c>
      <c r="L217">
        <v>3.4</v>
      </c>
      <c r="M217">
        <v>2.1</v>
      </c>
      <c r="N217">
        <v>3.55</v>
      </c>
      <c r="O217">
        <v>3.5</v>
      </c>
      <c r="P217">
        <v>2.1</v>
      </c>
      <c r="Q217">
        <v>3.55</v>
      </c>
      <c r="R217">
        <v>3.45</v>
      </c>
      <c r="S217">
        <v>0.47666246975095322</v>
      </c>
      <c r="T217">
        <v>0.23453615151758686</v>
      </c>
      <c r="U217">
        <v>0.28880137873145989</v>
      </c>
      <c r="V217">
        <v>0.45629820051413877</v>
      </c>
      <c r="W217">
        <v>0.26992287917737789</v>
      </c>
      <c r="X217">
        <v>0.27377892030848328</v>
      </c>
      <c r="Y217">
        <v>0.45449485109935989</v>
      </c>
      <c r="Z217">
        <v>0.26885610910102981</v>
      </c>
      <c r="AA217">
        <v>0.27664903979961036</v>
      </c>
      <c r="AB217">
        <v>0.46248517378815063</v>
      </c>
      <c r="AC217">
        <v>0.25777171326533155</v>
      </c>
      <c r="AD217">
        <v>0.27974311294651782</v>
      </c>
      <c r="AE217" t="s">
        <v>60</v>
      </c>
      <c r="AF217" t="s">
        <v>26</v>
      </c>
      <c r="AG217">
        <v>94.35</v>
      </c>
      <c r="AH217">
        <v>32</v>
      </c>
      <c r="AI217">
        <v>11</v>
      </c>
      <c r="AJ217">
        <v>5</v>
      </c>
      <c r="AK217">
        <v>25.3</v>
      </c>
      <c r="AL217">
        <v>299</v>
      </c>
      <c r="AM217">
        <v>2454</v>
      </c>
      <c r="AN217">
        <v>76</v>
      </c>
      <c r="AO217">
        <v>75</v>
      </c>
      <c r="AP217">
        <v>73</v>
      </c>
      <c r="AQ217">
        <v>4</v>
      </c>
      <c r="AR217" t="s">
        <v>46</v>
      </c>
      <c r="AS217" t="s">
        <v>55</v>
      </c>
      <c r="AT217" t="s">
        <v>26</v>
      </c>
      <c r="AU217">
        <v>108.3</v>
      </c>
      <c r="AV217">
        <v>28</v>
      </c>
      <c r="AW217">
        <v>11</v>
      </c>
      <c r="AX217">
        <v>8</v>
      </c>
      <c r="AY217">
        <v>25.8</v>
      </c>
      <c r="AZ217">
        <v>213</v>
      </c>
      <c r="BA217">
        <v>3138</v>
      </c>
      <c r="BB217">
        <v>76</v>
      </c>
      <c r="BC217">
        <v>73</v>
      </c>
      <c r="BD217">
        <v>75</v>
      </c>
      <c r="BE217">
        <v>3.5</v>
      </c>
      <c r="BF217" t="s">
        <v>29</v>
      </c>
      <c r="BG217">
        <v>-2</v>
      </c>
      <c r="BH217">
        <v>-5</v>
      </c>
      <c r="BI217">
        <v>0.35899999999999999</v>
      </c>
      <c r="BJ217" t="s">
        <v>273</v>
      </c>
      <c r="BK217">
        <v>0.27779999999999999</v>
      </c>
      <c r="BL217">
        <v>0.38890000000000002</v>
      </c>
      <c r="BM217">
        <v>1.56</v>
      </c>
      <c r="BN217">
        <v>1.39</v>
      </c>
    </row>
    <row r="218" spans="1:66" x14ac:dyDescent="0.25">
      <c r="A218">
        <v>1</v>
      </c>
      <c r="B218">
        <v>2</v>
      </c>
      <c r="C218">
        <v>2</v>
      </c>
      <c r="D218">
        <v>2.61</v>
      </c>
      <c r="E218">
        <v>2.9033333333333338</v>
      </c>
      <c r="F218">
        <v>2.8866666666666667</v>
      </c>
      <c r="G218" s="40">
        <v>0.38</v>
      </c>
      <c r="H218" s="40">
        <v>0.4</v>
      </c>
      <c r="I218" s="40">
        <f t="shared" si="1"/>
        <v>0.21999999999999997</v>
      </c>
      <c r="J218">
        <v>2.63</v>
      </c>
      <c r="K218">
        <v>2.8</v>
      </c>
      <c r="L218">
        <v>2.75</v>
      </c>
      <c r="M218">
        <v>2.6</v>
      </c>
      <c r="N218">
        <v>2.95</v>
      </c>
      <c r="O218">
        <v>2.95</v>
      </c>
      <c r="P218">
        <v>2.6</v>
      </c>
      <c r="Q218">
        <v>2.96</v>
      </c>
      <c r="R218">
        <v>2.96</v>
      </c>
      <c r="S218">
        <v>0.35394391611940251</v>
      </c>
      <c r="T218">
        <v>0.3075569931918597</v>
      </c>
      <c r="U218">
        <v>0.33849909068873768</v>
      </c>
      <c r="V218">
        <v>0.3619631901840491</v>
      </c>
      <c r="W218">
        <v>0.31901840490797545</v>
      </c>
      <c r="X218">
        <v>0.31901840490797545</v>
      </c>
      <c r="Y218">
        <v>0.36274509803921567</v>
      </c>
      <c r="Z218">
        <v>0.31862745098039214</v>
      </c>
      <c r="AA218">
        <v>0.31862745098039214</v>
      </c>
      <c r="AB218">
        <v>0.35955073478088906</v>
      </c>
      <c r="AC218">
        <v>0.31506761636007574</v>
      </c>
      <c r="AD218">
        <v>0.32538164885903509</v>
      </c>
      <c r="AE218" t="s">
        <v>89</v>
      </c>
      <c r="AF218" t="s">
        <v>85</v>
      </c>
      <c r="AG218">
        <v>27.63</v>
      </c>
      <c r="AH218">
        <v>32</v>
      </c>
      <c r="AI218">
        <v>5</v>
      </c>
      <c r="AJ218">
        <v>1</v>
      </c>
      <c r="AK218">
        <v>26</v>
      </c>
      <c r="AL218">
        <v>78</v>
      </c>
      <c r="AM218">
        <v>5364</v>
      </c>
      <c r="AN218">
        <v>72</v>
      </c>
      <c r="AO218">
        <v>67</v>
      </c>
      <c r="AP218">
        <v>71</v>
      </c>
      <c r="AQ218">
        <v>3</v>
      </c>
      <c r="AR218" t="s">
        <v>29</v>
      </c>
      <c r="AS218" t="s">
        <v>97</v>
      </c>
      <c r="AT218" t="s">
        <v>85</v>
      </c>
      <c r="AU218">
        <v>21.13</v>
      </c>
      <c r="AV218">
        <v>27</v>
      </c>
      <c r="AW218">
        <v>3</v>
      </c>
      <c r="AX218">
        <v>0</v>
      </c>
      <c r="AY218">
        <v>25.2</v>
      </c>
      <c r="AZ218">
        <v>151</v>
      </c>
      <c r="BA218">
        <v>3948</v>
      </c>
      <c r="BB218">
        <v>70</v>
      </c>
      <c r="BC218">
        <v>74</v>
      </c>
      <c r="BD218">
        <v>72</v>
      </c>
      <c r="BE218">
        <v>3.5</v>
      </c>
      <c r="BF218" t="s">
        <v>29</v>
      </c>
      <c r="BG218">
        <v>-5</v>
      </c>
      <c r="BH218">
        <v>7</v>
      </c>
      <c r="BI218">
        <v>0.379</v>
      </c>
      <c r="BJ218" t="s">
        <v>85</v>
      </c>
      <c r="BK218">
        <v>0.46150000000000002</v>
      </c>
      <c r="BL218">
        <v>0.2571</v>
      </c>
      <c r="BM218">
        <v>0.95</v>
      </c>
      <c r="BN218">
        <v>0.83</v>
      </c>
    </row>
    <row r="219" spans="1:66" x14ac:dyDescent="0.25">
      <c r="A219">
        <v>1</v>
      </c>
      <c r="B219">
        <v>2</v>
      </c>
      <c r="C219">
        <v>2</v>
      </c>
      <c r="D219">
        <v>2.3199999999999998</v>
      </c>
      <c r="E219">
        <v>3.2166666666666668</v>
      </c>
      <c r="F219">
        <v>3.0166666666666662</v>
      </c>
      <c r="G219" s="40">
        <v>0.34</v>
      </c>
      <c r="H219" s="40">
        <v>0.37</v>
      </c>
      <c r="I219" s="40">
        <f t="shared" si="1"/>
        <v>0.28999999999999992</v>
      </c>
      <c r="J219">
        <v>2.25</v>
      </c>
      <c r="K219">
        <v>3.25</v>
      </c>
      <c r="L219">
        <v>2.9</v>
      </c>
      <c r="M219">
        <v>2.35</v>
      </c>
      <c r="N219">
        <v>3.2</v>
      </c>
      <c r="O219">
        <v>3.1</v>
      </c>
      <c r="P219">
        <v>2.36</v>
      </c>
      <c r="Q219">
        <v>3.2</v>
      </c>
      <c r="R219">
        <v>3.05</v>
      </c>
      <c r="S219">
        <v>0.41499546508112473</v>
      </c>
      <c r="T219">
        <v>0.26302529476972686</v>
      </c>
      <c r="U219">
        <v>0.32197924014914847</v>
      </c>
      <c r="V219">
        <v>0.40121334681496462</v>
      </c>
      <c r="W219">
        <v>0.29464105156723963</v>
      </c>
      <c r="X219">
        <v>0.3041456016177958</v>
      </c>
      <c r="Y219">
        <v>0.39820481436148508</v>
      </c>
      <c r="Z219">
        <v>0.29367605059159524</v>
      </c>
      <c r="AA219">
        <v>0.30811913504691962</v>
      </c>
      <c r="AB219">
        <v>0.40480454208585814</v>
      </c>
      <c r="AC219">
        <v>0.2837807989761873</v>
      </c>
      <c r="AD219">
        <v>0.31141465893795461</v>
      </c>
      <c r="AE219" t="s">
        <v>91</v>
      </c>
      <c r="AF219" t="s">
        <v>85</v>
      </c>
      <c r="AG219">
        <v>59.6</v>
      </c>
      <c r="AH219">
        <v>34</v>
      </c>
      <c r="AI219">
        <v>4</v>
      </c>
      <c r="AJ219">
        <v>3</v>
      </c>
      <c r="AK219">
        <v>27.8</v>
      </c>
      <c r="AL219">
        <v>97</v>
      </c>
      <c r="AM219">
        <v>4926</v>
      </c>
      <c r="AN219">
        <v>78</v>
      </c>
      <c r="AO219">
        <v>76</v>
      </c>
      <c r="AP219">
        <v>75</v>
      </c>
      <c r="AQ219">
        <v>4</v>
      </c>
      <c r="AR219" t="s">
        <v>29</v>
      </c>
      <c r="AS219" t="s">
        <v>90</v>
      </c>
      <c r="AT219" t="s">
        <v>85</v>
      </c>
      <c r="AU219">
        <v>52.93</v>
      </c>
      <c r="AV219">
        <v>37</v>
      </c>
      <c r="AW219">
        <v>4</v>
      </c>
      <c r="AX219">
        <v>2</v>
      </c>
      <c r="AY219">
        <v>26.1</v>
      </c>
      <c r="AZ219">
        <v>88</v>
      </c>
      <c r="BA219">
        <v>5121</v>
      </c>
      <c r="BB219">
        <v>75</v>
      </c>
      <c r="BC219">
        <v>73</v>
      </c>
      <c r="BD219">
        <v>73</v>
      </c>
      <c r="BE219">
        <v>3.5</v>
      </c>
      <c r="BF219" t="s">
        <v>29</v>
      </c>
      <c r="BG219">
        <v>-5</v>
      </c>
      <c r="BH219">
        <v>1</v>
      </c>
      <c r="BI219">
        <v>0.40699999999999997</v>
      </c>
      <c r="BJ219" t="s">
        <v>85</v>
      </c>
      <c r="BK219">
        <v>0.42859999999999998</v>
      </c>
      <c r="BL219">
        <v>0.45950000000000002</v>
      </c>
      <c r="BM219">
        <v>1.35</v>
      </c>
      <c r="BN219">
        <v>1.43</v>
      </c>
    </row>
    <row r="220" spans="1:66" x14ac:dyDescent="0.25">
      <c r="A220">
        <v>3</v>
      </c>
      <c r="B220">
        <v>-2</v>
      </c>
      <c r="C220">
        <v>4</v>
      </c>
      <c r="D220">
        <v>3.6</v>
      </c>
      <c r="E220">
        <v>3.25</v>
      </c>
      <c r="F220">
        <v>2.1</v>
      </c>
      <c r="G220" s="40">
        <v>0.31</v>
      </c>
      <c r="H220" s="40">
        <v>0.36</v>
      </c>
      <c r="I220" s="40">
        <f t="shared" si="1"/>
        <v>0.32999999999999996</v>
      </c>
      <c r="J220">
        <v>3.6</v>
      </c>
      <c r="K220">
        <v>3.25</v>
      </c>
      <c r="L220">
        <v>2.1</v>
      </c>
      <c r="M220">
        <v>3.6</v>
      </c>
      <c r="N220">
        <v>3.25</v>
      </c>
      <c r="O220">
        <v>2.1</v>
      </c>
      <c r="P220">
        <v>3.6</v>
      </c>
      <c r="Q220">
        <v>3.25</v>
      </c>
      <c r="R220">
        <v>2.1</v>
      </c>
      <c r="S220">
        <v>0.27184466019417475</v>
      </c>
      <c r="T220">
        <v>0.26213592233009714</v>
      </c>
      <c r="U220">
        <v>0.46601941747572811</v>
      </c>
      <c r="V220">
        <v>0.26164462334675104</v>
      </c>
      <c r="W220">
        <v>0.28982173663024735</v>
      </c>
      <c r="X220">
        <v>0.44853364002300172</v>
      </c>
      <c r="Y220">
        <v>0.26164462334675104</v>
      </c>
      <c r="Z220">
        <v>0.28982173663024735</v>
      </c>
      <c r="AA220">
        <v>0.44853364002300172</v>
      </c>
      <c r="AB220">
        <v>0.26504463562922559</v>
      </c>
      <c r="AC220">
        <v>0.28059313186353063</v>
      </c>
      <c r="AD220">
        <v>0.45436223250724384</v>
      </c>
      <c r="AE220" t="s">
        <v>101</v>
      </c>
      <c r="AF220" t="s">
        <v>85</v>
      </c>
      <c r="AG220">
        <v>11.2</v>
      </c>
      <c r="AH220">
        <v>21</v>
      </c>
      <c r="AI220">
        <v>3</v>
      </c>
      <c r="AJ220">
        <v>2</v>
      </c>
      <c r="AK220">
        <v>25.7</v>
      </c>
      <c r="AL220">
        <v>225</v>
      </c>
      <c r="AM220">
        <v>3041</v>
      </c>
      <c r="AN220">
        <v>67</v>
      </c>
      <c r="AO220">
        <v>67</v>
      </c>
      <c r="AP220">
        <v>67</v>
      </c>
      <c r="AQ220">
        <v>3</v>
      </c>
      <c r="AR220" t="s">
        <v>46</v>
      </c>
      <c r="AS220" t="s">
        <v>87</v>
      </c>
      <c r="AT220" t="s">
        <v>85</v>
      </c>
      <c r="AU220">
        <v>42.88</v>
      </c>
      <c r="AV220">
        <v>27</v>
      </c>
      <c r="AW220">
        <v>4</v>
      </c>
      <c r="AX220">
        <v>1</v>
      </c>
      <c r="AY220">
        <v>25.7</v>
      </c>
      <c r="AZ220">
        <v>67</v>
      </c>
      <c r="BA220">
        <v>5744</v>
      </c>
      <c r="BB220">
        <v>74</v>
      </c>
      <c r="BC220">
        <v>73</v>
      </c>
      <c r="BD220">
        <v>74</v>
      </c>
      <c r="BE220">
        <v>3.5</v>
      </c>
      <c r="BF220" t="s">
        <v>29</v>
      </c>
      <c r="BG220">
        <v>-11</v>
      </c>
      <c r="BH220">
        <v>-5</v>
      </c>
      <c r="BI220">
        <v>0.33300000000000002</v>
      </c>
      <c r="BJ220" t="s">
        <v>85</v>
      </c>
      <c r="BK220">
        <v>0.23680000000000001</v>
      </c>
      <c r="BL220">
        <v>0.43180000000000002</v>
      </c>
      <c r="BM220">
        <v>0.82</v>
      </c>
      <c r="BN220">
        <v>1.23</v>
      </c>
    </row>
    <row r="221" spans="1:66" x14ac:dyDescent="0.25">
      <c r="A221">
        <v>1</v>
      </c>
      <c r="B221">
        <v>1</v>
      </c>
      <c r="C221">
        <v>1</v>
      </c>
      <c r="D221">
        <v>2.3416666666666668</v>
      </c>
      <c r="E221">
        <v>3.3166666666666669</v>
      </c>
      <c r="F221">
        <v>2.8933333333333331</v>
      </c>
      <c r="G221" s="40">
        <v>0.32</v>
      </c>
      <c r="H221" s="40">
        <v>0.39</v>
      </c>
      <c r="I221" s="40">
        <f t="shared" si="1"/>
        <v>0.28999999999999992</v>
      </c>
      <c r="J221">
        <v>2.2799999999999998</v>
      </c>
      <c r="K221">
        <v>3.2</v>
      </c>
      <c r="L221">
        <v>2.85</v>
      </c>
      <c r="M221">
        <v>2.375</v>
      </c>
      <c r="N221">
        <v>3.4</v>
      </c>
      <c r="O221">
        <v>2.9</v>
      </c>
      <c r="P221">
        <v>2.37</v>
      </c>
      <c r="Q221">
        <v>3.35</v>
      </c>
      <c r="R221">
        <v>2.93</v>
      </c>
      <c r="S221">
        <v>0.40719918794409304</v>
      </c>
      <c r="T221">
        <v>0.26704146170063248</v>
      </c>
      <c r="U221">
        <v>0.32575935035527437</v>
      </c>
      <c r="V221">
        <v>0.3972202638735019</v>
      </c>
      <c r="W221">
        <v>0.27747003726457853</v>
      </c>
      <c r="X221">
        <v>0.32530969886191963</v>
      </c>
      <c r="Y221">
        <v>0.39740314424412226</v>
      </c>
      <c r="Z221">
        <v>0.28114789607718499</v>
      </c>
      <c r="AA221">
        <v>0.32144895967869275</v>
      </c>
      <c r="AB221">
        <v>0.40060753202057242</v>
      </c>
      <c r="AC221">
        <v>0.27521979834746535</v>
      </c>
      <c r="AD221">
        <v>0.32417266963196228</v>
      </c>
      <c r="AE221" t="s">
        <v>88</v>
      </c>
      <c r="AF221" t="s">
        <v>85</v>
      </c>
      <c r="AG221">
        <v>39.6</v>
      </c>
      <c r="AH221">
        <v>29</v>
      </c>
      <c r="AI221">
        <v>0</v>
      </c>
      <c r="AJ221">
        <v>0</v>
      </c>
      <c r="AK221">
        <v>25.8</v>
      </c>
      <c r="AL221">
        <v>69</v>
      </c>
      <c r="AM221">
        <v>5669</v>
      </c>
      <c r="AN221">
        <v>75</v>
      </c>
      <c r="AO221">
        <v>72</v>
      </c>
      <c r="AP221">
        <v>71</v>
      </c>
      <c r="AQ221">
        <v>3.5</v>
      </c>
      <c r="AR221" t="s">
        <v>29</v>
      </c>
      <c r="AS221" t="s">
        <v>98</v>
      </c>
      <c r="AT221" t="s">
        <v>85</v>
      </c>
      <c r="AU221">
        <v>31.9</v>
      </c>
      <c r="AV221">
        <v>26</v>
      </c>
      <c r="AW221">
        <v>6</v>
      </c>
      <c r="AX221">
        <v>0</v>
      </c>
      <c r="AY221">
        <v>25.3</v>
      </c>
      <c r="AZ221">
        <v>166</v>
      </c>
      <c r="BA221">
        <v>3764</v>
      </c>
      <c r="BB221">
        <v>74</v>
      </c>
      <c r="BC221">
        <v>72</v>
      </c>
      <c r="BD221">
        <v>70</v>
      </c>
      <c r="BE221">
        <v>3.5</v>
      </c>
      <c r="BF221" t="s">
        <v>29</v>
      </c>
      <c r="BG221">
        <v>3</v>
      </c>
      <c r="BH221">
        <v>1</v>
      </c>
      <c r="BI221">
        <v>0.35299999999999998</v>
      </c>
      <c r="BJ221" t="s">
        <v>85</v>
      </c>
      <c r="BK221">
        <v>0.41670000000000001</v>
      </c>
      <c r="BL221">
        <v>0.43240000000000001</v>
      </c>
      <c r="BM221">
        <v>1.54</v>
      </c>
      <c r="BN221">
        <v>1.46</v>
      </c>
    </row>
    <row r="222" spans="1:66" x14ac:dyDescent="0.25">
      <c r="A222">
        <v>2</v>
      </c>
      <c r="B222">
        <v>0</v>
      </c>
      <c r="C222">
        <v>2</v>
      </c>
      <c r="D222">
        <v>2.2999999999999998</v>
      </c>
      <c r="E222">
        <v>3.2333333333333329</v>
      </c>
      <c r="F222">
        <v>3.0166666666666671</v>
      </c>
      <c r="G222" s="40">
        <v>0.3</v>
      </c>
      <c r="H222" s="40">
        <v>0.43</v>
      </c>
      <c r="I222" s="40">
        <f t="shared" si="1"/>
        <v>0.26999999999999996</v>
      </c>
      <c r="J222">
        <v>2.2999999999999998</v>
      </c>
      <c r="K222">
        <v>3.2</v>
      </c>
      <c r="L222">
        <v>2.85</v>
      </c>
      <c r="M222">
        <v>2.2999999999999998</v>
      </c>
      <c r="N222">
        <v>3.25</v>
      </c>
      <c r="O222">
        <v>3.1</v>
      </c>
      <c r="P222">
        <v>2.2999999999999998</v>
      </c>
      <c r="Q222">
        <v>3.25</v>
      </c>
      <c r="R222">
        <v>3.1</v>
      </c>
      <c r="S222">
        <v>0.40530058177117001</v>
      </c>
      <c r="T222">
        <v>0.26761473820297349</v>
      </c>
      <c r="U222">
        <v>0.32708468002585644</v>
      </c>
      <c r="V222">
        <v>0.40822528363047</v>
      </c>
      <c r="W222">
        <v>0.28889789303079416</v>
      </c>
      <c r="X222">
        <v>0.30287682333873578</v>
      </c>
      <c r="Y222">
        <v>0.40822528363047</v>
      </c>
      <c r="Z222">
        <v>0.28889789303079416</v>
      </c>
      <c r="AA222">
        <v>0.30287682333873578</v>
      </c>
      <c r="AB222">
        <v>0.40725038301070332</v>
      </c>
      <c r="AC222">
        <v>0.28180350808818727</v>
      </c>
      <c r="AD222">
        <v>0.31094610890110935</v>
      </c>
      <c r="AE222" t="s">
        <v>95</v>
      </c>
      <c r="AF222" t="s">
        <v>85</v>
      </c>
      <c r="AG222">
        <v>28.25</v>
      </c>
      <c r="AH222">
        <v>27</v>
      </c>
      <c r="AI222">
        <v>3</v>
      </c>
      <c r="AJ222">
        <v>0</v>
      </c>
      <c r="AK222">
        <v>26.9</v>
      </c>
      <c r="AL222">
        <v>130</v>
      </c>
      <c r="AM222">
        <v>4218</v>
      </c>
      <c r="AN222">
        <v>76</v>
      </c>
      <c r="AO222">
        <v>73</v>
      </c>
      <c r="AP222">
        <v>72</v>
      </c>
      <c r="AQ222">
        <v>3.5</v>
      </c>
      <c r="AR222" t="s">
        <v>46</v>
      </c>
      <c r="AS222" t="s">
        <v>285</v>
      </c>
      <c r="AT222" t="s">
        <v>85</v>
      </c>
      <c r="AU222">
        <v>7.78</v>
      </c>
      <c r="AV222">
        <v>22</v>
      </c>
      <c r="AW222">
        <v>3</v>
      </c>
      <c r="AX222">
        <v>0</v>
      </c>
      <c r="AY222">
        <v>24.4</v>
      </c>
      <c r="AZ222">
        <v>187</v>
      </c>
      <c r="BA222">
        <v>3507</v>
      </c>
      <c r="BB222">
        <v>72</v>
      </c>
      <c r="BC222">
        <v>71</v>
      </c>
      <c r="BD222">
        <v>70</v>
      </c>
      <c r="BE222">
        <v>3.5</v>
      </c>
      <c r="BF222" t="s">
        <v>46</v>
      </c>
      <c r="BG222">
        <v>-4</v>
      </c>
      <c r="BH222">
        <v>-3</v>
      </c>
      <c r="BI222">
        <v>0.154</v>
      </c>
      <c r="BJ222" t="s">
        <v>85</v>
      </c>
      <c r="BK222">
        <v>0.32429999999999998</v>
      </c>
      <c r="BL222">
        <v>0.3095</v>
      </c>
      <c r="BM222">
        <v>1.03</v>
      </c>
      <c r="BN222">
        <v>1.1000000000000001</v>
      </c>
    </row>
    <row r="223" spans="1:66" x14ac:dyDescent="0.25">
      <c r="A223">
        <v>1</v>
      </c>
      <c r="B223">
        <v>1</v>
      </c>
      <c r="C223">
        <v>1</v>
      </c>
      <c r="D223">
        <v>3.25</v>
      </c>
      <c r="E223">
        <v>3.5166666666666662</v>
      </c>
      <c r="F223">
        <v>2.1533333333333338</v>
      </c>
      <c r="G223" s="40">
        <v>0.24</v>
      </c>
      <c r="H223" s="40">
        <v>0.34</v>
      </c>
      <c r="I223" s="40">
        <f t="shared" si="1"/>
        <v>0.42</v>
      </c>
      <c r="J223">
        <v>3.15</v>
      </c>
      <c r="K223">
        <v>3.4</v>
      </c>
      <c r="L223">
        <v>2.14</v>
      </c>
      <c r="M223">
        <v>3.3</v>
      </c>
      <c r="N223">
        <v>3.6</v>
      </c>
      <c r="O223">
        <v>2.15</v>
      </c>
      <c r="P223">
        <v>3.3</v>
      </c>
      <c r="Q223">
        <v>3.55</v>
      </c>
      <c r="R223">
        <v>2.17</v>
      </c>
      <c r="S223">
        <v>0.30287998548637424</v>
      </c>
      <c r="T223">
        <v>0.25129199849396283</v>
      </c>
      <c r="U223">
        <v>0.44582801601966299</v>
      </c>
      <c r="V223">
        <v>0.28972487366647953</v>
      </c>
      <c r="W223">
        <v>0.26558113419427287</v>
      </c>
      <c r="X223">
        <v>0.44469399213924765</v>
      </c>
      <c r="Y223">
        <v>0.28982862732557046</v>
      </c>
      <c r="Z223">
        <v>0.26941816061250218</v>
      </c>
      <c r="AA223">
        <v>0.44075321206192747</v>
      </c>
      <c r="AB223">
        <v>0.29414449549280808</v>
      </c>
      <c r="AC223">
        <v>0.26209709776691259</v>
      </c>
      <c r="AD223">
        <v>0.44375840674027939</v>
      </c>
      <c r="AE223" t="s">
        <v>35</v>
      </c>
      <c r="AF223" t="s">
        <v>23</v>
      </c>
      <c r="AG223">
        <v>87.33</v>
      </c>
      <c r="AH223">
        <v>31</v>
      </c>
      <c r="AI223">
        <v>10</v>
      </c>
      <c r="AJ223">
        <v>4</v>
      </c>
      <c r="AK223">
        <v>25.4</v>
      </c>
      <c r="AL223">
        <v>169</v>
      </c>
      <c r="AM223">
        <v>3749</v>
      </c>
      <c r="AN223">
        <v>73</v>
      </c>
      <c r="AO223">
        <v>76</v>
      </c>
      <c r="AP223">
        <v>74</v>
      </c>
      <c r="AQ223">
        <v>4</v>
      </c>
      <c r="AR223" t="s">
        <v>29</v>
      </c>
      <c r="AS223" t="s">
        <v>34</v>
      </c>
      <c r="AT223" t="s">
        <v>23</v>
      </c>
      <c r="AU223">
        <v>224.6</v>
      </c>
      <c r="AV223">
        <v>35</v>
      </c>
      <c r="AW223">
        <v>11</v>
      </c>
      <c r="AX223">
        <v>8</v>
      </c>
      <c r="AY223">
        <v>24.6</v>
      </c>
      <c r="AZ223">
        <v>145</v>
      </c>
      <c r="BA223">
        <v>4008</v>
      </c>
      <c r="BB223">
        <v>80</v>
      </c>
      <c r="BC223">
        <v>78</v>
      </c>
      <c r="BD223">
        <v>77</v>
      </c>
      <c r="BE223">
        <v>4</v>
      </c>
      <c r="BF223" t="s">
        <v>29</v>
      </c>
      <c r="BG223">
        <v>-36</v>
      </c>
      <c r="BH223">
        <v>-50</v>
      </c>
      <c r="BI223">
        <v>0.17199999999999999</v>
      </c>
      <c r="BJ223" t="s">
        <v>266</v>
      </c>
      <c r="BK223">
        <v>0.33329999999999999</v>
      </c>
      <c r="BL223">
        <v>0.54549999999999998</v>
      </c>
      <c r="BM223">
        <v>1.17</v>
      </c>
      <c r="BN223">
        <v>1.48</v>
      </c>
    </row>
    <row r="224" spans="1:66" x14ac:dyDescent="0.25">
      <c r="A224">
        <v>1</v>
      </c>
      <c r="B224">
        <v>3</v>
      </c>
      <c r="C224">
        <v>3</v>
      </c>
      <c r="D224">
        <v>1.7663333333333335</v>
      </c>
      <c r="E224">
        <v>3.7166666666666668</v>
      </c>
      <c r="F224">
        <v>4.583333333333333</v>
      </c>
      <c r="G224" s="40">
        <v>0.45</v>
      </c>
      <c r="H224" s="40">
        <v>0.3</v>
      </c>
      <c r="I224" s="40">
        <f t="shared" si="1"/>
        <v>0.25000000000000006</v>
      </c>
      <c r="J224">
        <v>1.75</v>
      </c>
      <c r="K224">
        <v>3.65</v>
      </c>
      <c r="L224">
        <v>4.4000000000000004</v>
      </c>
      <c r="M224">
        <v>1.7689999999999999</v>
      </c>
      <c r="N224">
        <v>3.75</v>
      </c>
      <c r="O224">
        <v>4.75</v>
      </c>
      <c r="P224">
        <v>1.78</v>
      </c>
      <c r="Q224">
        <v>3.75</v>
      </c>
      <c r="R224">
        <v>4.5999999999999996</v>
      </c>
      <c r="S224">
        <v>0.55742799091669659</v>
      </c>
      <c r="T224">
        <v>0.2208676945141628</v>
      </c>
      <c r="U224">
        <v>0.22170431456914066</v>
      </c>
      <c r="V224">
        <v>0.54225394989192965</v>
      </c>
      <c r="W224">
        <v>0.25579926329568631</v>
      </c>
      <c r="X224">
        <v>0.20194678681238393</v>
      </c>
      <c r="Y224">
        <v>0.5371656338554478</v>
      </c>
      <c r="Z224">
        <v>0.25497462087005257</v>
      </c>
      <c r="AA224">
        <v>0.20785974527449944</v>
      </c>
      <c r="AB224">
        <v>0.54561585822135805</v>
      </c>
      <c r="AC224">
        <v>0.24388052622663389</v>
      </c>
      <c r="AD224">
        <v>0.210503615552008</v>
      </c>
      <c r="AE224" t="s">
        <v>41</v>
      </c>
      <c r="AF224" t="s">
        <v>23</v>
      </c>
      <c r="AG224">
        <v>82.35</v>
      </c>
      <c r="AH224">
        <v>31</v>
      </c>
      <c r="AI224">
        <v>16</v>
      </c>
      <c r="AJ224">
        <v>8</v>
      </c>
      <c r="AK224">
        <v>26.4</v>
      </c>
      <c r="AL224">
        <v>266</v>
      </c>
      <c r="AM224">
        <v>2690</v>
      </c>
      <c r="AN224">
        <v>74</v>
      </c>
      <c r="AO224">
        <v>75</v>
      </c>
      <c r="AP224">
        <v>74</v>
      </c>
      <c r="AQ224">
        <v>3.5</v>
      </c>
      <c r="AR224" t="s">
        <v>29</v>
      </c>
      <c r="AS224" t="s">
        <v>42</v>
      </c>
      <c r="AT224" t="s">
        <v>23</v>
      </c>
      <c r="AU224">
        <v>42.38</v>
      </c>
      <c r="AV224">
        <v>24</v>
      </c>
      <c r="AW224">
        <v>13</v>
      </c>
      <c r="AX224">
        <v>9</v>
      </c>
      <c r="AY224">
        <v>26</v>
      </c>
      <c r="AZ224">
        <v>273</v>
      </c>
      <c r="BA224">
        <v>2608</v>
      </c>
      <c r="BB224">
        <v>72</v>
      </c>
      <c r="BC224">
        <v>72</v>
      </c>
      <c r="BD224">
        <v>70</v>
      </c>
      <c r="BE224">
        <v>3.5</v>
      </c>
      <c r="BF224" t="s">
        <v>43</v>
      </c>
      <c r="BG224">
        <v>19</v>
      </c>
      <c r="BH224">
        <v>38</v>
      </c>
      <c r="BI224">
        <v>0.54200000000000004</v>
      </c>
      <c r="BJ224" t="s">
        <v>266</v>
      </c>
      <c r="BK224">
        <v>0.40629999999999999</v>
      </c>
      <c r="BL224">
        <v>0.30299999999999999</v>
      </c>
      <c r="BM224">
        <v>1.28</v>
      </c>
      <c r="BN224">
        <v>1.1200000000000001</v>
      </c>
    </row>
    <row r="225" spans="1:66" x14ac:dyDescent="0.25">
      <c r="A225">
        <v>3</v>
      </c>
      <c r="B225">
        <v>-1</v>
      </c>
      <c r="C225">
        <v>5</v>
      </c>
      <c r="D225">
        <v>1.68</v>
      </c>
      <c r="E225">
        <v>4.2666666666666666</v>
      </c>
      <c r="F225">
        <v>4.5</v>
      </c>
      <c r="G225" s="40">
        <v>0.26</v>
      </c>
      <c r="H225" s="40">
        <v>0.38</v>
      </c>
      <c r="I225" s="40">
        <f t="shared" si="1"/>
        <v>0.36</v>
      </c>
      <c r="J225">
        <v>1.66</v>
      </c>
      <c r="K225">
        <v>4.3</v>
      </c>
      <c r="L225">
        <v>4.2</v>
      </c>
      <c r="M225">
        <v>1.7</v>
      </c>
      <c r="N225">
        <v>4.2</v>
      </c>
      <c r="O225">
        <v>4.75</v>
      </c>
      <c r="P225">
        <v>1.68</v>
      </c>
      <c r="Q225">
        <v>4.3</v>
      </c>
      <c r="R225">
        <v>4.55</v>
      </c>
      <c r="S225">
        <v>0.58299196414553034</v>
      </c>
      <c r="T225">
        <v>0.18658740240647434</v>
      </c>
      <c r="U225">
        <v>0.23042063344799527</v>
      </c>
      <c r="V225">
        <v>0.56732546566187969</v>
      </c>
      <c r="W225">
        <v>0.22963173610123702</v>
      </c>
      <c r="X225">
        <v>0.20304279823688326</v>
      </c>
      <c r="Y225">
        <v>0.5682049196991259</v>
      </c>
      <c r="Z225">
        <v>0.22199634071965849</v>
      </c>
      <c r="AA225">
        <v>0.2097987395812157</v>
      </c>
      <c r="AB225">
        <v>0.57284078316884524</v>
      </c>
      <c r="AC225">
        <v>0.21273849307578996</v>
      </c>
      <c r="AD225">
        <v>0.21442072375536472</v>
      </c>
      <c r="AE225" t="s">
        <v>36</v>
      </c>
      <c r="AF225" t="s">
        <v>23</v>
      </c>
      <c r="AG225">
        <v>80.930000000000007</v>
      </c>
      <c r="AH225">
        <v>23</v>
      </c>
      <c r="AI225">
        <v>9</v>
      </c>
      <c r="AJ225">
        <v>4</v>
      </c>
      <c r="AK225">
        <v>26.6</v>
      </c>
      <c r="AL225">
        <v>180</v>
      </c>
      <c r="AM225">
        <v>3627</v>
      </c>
      <c r="AN225">
        <v>75</v>
      </c>
      <c r="AO225">
        <v>74</v>
      </c>
      <c r="AP225">
        <v>74</v>
      </c>
      <c r="AQ225">
        <v>3.5</v>
      </c>
      <c r="AR225" t="s">
        <v>29</v>
      </c>
      <c r="AS225" t="s">
        <v>38</v>
      </c>
      <c r="AT225" t="s">
        <v>23</v>
      </c>
      <c r="AU225">
        <v>82.2</v>
      </c>
      <c r="AV225">
        <v>30</v>
      </c>
      <c r="AW225">
        <v>12</v>
      </c>
      <c r="AX225">
        <v>5</v>
      </c>
      <c r="AY225">
        <v>25.7</v>
      </c>
      <c r="AZ225">
        <v>228</v>
      </c>
      <c r="BA225">
        <v>3029</v>
      </c>
      <c r="BB225">
        <v>78</v>
      </c>
      <c r="BC225">
        <v>74</v>
      </c>
      <c r="BD225">
        <v>75</v>
      </c>
      <c r="BE225">
        <v>4</v>
      </c>
      <c r="BF225" t="s">
        <v>29</v>
      </c>
      <c r="BG225">
        <v>7</v>
      </c>
      <c r="BH225">
        <v>28</v>
      </c>
      <c r="BI225">
        <v>0.38900000000000001</v>
      </c>
      <c r="BJ225" t="s">
        <v>266</v>
      </c>
      <c r="BK225">
        <v>0.47370000000000001</v>
      </c>
      <c r="BL225">
        <v>0.42420000000000002</v>
      </c>
      <c r="BM225">
        <v>1.32</v>
      </c>
      <c r="BN225">
        <v>1.33</v>
      </c>
    </row>
    <row r="226" spans="1:66" x14ac:dyDescent="0.25">
      <c r="A226">
        <v>3</v>
      </c>
      <c r="B226">
        <v>-3</v>
      </c>
      <c r="C226">
        <v>3</v>
      </c>
      <c r="D226">
        <v>2.73</v>
      </c>
      <c r="E226">
        <v>3.4333333333333336</v>
      </c>
      <c r="F226">
        <v>2.5266666666666664</v>
      </c>
      <c r="G226" s="40">
        <v>0.39</v>
      </c>
      <c r="H226" s="40">
        <v>0.35</v>
      </c>
      <c r="I226" s="40">
        <f t="shared" si="1"/>
        <v>0.26</v>
      </c>
      <c r="J226">
        <v>2.63</v>
      </c>
      <c r="K226">
        <v>3.4</v>
      </c>
      <c r="L226">
        <v>2.5</v>
      </c>
      <c r="M226">
        <v>2.8</v>
      </c>
      <c r="N226">
        <v>3.45</v>
      </c>
      <c r="O226">
        <v>2.5499999999999998</v>
      </c>
      <c r="P226">
        <v>2.76</v>
      </c>
      <c r="Q226">
        <v>3.45</v>
      </c>
      <c r="R226">
        <v>2.5299999999999998</v>
      </c>
      <c r="S226">
        <v>0.36303143858723547</v>
      </c>
      <c r="T226">
        <v>0.2550594880189927</v>
      </c>
      <c r="U226">
        <v>0.38190907339377173</v>
      </c>
      <c r="V226">
        <v>0.34368590682683858</v>
      </c>
      <c r="W226">
        <v>0.27893348959859365</v>
      </c>
      <c r="X226">
        <v>0.37738060357456787</v>
      </c>
      <c r="Y226">
        <v>0.34591194968553457</v>
      </c>
      <c r="Z226">
        <v>0.27672955974842761</v>
      </c>
      <c r="AA226">
        <v>0.37735849056603771</v>
      </c>
      <c r="AB226">
        <v>0.35087643169986954</v>
      </c>
      <c r="AC226">
        <v>0.2702408457886713</v>
      </c>
      <c r="AD226">
        <v>0.3788827225114591</v>
      </c>
      <c r="AE226" t="s">
        <v>48</v>
      </c>
      <c r="AF226" t="s">
        <v>23</v>
      </c>
      <c r="AG226">
        <v>62.58</v>
      </c>
      <c r="AH226">
        <v>32</v>
      </c>
      <c r="AI226">
        <v>21</v>
      </c>
      <c r="AJ226">
        <v>10</v>
      </c>
      <c r="AK226">
        <v>24.9</v>
      </c>
      <c r="AL226">
        <v>426</v>
      </c>
      <c r="AM226">
        <v>1736</v>
      </c>
      <c r="AN226">
        <v>73</v>
      </c>
      <c r="AO226">
        <v>72</v>
      </c>
      <c r="AP226">
        <v>72</v>
      </c>
      <c r="AQ226">
        <v>3.5</v>
      </c>
      <c r="AR226" t="s">
        <v>46</v>
      </c>
      <c r="AS226" t="s">
        <v>47</v>
      </c>
      <c r="AT226" t="s">
        <v>23</v>
      </c>
      <c r="AU226">
        <v>46.88</v>
      </c>
      <c r="AV226">
        <v>27</v>
      </c>
      <c r="AW226">
        <v>10</v>
      </c>
      <c r="AX226">
        <v>7</v>
      </c>
      <c r="AY226">
        <v>25.4</v>
      </c>
      <c r="AZ226">
        <v>368</v>
      </c>
      <c r="BA226">
        <v>2020</v>
      </c>
      <c r="BB226">
        <v>72</v>
      </c>
      <c r="BC226">
        <v>70</v>
      </c>
      <c r="BD226">
        <v>72</v>
      </c>
      <c r="BE226">
        <v>3.5</v>
      </c>
      <c r="BF226" t="s">
        <v>46</v>
      </c>
      <c r="BG226">
        <v>15</v>
      </c>
      <c r="BH226">
        <v>23</v>
      </c>
      <c r="BI226">
        <v>0.42899999999999999</v>
      </c>
      <c r="BJ226" t="s">
        <v>266</v>
      </c>
      <c r="BK226">
        <v>0.26669999999999999</v>
      </c>
      <c r="BL226">
        <v>0.25</v>
      </c>
      <c r="BM226">
        <v>0.93</v>
      </c>
      <c r="BN226">
        <v>1.0900000000000001</v>
      </c>
    </row>
    <row r="227" spans="1:66" x14ac:dyDescent="0.25">
      <c r="A227">
        <v>1</v>
      </c>
      <c r="B227">
        <v>1</v>
      </c>
      <c r="C227">
        <v>5</v>
      </c>
      <c r="D227">
        <v>2.4333333333333331</v>
      </c>
      <c r="E227">
        <v>3.3333333333333335</v>
      </c>
      <c r="F227">
        <v>2.9</v>
      </c>
      <c r="G227" s="40">
        <v>0.36</v>
      </c>
      <c r="H227" s="40">
        <v>0.37</v>
      </c>
      <c r="I227" s="40">
        <f t="shared" si="1"/>
        <v>0.27</v>
      </c>
      <c r="J227">
        <v>2.35</v>
      </c>
      <c r="K227">
        <v>3.25</v>
      </c>
      <c r="L227">
        <v>2.9</v>
      </c>
      <c r="M227">
        <v>2.4500000000000002</v>
      </c>
      <c r="N227">
        <v>3.45</v>
      </c>
      <c r="O227">
        <v>2.9</v>
      </c>
      <c r="P227">
        <v>2.5</v>
      </c>
      <c r="Q227">
        <v>3.3</v>
      </c>
      <c r="R227">
        <v>2.9</v>
      </c>
      <c r="S227">
        <v>0.40548889539231947</v>
      </c>
      <c r="T227">
        <v>0.26592527558286994</v>
      </c>
      <c r="U227">
        <v>0.32858582902481065</v>
      </c>
      <c r="V227">
        <v>0.39139364303178481</v>
      </c>
      <c r="W227">
        <v>0.27794621026894867</v>
      </c>
      <c r="X227">
        <v>0.33066014669926652</v>
      </c>
      <c r="Y227">
        <v>0.38173115277223774</v>
      </c>
      <c r="Z227">
        <v>0.28919026725169528</v>
      </c>
      <c r="AA227">
        <v>0.32907857997606704</v>
      </c>
      <c r="AB227">
        <v>0.39287123039878069</v>
      </c>
      <c r="AC227">
        <v>0.27768725103450465</v>
      </c>
      <c r="AD227">
        <v>0.32944151856671477</v>
      </c>
      <c r="AE227" t="s">
        <v>40</v>
      </c>
      <c r="AF227" t="s">
        <v>23</v>
      </c>
      <c r="AG227">
        <v>176.8</v>
      </c>
      <c r="AH227">
        <v>30</v>
      </c>
      <c r="AI227">
        <v>14</v>
      </c>
      <c r="AJ227">
        <v>4</v>
      </c>
      <c r="AK227">
        <v>23.5</v>
      </c>
      <c r="AL227">
        <v>255</v>
      </c>
      <c r="AM227">
        <v>2803</v>
      </c>
      <c r="AN227">
        <v>74</v>
      </c>
      <c r="AO227">
        <v>76</v>
      </c>
      <c r="AP227">
        <v>74</v>
      </c>
      <c r="AQ227">
        <v>4</v>
      </c>
      <c r="AR227" t="s">
        <v>28</v>
      </c>
      <c r="AS227" t="s">
        <v>45</v>
      </c>
      <c r="AT227" t="s">
        <v>23</v>
      </c>
      <c r="AU227">
        <v>59.28</v>
      </c>
      <c r="AV227">
        <v>25</v>
      </c>
      <c r="AW227">
        <v>5</v>
      </c>
      <c r="AX227">
        <v>1</v>
      </c>
      <c r="AY227">
        <v>25.2</v>
      </c>
      <c r="AZ227">
        <v>347</v>
      </c>
      <c r="BA227">
        <v>2156</v>
      </c>
      <c r="BB227">
        <v>72</v>
      </c>
      <c r="BC227">
        <v>72</v>
      </c>
      <c r="BD227">
        <v>72</v>
      </c>
      <c r="BE227">
        <v>3.5</v>
      </c>
      <c r="BF227" t="s">
        <v>29</v>
      </c>
      <c r="BG227">
        <v>-8</v>
      </c>
      <c r="BH227">
        <v>1</v>
      </c>
      <c r="BI227">
        <v>0.30399999999999999</v>
      </c>
      <c r="BJ227" t="s">
        <v>266</v>
      </c>
      <c r="BK227">
        <v>0.40629999999999999</v>
      </c>
      <c r="BL227">
        <v>0.28129999999999999</v>
      </c>
      <c r="BM227">
        <v>1.5</v>
      </c>
      <c r="BN227">
        <v>1.22</v>
      </c>
    </row>
    <row r="228" spans="1:66" x14ac:dyDescent="0.25">
      <c r="A228">
        <v>3</v>
      </c>
      <c r="B228">
        <v>-1</v>
      </c>
      <c r="C228">
        <v>1</v>
      </c>
      <c r="D228">
        <v>5.55</v>
      </c>
      <c r="E228">
        <v>4.2433333333333332</v>
      </c>
      <c r="F228">
        <v>1.5766666666666669</v>
      </c>
      <c r="G228" s="40">
        <v>0.28000000000000003</v>
      </c>
      <c r="H228" s="40">
        <v>0.26</v>
      </c>
      <c r="I228" s="40">
        <f t="shared" si="1"/>
        <v>0.45999999999999996</v>
      </c>
      <c r="J228">
        <v>5.5</v>
      </c>
      <c r="K228">
        <v>4.2</v>
      </c>
      <c r="L228">
        <v>1.53</v>
      </c>
      <c r="M228">
        <v>5.75</v>
      </c>
      <c r="N228">
        <v>4.33</v>
      </c>
      <c r="O228">
        <v>1.6</v>
      </c>
      <c r="P228">
        <v>5.4</v>
      </c>
      <c r="Q228">
        <v>4.2</v>
      </c>
      <c r="R228">
        <v>1.6</v>
      </c>
      <c r="S228">
        <v>0.17840635396219356</v>
      </c>
      <c r="T228">
        <v>0.18026361545475775</v>
      </c>
      <c r="U228">
        <v>0.64133003058304872</v>
      </c>
      <c r="V228">
        <v>0.16887058049262046</v>
      </c>
      <c r="W228">
        <v>0.22425077086202483</v>
      </c>
      <c r="X228">
        <v>0.60687864864535468</v>
      </c>
      <c r="Y228">
        <v>0.17665615141955834</v>
      </c>
      <c r="Z228">
        <v>0.22712933753943221</v>
      </c>
      <c r="AA228">
        <v>0.59621451104100953</v>
      </c>
      <c r="AB228">
        <v>0.17464436195812413</v>
      </c>
      <c r="AC228">
        <v>0.21054790795207159</v>
      </c>
      <c r="AD228">
        <v>0.61480773008980427</v>
      </c>
      <c r="AE228" t="s">
        <v>32</v>
      </c>
      <c r="AF228" t="s">
        <v>23</v>
      </c>
      <c r="AG228">
        <v>196.35</v>
      </c>
      <c r="AH228">
        <v>33</v>
      </c>
      <c r="AI228">
        <v>6</v>
      </c>
      <c r="AJ228">
        <v>5</v>
      </c>
      <c r="AK228">
        <v>24.3</v>
      </c>
      <c r="AL228">
        <v>102</v>
      </c>
      <c r="AM228">
        <v>4815</v>
      </c>
      <c r="AN228">
        <v>76</v>
      </c>
      <c r="AO228">
        <v>77</v>
      </c>
      <c r="AP228">
        <v>76</v>
      </c>
      <c r="AQ228">
        <v>4</v>
      </c>
      <c r="AR228" t="s">
        <v>29</v>
      </c>
      <c r="AS228" t="s">
        <v>10</v>
      </c>
      <c r="AT228" t="s">
        <v>23</v>
      </c>
      <c r="AU228">
        <v>801.45</v>
      </c>
      <c r="AV228">
        <v>31</v>
      </c>
      <c r="AW228">
        <v>21</v>
      </c>
      <c r="AX228">
        <v>13</v>
      </c>
      <c r="AY228">
        <v>25.6</v>
      </c>
      <c r="AZ228">
        <v>12</v>
      </c>
      <c r="BA228">
        <v>9495</v>
      </c>
      <c r="BB228">
        <v>88</v>
      </c>
      <c r="BC228">
        <v>84</v>
      </c>
      <c r="BD228">
        <v>83</v>
      </c>
      <c r="BE228">
        <v>5</v>
      </c>
      <c r="BF228" t="s">
        <v>28</v>
      </c>
      <c r="BG228">
        <v>-40</v>
      </c>
      <c r="BH228">
        <v>-35</v>
      </c>
      <c r="BI228">
        <v>0.28399999999999997</v>
      </c>
      <c r="BJ228" t="s">
        <v>266</v>
      </c>
      <c r="BK228">
        <v>0.47499999999999998</v>
      </c>
      <c r="BL228">
        <v>0.81630000000000003</v>
      </c>
      <c r="BM228">
        <v>1.43</v>
      </c>
      <c r="BN228">
        <v>2.78</v>
      </c>
    </row>
    <row r="229" spans="1:66" x14ac:dyDescent="0.25">
      <c r="A229">
        <v>1</v>
      </c>
      <c r="B229">
        <v>1</v>
      </c>
      <c r="C229">
        <v>3</v>
      </c>
      <c r="D229">
        <v>1.8</v>
      </c>
      <c r="E229">
        <v>3.6166666666666667</v>
      </c>
      <c r="F229">
        <v>4.5999999999999996</v>
      </c>
      <c r="G229" s="40">
        <v>0.42</v>
      </c>
      <c r="H229" s="40">
        <v>0.32</v>
      </c>
      <c r="I229" s="40">
        <f t="shared" si="1"/>
        <v>0.26000000000000006</v>
      </c>
      <c r="J229">
        <v>1.79</v>
      </c>
      <c r="K229">
        <v>3.65</v>
      </c>
      <c r="L229">
        <v>4.8</v>
      </c>
      <c r="M229">
        <v>1.83</v>
      </c>
      <c r="N229">
        <v>3.5</v>
      </c>
      <c r="O229">
        <v>4.4000000000000004</v>
      </c>
      <c r="P229">
        <v>1.78</v>
      </c>
      <c r="Q229">
        <v>3.7</v>
      </c>
      <c r="R229">
        <v>4.5999999999999996</v>
      </c>
      <c r="S229">
        <v>0.56651645658233118</v>
      </c>
      <c r="T229">
        <v>0.22222011481717449</v>
      </c>
      <c r="U229">
        <v>0.21126342860049435</v>
      </c>
      <c r="V229">
        <v>0.51579194158823727</v>
      </c>
      <c r="W229">
        <v>0.2696855008875641</v>
      </c>
      <c r="X229">
        <v>0.21452255752419869</v>
      </c>
      <c r="Y229">
        <v>0.53532112977291313</v>
      </c>
      <c r="Z229">
        <v>0.25753286783669876</v>
      </c>
      <c r="AA229">
        <v>0.20714600239038819</v>
      </c>
      <c r="AB229">
        <v>0.53920984264782712</v>
      </c>
      <c r="AC229">
        <v>0.24981282784714601</v>
      </c>
      <c r="AD229">
        <v>0.21097732950502709</v>
      </c>
      <c r="AE229" t="s">
        <v>152</v>
      </c>
      <c r="AF229" t="s">
        <v>141</v>
      </c>
      <c r="AG229">
        <v>214.25</v>
      </c>
      <c r="AH229">
        <v>24</v>
      </c>
      <c r="AI229">
        <v>10</v>
      </c>
      <c r="AJ229">
        <v>7</v>
      </c>
      <c r="AK229">
        <v>27.3</v>
      </c>
      <c r="AL229">
        <v>125</v>
      </c>
      <c r="AM229">
        <v>4257</v>
      </c>
      <c r="AN229">
        <v>81</v>
      </c>
      <c r="AO229">
        <v>81</v>
      </c>
      <c r="AP229">
        <v>78</v>
      </c>
      <c r="AQ229">
        <v>4.5</v>
      </c>
      <c r="AR229" t="s">
        <v>29</v>
      </c>
      <c r="AS229" t="s">
        <v>150</v>
      </c>
      <c r="AT229" t="s">
        <v>141</v>
      </c>
      <c r="AU229">
        <v>60.93</v>
      </c>
      <c r="AV229">
        <v>23</v>
      </c>
      <c r="AW229">
        <v>8</v>
      </c>
      <c r="AX229">
        <v>4</v>
      </c>
      <c r="AY229">
        <v>28.2</v>
      </c>
      <c r="AZ229">
        <v>103</v>
      </c>
      <c r="BA229">
        <v>4803</v>
      </c>
      <c r="BB229">
        <v>76</v>
      </c>
      <c r="BC229">
        <v>75</v>
      </c>
      <c r="BD229">
        <v>75</v>
      </c>
      <c r="BE229">
        <v>4</v>
      </c>
      <c r="BF229" t="s">
        <v>46</v>
      </c>
      <c r="BG229">
        <v>4</v>
      </c>
      <c r="BH229">
        <v>22</v>
      </c>
      <c r="BI229">
        <v>0.42099999999999999</v>
      </c>
      <c r="BJ229" t="s">
        <v>270</v>
      </c>
      <c r="BK229">
        <v>0.29970000000000002</v>
      </c>
      <c r="BL229">
        <v>0.4889</v>
      </c>
      <c r="BM229">
        <v>1.39</v>
      </c>
      <c r="BN229">
        <v>1.47</v>
      </c>
    </row>
    <row r="230" spans="1:66" x14ac:dyDescent="0.25">
      <c r="A230">
        <v>1</v>
      </c>
      <c r="B230">
        <v>1</v>
      </c>
      <c r="C230">
        <v>1</v>
      </c>
      <c r="D230">
        <v>3.3333333333333335</v>
      </c>
      <c r="E230">
        <v>3.2333333333333329</v>
      </c>
      <c r="F230">
        <v>2.2866666666666666</v>
      </c>
      <c r="G230" s="40">
        <v>0.28999999999999998</v>
      </c>
      <c r="H230" s="40">
        <v>0.19</v>
      </c>
      <c r="I230" s="40">
        <f t="shared" si="1"/>
        <v>0.52</v>
      </c>
      <c r="J230">
        <v>3.25</v>
      </c>
      <c r="K230">
        <v>3.2</v>
      </c>
      <c r="L230">
        <v>2.2799999999999998</v>
      </c>
      <c r="M230">
        <v>3.25</v>
      </c>
      <c r="N230">
        <v>3.1</v>
      </c>
      <c r="O230">
        <v>2.2999999999999998</v>
      </c>
      <c r="P230">
        <v>3.5</v>
      </c>
      <c r="Q230">
        <v>3.4</v>
      </c>
      <c r="R230">
        <v>2.2799999999999998</v>
      </c>
      <c r="S230">
        <v>0.30068716596099121</v>
      </c>
      <c r="T230">
        <v>0.27070174220864857</v>
      </c>
      <c r="U230">
        <v>0.42861109183036028</v>
      </c>
      <c r="V230">
        <v>0.28889789303079416</v>
      </c>
      <c r="W230">
        <v>0.30287682333873583</v>
      </c>
      <c r="X230">
        <v>0.40822528363047011</v>
      </c>
      <c r="Y230">
        <v>0.28054429646786333</v>
      </c>
      <c r="Z230">
        <v>0.28879559930515347</v>
      </c>
      <c r="AA230">
        <v>0.4306601042269832</v>
      </c>
      <c r="AB230">
        <v>0.29004311848654957</v>
      </c>
      <c r="AC230">
        <v>0.28745805495084592</v>
      </c>
      <c r="AD230">
        <v>0.42249882656260457</v>
      </c>
      <c r="AE230" t="s">
        <v>114</v>
      </c>
      <c r="AF230" t="s">
        <v>108</v>
      </c>
      <c r="AG230">
        <v>41.98</v>
      </c>
      <c r="AH230">
        <v>33</v>
      </c>
      <c r="AI230">
        <v>5</v>
      </c>
      <c r="AJ230">
        <v>1</v>
      </c>
      <c r="AK230">
        <v>25.2</v>
      </c>
      <c r="AL230">
        <v>40</v>
      </c>
      <c r="AM230">
        <v>7098</v>
      </c>
      <c r="AN230">
        <v>74</v>
      </c>
      <c r="AO230">
        <v>73</v>
      </c>
      <c r="AP230">
        <v>73</v>
      </c>
      <c r="AQ230">
        <v>3.5</v>
      </c>
      <c r="AR230" t="s">
        <v>29</v>
      </c>
      <c r="AS230" t="s">
        <v>86</v>
      </c>
      <c r="AT230" t="s">
        <v>85</v>
      </c>
      <c r="AU230">
        <v>80.2</v>
      </c>
      <c r="AV230">
        <v>31</v>
      </c>
      <c r="AW230">
        <v>6</v>
      </c>
      <c r="AX230">
        <v>4</v>
      </c>
      <c r="AY230">
        <v>26.9</v>
      </c>
      <c r="AZ230">
        <v>10</v>
      </c>
      <c r="BA230">
        <v>9954</v>
      </c>
      <c r="BB230">
        <v>75</v>
      </c>
      <c r="BC230">
        <v>76</v>
      </c>
      <c r="BD230">
        <v>76</v>
      </c>
      <c r="BE230">
        <v>4</v>
      </c>
      <c r="BF230" t="s">
        <v>46</v>
      </c>
      <c r="BG230">
        <v>-1</v>
      </c>
      <c r="BH230">
        <v>1</v>
      </c>
      <c r="BI230">
        <v>0.42899999999999999</v>
      </c>
      <c r="BJ230" t="s">
        <v>271</v>
      </c>
      <c r="BK230">
        <v>0.39389999999999997</v>
      </c>
      <c r="BL230">
        <v>0.56000000000000005</v>
      </c>
      <c r="BM230">
        <v>1.3</v>
      </c>
      <c r="BN230">
        <v>1.5</v>
      </c>
    </row>
    <row r="231" spans="1:66" x14ac:dyDescent="0.25">
      <c r="A231">
        <v>3</v>
      </c>
      <c r="B231">
        <v>-1</v>
      </c>
      <c r="C231">
        <v>1</v>
      </c>
      <c r="D231">
        <v>2.2933333333333334</v>
      </c>
      <c r="E231">
        <v>3.5999999999999996</v>
      </c>
      <c r="F231">
        <v>2.86</v>
      </c>
      <c r="G231" s="40">
        <v>0.62</v>
      </c>
      <c r="H231" s="40">
        <v>0.05</v>
      </c>
      <c r="I231" s="40">
        <f t="shared" si="1"/>
        <v>0.33</v>
      </c>
      <c r="J231">
        <v>2.35</v>
      </c>
      <c r="K231">
        <v>3.55</v>
      </c>
      <c r="L231">
        <v>2.75</v>
      </c>
      <c r="M231">
        <v>2.25</v>
      </c>
      <c r="N231">
        <v>3.6</v>
      </c>
      <c r="O231">
        <v>2.95</v>
      </c>
      <c r="P231">
        <v>2.2799999999999998</v>
      </c>
      <c r="Q231">
        <v>3.65</v>
      </c>
      <c r="R231">
        <v>2.88</v>
      </c>
      <c r="S231">
        <v>0.40782983001853768</v>
      </c>
      <c r="T231">
        <v>0.24366104251107548</v>
      </c>
      <c r="U231">
        <v>0.34850912747038676</v>
      </c>
      <c r="V231">
        <v>0.41881100266193433</v>
      </c>
      <c r="W231">
        <v>0.26175687666370895</v>
      </c>
      <c r="X231">
        <v>0.31943212067435667</v>
      </c>
      <c r="Y231">
        <v>0.41385175036613597</v>
      </c>
      <c r="Z231">
        <v>0.25851561392733974</v>
      </c>
      <c r="AA231">
        <v>0.32763263570652429</v>
      </c>
      <c r="AB231">
        <v>0.41349752768220266</v>
      </c>
      <c r="AC231">
        <v>0.2546445110340414</v>
      </c>
      <c r="AD231">
        <v>0.33185796128375589</v>
      </c>
      <c r="AE231" t="s">
        <v>133</v>
      </c>
      <c r="AF231" t="s">
        <v>134</v>
      </c>
      <c r="AG231">
        <v>11.73</v>
      </c>
      <c r="AH231">
        <v>21</v>
      </c>
      <c r="AI231">
        <v>7</v>
      </c>
      <c r="AJ231">
        <v>2</v>
      </c>
      <c r="AK231">
        <v>27.2</v>
      </c>
      <c r="AL231">
        <v>192</v>
      </c>
      <c r="AM231">
        <v>3470</v>
      </c>
      <c r="AN231">
        <v>67</v>
      </c>
      <c r="AO231">
        <v>72</v>
      </c>
      <c r="AP231">
        <v>68</v>
      </c>
      <c r="AQ231">
        <v>3</v>
      </c>
      <c r="AR231" t="s">
        <v>29</v>
      </c>
      <c r="AS231" t="s">
        <v>109</v>
      </c>
      <c r="AT231" t="s">
        <v>108</v>
      </c>
      <c r="AU231">
        <v>89.45</v>
      </c>
      <c r="AV231">
        <v>31</v>
      </c>
      <c r="AW231">
        <v>4</v>
      </c>
      <c r="AX231">
        <v>4</v>
      </c>
      <c r="AY231">
        <v>27.3</v>
      </c>
      <c r="AZ231">
        <v>5</v>
      </c>
      <c r="BA231">
        <v>11026</v>
      </c>
      <c r="BB231">
        <v>79</v>
      </c>
      <c r="BC231">
        <v>76</v>
      </c>
      <c r="BD231">
        <v>74</v>
      </c>
      <c r="BE231">
        <v>4</v>
      </c>
      <c r="BF231" t="s">
        <v>29</v>
      </c>
      <c r="BG231">
        <v>-5</v>
      </c>
      <c r="BH231">
        <v>-3</v>
      </c>
      <c r="BI231">
        <v>0</v>
      </c>
      <c r="BJ231" t="s">
        <v>271</v>
      </c>
      <c r="BK231">
        <v>0.5</v>
      </c>
      <c r="BL231">
        <v>0.50649999999999995</v>
      </c>
      <c r="BM231">
        <v>1.95</v>
      </c>
      <c r="BN231">
        <v>1.56</v>
      </c>
    </row>
    <row r="232" spans="1:66" x14ac:dyDescent="0.25">
      <c r="A232">
        <v>2</v>
      </c>
      <c r="B232">
        <v>0</v>
      </c>
      <c r="C232">
        <v>4</v>
      </c>
      <c r="D232">
        <v>10.166666666666666</v>
      </c>
      <c r="E232">
        <v>5.6333333333333329</v>
      </c>
      <c r="F232">
        <v>1.2666666666666668</v>
      </c>
      <c r="G232" s="40">
        <v>0.18</v>
      </c>
      <c r="H232" s="40">
        <v>0.34</v>
      </c>
      <c r="I232" s="40">
        <f t="shared" si="1"/>
        <v>0.48000000000000004</v>
      </c>
      <c r="J232">
        <v>10.5</v>
      </c>
      <c r="K232">
        <v>5.5</v>
      </c>
      <c r="L232">
        <v>1.26</v>
      </c>
      <c r="M232">
        <v>10</v>
      </c>
      <c r="N232">
        <v>5.7</v>
      </c>
      <c r="O232">
        <v>1.27</v>
      </c>
      <c r="P232">
        <v>10</v>
      </c>
      <c r="Q232">
        <v>5.7</v>
      </c>
      <c r="R232">
        <v>1.27</v>
      </c>
      <c r="S232">
        <v>9.4940827689267038E-2</v>
      </c>
      <c r="T232">
        <v>0.11388560823350767</v>
      </c>
      <c r="U232">
        <v>0.79117356407722528</v>
      </c>
      <c r="V232">
        <v>9.4087523882556298E-2</v>
      </c>
      <c r="W232">
        <v>0.16506583137290579</v>
      </c>
      <c r="X232">
        <v>0.74084664474453787</v>
      </c>
      <c r="Y232">
        <v>9.4087523882556298E-2</v>
      </c>
      <c r="Z232">
        <v>0.16506583137290579</v>
      </c>
      <c r="AA232">
        <v>0.74084664474453787</v>
      </c>
      <c r="AB232">
        <v>9.4371958484793225E-2</v>
      </c>
      <c r="AC232">
        <v>0.14800575699310642</v>
      </c>
      <c r="AD232">
        <v>0.75762228452210023</v>
      </c>
      <c r="AE232" t="s">
        <v>129</v>
      </c>
      <c r="AF232" t="s">
        <v>126</v>
      </c>
      <c r="AG232">
        <v>9.0299999999999994</v>
      </c>
      <c r="AH232">
        <v>30</v>
      </c>
      <c r="AI232">
        <v>8</v>
      </c>
      <c r="AJ232">
        <v>0</v>
      </c>
      <c r="AK232">
        <v>26.1</v>
      </c>
      <c r="AL232">
        <v>769</v>
      </c>
      <c r="AM232">
        <v>445</v>
      </c>
      <c r="AN232">
        <v>69</v>
      </c>
      <c r="AO232">
        <v>66</v>
      </c>
      <c r="AP232">
        <v>68</v>
      </c>
      <c r="AQ232">
        <v>2.5</v>
      </c>
      <c r="AR232" t="s">
        <v>29</v>
      </c>
      <c r="AS232" t="s">
        <v>107</v>
      </c>
      <c r="AT232" t="s">
        <v>108</v>
      </c>
      <c r="AU232">
        <v>118.25</v>
      </c>
      <c r="AV232">
        <v>29</v>
      </c>
      <c r="AW232">
        <v>3</v>
      </c>
      <c r="AX232">
        <v>6</v>
      </c>
      <c r="AY232">
        <v>26.1</v>
      </c>
      <c r="AZ232">
        <v>2</v>
      </c>
      <c r="BA232">
        <v>13486</v>
      </c>
      <c r="BB232">
        <v>78</v>
      </c>
      <c r="BC232">
        <v>76</v>
      </c>
      <c r="BD232">
        <v>74</v>
      </c>
      <c r="BE232">
        <v>4</v>
      </c>
      <c r="BF232" t="s">
        <v>29</v>
      </c>
      <c r="BG232">
        <v>-3</v>
      </c>
      <c r="BH232">
        <v>-3</v>
      </c>
      <c r="BI232">
        <v>0</v>
      </c>
      <c r="BJ232" t="s">
        <v>271</v>
      </c>
      <c r="BK232">
        <v>0.45</v>
      </c>
      <c r="BL232">
        <v>0.62860000000000005</v>
      </c>
      <c r="BM232">
        <v>1.6</v>
      </c>
      <c r="BN232">
        <v>1.87</v>
      </c>
    </row>
    <row r="233" spans="1:66" x14ac:dyDescent="0.25">
      <c r="A233">
        <v>2</v>
      </c>
      <c r="B233">
        <v>0</v>
      </c>
      <c r="C233">
        <v>6</v>
      </c>
      <c r="D233">
        <v>10.833333333333334</v>
      </c>
      <c r="E233">
        <v>6.8666666666666671</v>
      </c>
      <c r="F233">
        <v>1.2366666666666666</v>
      </c>
      <c r="G233" s="40">
        <v>0.15</v>
      </c>
      <c r="H233" s="40">
        <v>0.24</v>
      </c>
      <c r="I233" s="40">
        <f t="shared" si="1"/>
        <v>0.61</v>
      </c>
      <c r="J233">
        <v>10</v>
      </c>
      <c r="K233">
        <v>7</v>
      </c>
      <c r="L233">
        <v>1.24</v>
      </c>
      <c r="M233">
        <v>10</v>
      </c>
      <c r="N233">
        <v>5.6</v>
      </c>
      <c r="O233">
        <v>1.28</v>
      </c>
      <c r="P233">
        <v>12.5</v>
      </c>
      <c r="Q233">
        <v>8</v>
      </c>
      <c r="R233">
        <v>1.19</v>
      </c>
      <c r="S233">
        <v>9.9903136784263075E-2</v>
      </c>
      <c r="T233">
        <v>9.4426405278131467E-2</v>
      </c>
      <c r="U233">
        <v>0.8056704579376055</v>
      </c>
      <c r="V233">
        <v>9.4355518112889655E-2</v>
      </c>
      <c r="W233">
        <v>0.1684919966301601</v>
      </c>
      <c r="X233">
        <v>0.73715248525695032</v>
      </c>
      <c r="Y233">
        <v>7.6530407170706222E-2</v>
      </c>
      <c r="Z233">
        <v>0.11957876120422846</v>
      </c>
      <c r="AA233">
        <v>0.80389083162506536</v>
      </c>
      <c r="AB233">
        <v>9.0263020689286308E-2</v>
      </c>
      <c r="AC233">
        <v>0.12749905437084</v>
      </c>
      <c r="AD233">
        <v>0.78223792493987376</v>
      </c>
      <c r="AE233" t="s">
        <v>151</v>
      </c>
      <c r="AF233" t="s">
        <v>141</v>
      </c>
      <c r="AG233">
        <v>106.95</v>
      </c>
      <c r="AH233">
        <v>31</v>
      </c>
      <c r="AI233">
        <v>8</v>
      </c>
      <c r="AJ233">
        <v>3</v>
      </c>
      <c r="AK233">
        <v>27.6</v>
      </c>
      <c r="AL233">
        <v>116</v>
      </c>
      <c r="AM233">
        <v>4556</v>
      </c>
      <c r="AN233">
        <v>77</v>
      </c>
      <c r="AO233">
        <v>77</v>
      </c>
      <c r="AP233">
        <v>76</v>
      </c>
      <c r="AQ233">
        <v>4</v>
      </c>
      <c r="AR233" t="s">
        <v>29</v>
      </c>
      <c r="AS233" t="s">
        <v>137</v>
      </c>
      <c r="AT233" t="s">
        <v>141</v>
      </c>
      <c r="AU233">
        <v>992.2</v>
      </c>
      <c r="AV233">
        <v>32</v>
      </c>
      <c r="AW233">
        <v>20</v>
      </c>
      <c r="AX233">
        <v>17</v>
      </c>
      <c r="AY233">
        <v>25.9</v>
      </c>
      <c r="AZ233">
        <v>3</v>
      </c>
      <c r="BA233">
        <v>13105</v>
      </c>
      <c r="BB233">
        <v>88</v>
      </c>
      <c r="BC233">
        <v>85</v>
      </c>
      <c r="BD233">
        <v>85</v>
      </c>
      <c r="BE233">
        <v>5</v>
      </c>
      <c r="BF233" t="s">
        <v>28</v>
      </c>
      <c r="BG233">
        <v>-64</v>
      </c>
      <c r="BH233">
        <v>-59</v>
      </c>
      <c r="BI233">
        <v>0.14299999999999999</v>
      </c>
      <c r="BJ233" t="s">
        <v>270</v>
      </c>
      <c r="BK233">
        <v>0.3659</v>
      </c>
      <c r="BL233">
        <v>0.62749999999999995</v>
      </c>
      <c r="BM233">
        <v>1.32</v>
      </c>
      <c r="BN233">
        <v>2.16</v>
      </c>
    </row>
    <row r="234" spans="1:66" x14ac:dyDescent="0.25">
      <c r="A234">
        <v>3</v>
      </c>
      <c r="B234">
        <v>-2</v>
      </c>
      <c r="C234">
        <v>4</v>
      </c>
      <c r="D234">
        <v>2.4700000000000002</v>
      </c>
      <c r="E234">
        <v>3.3166666666666664</v>
      </c>
      <c r="F234">
        <v>2.9333333333333336</v>
      </c>
      <c r="G234" s="40">
        <v>0.46</v>
      </c>
      <c r="H234" s="40">
        <v>0.33</v>
      </c>
      <c r="I234" s="40">
        <f t="shared" si="1"/>
        <v>0.21000000000000002</v>
      </c>
      <c r="J234">
        <v>2.4500000000000002</v>
      </c>
      <c r="K234">
        <v>3.35</v>
      </c>
      <c r="L234">
        <v>3</v>
      </c>
      <c r="M234">
        <v>2.4</v>
      </c>
      <c r="N234">
        <v>3.3</v>
      </c>
      <c r="O234">
        <v>2.95</v>
      </c>
      <c r="P234">
        <v>2.56</v>
      </c>
      <c r="Q234">
        <v>3.3</v>
      </c>
      <c r="R234">
        <v>2.85</v>
      </c>
      <c r="S234">
        <v>0.40580401036856056</v>
      </c>
      <c r="T234">
        <v>0.26278938116378153</v>
      </c>
      <c r="U234">
        <v>0.33140660846765785</v>
      </c>
      <c r="V234">
        <v>0.39357186173438452</v>
      </c>
      <c r="W234">
        <v>0.28623408126137057</v>
      </c>
      <c r="X234">
        <v>0.32019405700424503</v>
      </c>
      <c r="Y234">
        <v>0.37397113205296428</v>
      </c>
      <c r="Z234">
        <v>0.29011093880472383</v>
      </c>
      <c r="AA234">
        <v>0.33591792914231183</v>
      </c>
      <c r="AB234">
        <v>0.39111566805196979</v>
      </c>
      <c r="AC234">
        <v>0.27971146707662536</v>
      </c>
      <c r="AD234">
        <v>0.3291728648714049</v>
      </c>
      <c r="AE234" t="s">
        <v>258</v>
      </c>
      <c r="AF234" t="s">
        <v>253</v>
      </c>
      <c r="AG234">
        <v>761.38</v>
      </c>
      <c r="AH234">
        <v>33</v>
      </c>
      <c r="AI234">
        <v>18</v>
      </c>
      <c r="AJ234">
        <v>11</v>
      </c>
      <c r="AK234">
        <v>25.8</v>
      </c>
      <c r="AL234">
        <v>39</v>
      </c>
      <c r="AM234">
        <v>7151</v>
      </c>
      <c r="AN234">
        <v>83</v>
      </c>
      <c r="AO234">
        <v>81</v>
      </c>
      <c r="AP234">
        <v>81</v>
      </c>
      <c r="AQ234">
        <v>4.5</v>
      </c>
      <c r="AR234" t="s">
        <v>29</v>
      </c>
      <c r="AS234" t="s">
        <v>260</v>
      </c>
      <c r="AT234" t="s">
        <v>253</v>
      </c>
      <c r="AU234">
        <v>454.8</v>
      </c>
      <c r="AV234">
        <v>29</v>
      </c>
      <c r="AW234">
        <v>19</v>
      </c>
      <c r="AX234">
        <v>12</v>
      </c>
      <c r="AY234">
        <v>27.4</v>
      </c>
      <c r="AZ234">
        <v>85</v>
      </c>
      <c r="BA234">
        <v>5188</v>
      </c>
      <c r="BB234">
        <v>80</v>
      </c>
      <c r="BC234">
        <v>79</v>
      </c>
      <c r="BD234">
        <v>79</v>
      </c>
      <c r="BE234">
        <v>4.5</v>
      </c>
      <c r="BF234" t="s">
        <v>29</v>
      </c>
      <c r="BG234">
        <v>66</v>
      </c>
      <c r="BH234">
        <v>96</v>
      </c>
      <c r="BI234">
        <v>0.55700000000000005</v>
      </c>
      <c r="BJ234" t="s">
        <v>267</v>
      </c>
      <c r="BK234">
        <v>0.59650000000000003</v>
      </c>
      <c r="BL234">
        <v>0.57999999999999996</v>
      </c>
      <c r="BM234">
        <v>2.02</v>
      </c>
      <c r="BN234">
        <v>1.82</v>
      </c>
    </row>
    <row r="235" spans="1:66" x14ac:dyDescent="0.25">
      <c r="A235">
        <v>3</v>
      </c>
      <c r="B235">
        <v>-1</v>
      </c>
      <c r="C235">
        <v>1</v>
      </c>
      <c r="D235">
        <v>1.5903333333333334</v>
      </c>
      <c r="E235">
        <v>3.9</v>
      </c>
      <c r="F235">
        <v>5.5</v>
      </c>
      <c r="G235" s="40">
        <v>0.54</v>
      </c>
      <c r="H235" s="40">
        <v>0.22</v>
      </c>
      <c r="I235" s="40">
        <f t="shared" si="1"/>
        <v>0.23999999999999996</v>
      </c>
      <c r="J235">
        <v>1.6</v>
      </c>
      <c r="K235">
        <v>3.8</v>
      </c>
      <c r="L235">
        <v>5.6</v>
      </c>
      <c r="M235">
        <v>1.571</v>
      </c>
      <c r="N235">
        <v>4</v>
      </c>
      <c r="O235">
        <v>5.5</v>
      </c>
      <c r="P235">
        <v>1.6</v>
      </c>
      <c r="Q235">
        <v>3.9</v>
      </c>
      <c r="R235">
        <v>5.4</v>
      </c>
      <c r="S235">
        <v>0.62194394752534288</v>
      </c>
      <c r="T235">
        <v>0.2003577817531306</v>
      </c>
      <c r="U235">
        <v>0.17769827072152652</v>
      </c>
      <c r="V235">
        <v>0.59581036980866364</v>
      </c>
      <c r="W235">
        <v>0.23400452274235264</v>
      </c>
      <c r="X235">
        <v>0.17018510744898374</v>
      </c>
      <c r="Y235">
        <v>0.58597662771285475</v>
      </c>
      <c r="Z235">
        <v>0.24040066777963273</v>
      </c>
      <c r="AA235">
        <v>0.17362270450751252</v>
      </c>
      <c r="AB235">
        <v>0.60124364834895383</v>
      </c>
      <c r="AC235">
        <v>0.22492099075837199</v>
      </c>
      <c r="AD235">
        <v>0.17383536089267426</v>
      </c>
      <c r="AE235" t="s">
        <v>89</v>
      </c>
      <c r="AF235" t="s">
        <v>85</v>
      </c>
      <c r="AG235">
        <v>27.63</v>
      </c>
      <c r="AH235">
        <v>32</v>
      </c>
      <c r="AI235">
        <v>5</v>
      </c>
      <c r="AJ235">
        <v>1</v>
      </c>
      <c r="AK235">
        <v>26</v>
      </c>
      <c r="AL235">
        <v>78</v>
      </c>
      <c r="AM235">
        <v>5364</v>
      </c>
      <c r="AN235">
        <v>72</v>
      </c>
      <c r="AO235">
        <v>67</v>
      </c>
      <c r="AP235">
        <v>71</v>
      </c>
      <c r="AQ235">
        <v>3</v>
      </c>
      <c r="AR235" t="s">
        <v>29</v>
      </c>
      <c r="AS235" t="s">
        <v>125</v>
      </c>
      <c r="AT235" t="s">
        <v>126</v>
      </c>
      <c r="AU235">
        <v>13.2</v>
      </c>
      <c r="AV235">
        <v>33</v>
      </c>
      <c r="AW235">
        <v>6</v>
      </c>
      <c r="AX235">
        <v>2</v>
      </c>
      <c r="AY235">
        <v>25.8</v>
      </c>
      <c r="AZ235">
        <v>648</v>
      </c>
      <c r="BA235">
        <v>911</v>
      </c>
      <c r="BB235">
        <v>73</v>
      </c>
      <c r="BC235">
        <v>70</v>
      </c>
      <c r="BD235">
        <v>72</v>
      </c>
      <c r="BE235">
        <v>3.5</v>
      </c>
      <c r="BF235" t="s">
        <v>28</v>
      </c>
      <c r="BG235">
        <v>2</v>
      </c>
      <c r="BH235">
        <v>3</v>
      </c>
      <c r="BI235">
        <v>1</v>
      </c>
      <c r="BJ235" t="s">
        <v>271</v>
      </c>
      <c r="BK235">
        <v>0.46150000000000002</v>
      </c>
      <c r="BL235">
        <v>0.51060000000000005</v>
      </c>
      <c r="BM235">
        <v>0.95</v>
      </c>
      <c r="BN235">
        <v>1.74</v>
      </c>
    </row>
    <row r="236" spans="1:66" x14ac:dyDescent="0.25">
      <c r="A236">
        <v>1</v>
      </c>
      <c r="B236">
        <v>1</v>
      </c>
      <c r="C236">
        <v>3</v>
      </c>
      <c r="D236">
        <v>1.8310000000000002</v>
      </c>
      <c r="E236">
        <v>3.6333333333333329</v>
      </c>
      <c r="F236">
        <v>4.3666666666666663</v>
      </c>
      <c r="G236" s="40">
        <v>0.35</v>
      </c>
      <c r="H236" s="40">
        <v>0.28999999999999998</v>
      </c>
      <c r="I236" s="40">
        <f t="shared" si="1"/>
        <v>0.36000000000000004</v>
      </c>
      <c r="J236">
        <v>1.8</v>
      </c>
      <c r="K236">
        <v>3.55</v>
      </c>
      <c r="L236">
        <v>4.3499999999999996</v>
      </c>
      <c r="M236">
        <v>1.833</v>
      </c>
      <c r="N236">
        <v>3.55</v>
      </c>
      <c r="O236">
        <v>4.2</v>
      </c>
      <c r="P236">
        <v>1.86</v>
      </c>
      <c r="Q236">
        <v>3.8</v>
      </c>
      <c r="R236">
        <v>4.55</v>
      </c>
      <c r="S236">
        <v>0.54524837222913158</v>
      </c>
      <c r="T236">
        <v>0.22913161167605531</v>
      </c>
      <c r="U236">
        <v>0.22562001609481311</v>
      </c>
      <c r="V236">
        <v>0.51209396975863586</v>
      </c>
      <c r="W236">
        <v>0.26441359058241676</v>
      </c>
      <c r="X236">
        <v>0.22349243965894749</v>
      </c>
      <c r="Y236">
        <v>0.52679686785899271</v>
      </c>
      <c r="Z236">
        <v>0.25785320374150694</v>
      </c>
      <c r="AA236">
        <v>0.21534992839950035</v>
      </c>
      <c r="AB236">
        <v>0.52804640328225327</v>
      </c>
      <c r="AC236">
        <v>0.25046613533332635</v>
      </c>
      <c r="AD236">
        <v>0.22148746138442033</v>
      </c>
      <c r="AE236" t="s">
        <v>118</v>
      </c>
      <c r="AF236" t="s">
        <v>108</v>
      </c>
      <c r="AG236">
        <v>36.35</v>
      </c>
      <c r="AH236">
        <v>43</v>
      </c>
      <c r="AI236">
        <v>3</v>
      </c>
      <c r="AJ236">
        <v>0</v>
      </c>
      <c r="AK236">
        <v>25.3</v>
      </c>
      <c r="AL236">
        <v>89</v>
      </c>
      <c r="AM236">
        <v>5108</v>
      </c>
      <c r="AN236">
        <v>71</v>
      </c>
      <c r="AO236">
        <v>74</v>
      </c>
      <c r="AP236">
        <v>72</v>
      </c>
      <c r="AQ236">
        <v>3.5</v>
      </c>
      <c r="AR236" t="s">
        <v>29</v>
      </c>
      <c r="AS236" t="s">
        <v>72</v>
      </c>
      <c r="AT236" t="s">
        <v>63</v>
      </c>
      <c r="AU236">
        <v>13.68</v>
      </c>
      <c r="AV236">
        <v>31</v>
      </c>
      <c r="AW236">
        <v>7</v>
      </c>
      <c r="AX236">
        <v>0</v>
      </c>
      <c r="AY236">
        <v>27.2</v>
      </c>
      <c r="AZ236">
        <v>209</v>
      </c>
      <c r="BA236">
        <v>3175</v>
      </c>
      <c r="BB236">
        <v>70</v>
      </c>
      <c r="BC236">
        <v>68</v>
      </c>
      <c r="BD236">
        <v>68</v>
      </c>
      <c r="BE236">
        <v>2.5</v>
      </c>
      <c r="BF236" t="s">
        <v>46</v>
      </c>
      <c r="BG236">
        <v>1</v>
      </c>
      <c r="BH236">
        <v>3</v>
      </c>
      <c r="BI236">
        <v>1</v>
      </c>
      <c r="BJ236" t="s">
        <v>271</v>
      </c>
      <c r="BK236">
        <v>0.4839</v>
      </c>
      <c r="BL236">
        <v>0.51719999999999999</v>
      </c>
      <c r="BM236">
        <v>1.52</v>
      </c>
      <c r="BN236">
        <v>1.55</v>
      </c>
    </row>
    <row r="237" spans="1:66" x14ac:dyDescent="0.25">
      <c r="A237">
        <v>2</v>
      </c>
      <c r="B237">
        <v>0</v>
      </c>
      <c r="C237">
        <v>2</v>
      </c>
      <c r="D237">
        <v>4.05</v>
      </c>
      <c r="E237">
        <v>3.5666666666666664</v>
      </c>
      <c r="F237">
        <v>1.9263333333333332</v>
      </c>
      <c r="G237" s="40">
        <v>0.21</v>
      </c>
      <c r="H237" s="40">
        <v>0.44</v>
      </c>
      <c r="I237" s="40">
        <f t="shared" si="1"/>
        <v>0.35000000000000003</v>
      </c>
      <c r="J237">
        <v>3.9</v>
      </c>
      <c r="K237">
        <v>3.45</v>
      </c>
      <c r="L237">
        <v>1.93</v>
      </c>
      <c r="M237">
        <v>4</v>
      </c>
      <c r="N237">
        <v>3.5</v>
      </c>
      <c r="O237">
        <v>1.909</v>
      </c>
      <c r="P237">
        <v>4.25</v>
      </c>
      <c r="Q237">
        <v>3.75</v>
      </c>
      <c r="R237">
        <v>1.94</v>
      </c>
      <c r="S237">
        <v>0.2509236443302118</v>
      </c>
      <c r="T237">
        <v>0.24202857697143262</v>
      </c>
      <c r="U237">
        <v>0.50704777869835549</v>
      </c>
      <c r="V237">
        <v>0.23594950119184252</v>
      </c>
      <c r="W237">
        <v>0.26965657279067717</v>
      </c>
      <c r="X237">
        <v>0.49439392601748033</v>
      </c>
      <c r="Y237">
        <v>0.23126440435508225</v>
      </c>
      <c r="Z237">
        <v>0.26209965826909321</v>
      </c>
      <c r="AA237">
        <v>0.50663593737582446</v>
      </c>
      <c r="AB237">
        <v>0.23937918329237884</v>
      </c>
      <c r="AC237">
        <v>0.25792826934373431</v>
      </c>
      <c r="AD237">
        <v>0.5026925473638868</v>
      </c>
      <c r="AE237" t="s">
        <v>66</v>
      </c>
      <c r="AF237" t="s">
        <v>63</v>
      </c>
      <c r="AG237">
        <v>23.33</v>
      </c>
      <c r="AH237">
        <v>27</v>
      </c>
      <c r="AI237">
        <v>2</v>
      </c>
      <c r="AJ237">
        <v>1</v>
      </c>
      <c r="AK237">
        <v>29.3</v>
      </c>
      <c r="AL237">
        <v>93</v>
      </c>
      <c r="AM237">
        <v>5011</v>
      </c>
      <c r="AN237">
        <v>74</v>
      </c>
      <c r="AO237">
        <v>69</v>
      </c>
      <c r="AP237">
        <v>68</v>
      </c>
      <c r="AQ237">
        <v>3</v>
      </c>
      <c r="AR237" t="s">
        <v>28</v>
      </c>
      <c r="AS237" t="s">
        <v>84</v>
      </c>
      <c r="AT237" t="s">
        <v>85</v>
      </c>
      <c r="AU237">
        <v>115.65</v>
      </c>
      <c r="AV237">
        <v>32</v>
      </c>
      <c r="AW237">
        <v>7</v>
      </c>
      <c r="AX237">
        <v>7</v>
      </c>
      <c r="AY237">
        <v>27.6</v>
      </c>
      <c r="AZ237">
        <v>4</v>
      </c>
      <c r="BA237">
        <v>11425</v>
      </c>
      <c r="BB237">
        <v>78</v>
      </c>
      <c r="BC237">
        <v>78</v>
      </c>
      <c r="BD237">
        <v>77</v>
      </c>
      <c r="BE237">
        <v>4</v>
      </c>
      <c r="BF237" t="s">
        <v>29</v>
      </c>
      <c r="BG237">
        <v>-7</v>
      </c>
      <c r="BH237">
        <v>-11</v>
      </c>
      <c r="BI237">
        <v>0</v>
      </c>
      <c r="BJ237" t="s">
        <v>271</v>
      </c>
      <c r="BK237">
        <v>0.4</v>
      </c>
      <c r="BL237">
        <v>0.65310000000000001</v>
      </c>
      <c r="BM237">
        <v>1.28</v>
      </c>
      <c r="BN237">
        <v>2.12</v>
      </c>
    </row>
    <row r="238" spans="1:66" x14ac:dyDescent="0.25">
      <c r="A238">
        <v>2</v>
      </c>
      <c r="B238">
        <v>0</v>
      </c>
      <c r="C238">
        <v>0</v>
      </c>
      <c r="D238">
        <v>1.7299999999999998</v>
      </c>
      <c r="E238">
        <v>3.6666666666666665</v>
      </c>
      <c r="F238">
        <v>4.7666666666666666</v>
      </c>
      <c r="G238" s="40">
        <v>0.51</v>
      </c>
      <c r="H238" s="40">
        <v>0.3</v>
      </c>
      <c r="I238" s="40">
        <f t="shared" si="1"/>
        <v>0.19</v>
      </c>
      <c r="J238">
        <v>1.7</v>
      </c>
      <c r="K238">
        <v>3.6</v>
      </c>
      <c r="L238">
        <v>5</v>
      </c>
      <c r="M238">
        <v>1.76</v>
      </c>
      <c r="N238">
        <v>3.7</v>
      </c>
      <c r="O238">
        <v>4.55</v>
      </c>
      <c r="P238">
        <v>1.73</v>
      </c>
      <c r="Q238">
        <v>3.7</v>
      </c>
      <c r="R238">
        <v>4.75</v>
      </c>
      <c r="S238">
        <v>0.58309037900874638</v>
      </c>
      <c r="T238">
        <v>0.21865889212827988</v>
      </c>
      <c r="U238">
        <v>0.19825072886297374</v>
      </c>
      <c r="V238">
        <v>0.53691596236644878</v>
      </c>
      <c r="W238">
        <v>0.25539786317971619</v>
      </c>
      <c r="X238">
        <v>0.20768617445383517</v>
      </c>
      <c r="Y238">
        <v>0.54591765418485105</v>
      </c>
      <c r="Z238">
        <v>0.25525338965940331</v>
      </c>
      <c r="AA238">
        <v>0.19882895615574572</v>
      </c>
      <c r="AB238">
        <v>0.55530799852001544</v>
      </c>
      <c r="AC238">
        <v>0.24310338165579978</v>
      </c>
      <c r="AD238">
        <v>0.20158861982418488</v>
      </c>
      <c r="AE238" t="s">
        <v>67</v>
      </c>
      <c r="AF238" t="s">
        <v>63</v>
      </c>
      <c r="AG238">
        <v>19.75</v>
      </c>
      <c r="AH238">
        <v>33</v>
      </c>
      <c r="AI238">
        <v>2</v>
      </c>
      <c r="AJ238">
        <v>1</v>
      </c>
      <c r="AK238">
        <v>24.9</v>
      </c>
      <c r="AL238">
        <v>104</v>
      </c>
      <c r="AM238">
        <v>4793</v>
      </c>
      <c r="AN238">
        <v>68</v>
      </c>
      <c r="AO238">
        <v>70</v>
      </c>
      <c r="AP238">
        <v>71</v>
      </c>
      <c r="AQ238">
        <v>3</v>
      </c>
      <c r="AR238" t="s">
        <v>29</v>
      </c>
      <c r="AS238" t="s">
        <v>247</v>
      </c>
      <c r="AT238" t="s">
        <v>246</v>
      </c>
      <c r="AU238">
        <v>12.3</v>
      </c>
      <c r="AV238">
        <v>30</v>
      </c>
      <c r="AW238">
        <v>6</v>
      </c>
      <c r="AX238">
        <v>2</v>
      </c>
      <c r="AY238">
        <v>24.6</v>
      </c>
      <c r="AZ238">
        <v>215</v>
      </c>
      <c r="BA238">
        <v>3127</v>
      </c>
      <c r="BB238">
        <v>73</v>
      </c>
      <c r="BC238">
        <v>70</v>
      </c>
      <c r="BD238">
        <v>69</v>
      </c>
      <c r="BE238">
        <v>3</v>
      </c>
      <c r="BF238" t="s">
        <v>46</v>
      </c>
      <c r="BG238">
        <v>3</v>
      </c>
      <c r="BH238">
        <v>11</v>
      </c>
      <c r="BI238">
        <v>0.6</v>
      </c>
      <c r="BJ238" t="s">
        <v>271</v>
      </c>
      <c r="BK238">
        <v>0.42859999999999998</v>
      </c>
      <c r="BL238">
        <v>0.5</v>
      </c>
      <c r="BM238">
        <v>1.75</v>
      </c>
      <c r="BN238">
        <v>1.42</v>
      </c>
    </row>
    <row r="239" spans="1:66" x14ac:dyDescent="0.25">
      <c r="A239">
        <v>3</v>
      </c>
      <c r="B239">
        <v>-1</v>
      </c>
      <c r="C239">
        <v>3</v>
      </c>
      <c r="D239">
        <v>1.8233333333333335</v>
      </c>
      <c r="E239">
        <v>3.5</v>
      </c>
      <c r="F239">
        <v>4.083333333333333</v>
      </c>
      <c r="G239" s="40">
        <v>0.36</v>
      </c>
      <c r="H239" s="40">
        <v>0.43</v>
      </c>
      <c r="I239" s="40">
        <f t="shared" si="1"/>
        <v>0.21000000000000002</v>
      </c>
      <c r="J239">
        <v>1.75</v>
      </c>
      <c r="K239">
        <v>3.5</v>
      </c>
      <c r="L239">
        <v>4.2</v>
      </c>
      <c r="M239">
        <v>1.85</v>
      </c>
      <c r="N239">
        <v>3.5</v>
      </c>
      <c r="O239">
        <v>4</v>
      </c>
      <c r="P239">
        <v>1.87</v>
      </c>
      <c r="Q239">
        <v>3.5</v>
      </c>
      <c r="R239">
        <v>4.05</v>
      </c>
      <c r="S239">
        <v>0.54396504642271981</v>
      </c>
      <c r="T239">
        <v>0.22938285090114691</v>
      </c>
      <c r="U239">
        <v>0.22665210267613325</v>
      </c>
      <c r="V239">
        <v>0.50224215246636761</v>
      </c>
      <c r="W239">
        <v>0.26547085201793719</v>
      </c>
      <c r="X239">
        <v>0.23228699551569507</v>
      </c>
      <c r="Y239">
        <v>0.50099846254440061</v>
      </c>
      <c r="Z239">
        <v>0.26767632141657977</v>
      </c>
      <c r="AA239">
        <v>0.23132521603901957</v>
      </c>
      <c r="AB239">
        <v>0.51573522047782927</v>
      </c>
      <c r="AC239">
        <v>0.2541766747785546</v>
      </c>
      <c r="AD239">
        <v>0.23008810474361596</v>
      </c>
      <c r="AE239" t="s">
        <v>90</v>
      </c>
      <c r="AF239" t="s">
        <v>85</v>
      </c>
      <c r="AG239">
        <v>52.93</v>
      </c>
      <c r="AH239">
        <v>37</v>
      </c>
      <c r="AI239">
        <v>4</v>
      </c>
      <c r="AJ239">
        <v>2</v>
      </c>
      <c r="AK239">
        <v>26.1</v>
      </c>
      <c r="AL239">
        <v>88</v>
      </c>
      <c r="AM239">
        <v>5121</v>
      </c>
      <c r="AN239">
        <v>75</v>
      </c>
      <c r="AO239">
        <v>73</v>
      </c>
      <c r="AP239">
        <v>73</v>
      </c>
      <c r="AQ239">
        <v>3.5</v>
      </c>
      <c r="AR239" t="s">
        <v>29</v>
      </c>
      <c r="AS239" t="s">
        <v>93</v>
      </c>
      <c r="AT239" t="s">
        <v>85</v>
      </c>
      <c r="AU239">
        <v>15.08</v>
      </c>
      <c r="AV239">
        <v>25</v>
      </c>
      <c r="AW239">
        <v>3</v>
      </c>
      <c r="AX239">
        <v>0</v>
      </c>
      <c r="AY239">
        <v>26.2</v>
      </c>
      <c r="AZ239">
        <v>100</v>
      </c>
      <c r="BA239">
        <v>4829</v>
      </c>
      <c r="BB239">
        <v>73</v>
      </c>
      <c r="BC239">
        <v>71</v>
      </c>
      <c r="BD239">
        <v>72</v>
      </c>
      <c r="BE239">
        <v>3.5</v>
      </c>
      <c r="BF239" t="s">
        <v>29</v>
      </c>
      <c r="BG239">
        <v>16</v>
      </c>
      <c r="BH239">
        <v>35</v>
      </c>
      <c r="BI239">
        <v>0.61899999999999999</v>
      </c>
      <c r="BJ239" t="s">
        <v>286</v>
      </c>
      <c r="BK239">
        <v>0.45950000000000002</v>
      </c>
      <c r="BL239">
        <v>0.38890000000000002</v>
      </c>
      <c r="BM239">
        <v>1.43</v>
      </c>
      <c r="BN239">
        <v>1.36</v>
      </c>
    </row>
    <row r="240" spans="1:66" x14ac:dyDescent="0.25">
      <c r="A240">
        <v>1</v>
      </c>
      <c r="B240">
        <v>1</v>
      </c>
      <c r="C240">
        <v>1</v>
      </c>
      <c r="D240">
        <v>1.4799999999999998</v>
      </c>
      <c r="E240">
        <v>4.5333333333333332</v>
      </c>
      <c r="F240">
        <v>6.6333333333333329</v>
      </c>
      <c r="G240" s="40">
        <v>0.51</v>
      </c>
      <c r="H240" s="40">
        <v>0.28000000000000003</v>
      </c>
      <c r="I240" s="40">
        <f t="shared" si="1"/>
        <v>0.20999999999999996</v>
      </c>
      <c r="J240">
        <v>1.46</v>
      </c>
      <c r="K240">
        <v>4.5999999999999996</v>
      </c>
      <c r="L240">
        <v>7.5</v>
      </c>
      <c r="M240">
        <v>1.5</v>
      </c>
      <c r="N240">
        <v>4.4000000000000004</v>
      </c>
      <c r="O240">
        <v>6</v>
      </c>
      <c r="P240">
        <v>1.48</v>
      </c>
      <c r="Q240">
        <v>4.5999999999999996</v>
      </c>
      <c r="R240">
        <v>6.4</v>
      </c>
      <c r="S240">
        <v>0.70660867684145212</v>
      </c>
      <c r="T240">
        <v>0.15583816740007858</v>
      </c>
      <c r="U240">
        <v>0.13755315575846935</v>
      </c>
      <c r="V240">
        <v>0.62857142857142856</v>
      </c>
      <c r="W240">
        <v>0.2142857142857143</v>
      </c>
      <c r="X240">
        <v>0.15714285714285714</v>
      </c>
      <c r="Y240">
        <v>0.64391951006124237</v>
      </c>
      <c r="Z240">
        <v>0.20717410323709537</v>
      </c>
      <c r="AA240">
        <v>0.14890638670166229</v>
      </c>
      <c r="AB240">
        <v>0.65969987182470768</v>
      </c>
      <c r="AC240">
        <v>0.19243266164096276</v>
      </c>
      <c r="AD240">
        <v>0.14786746653432958</v>
      </c>
      <c r="AE240" t="s">
        <v>146</v>
      </c>
      <c r="AF240" t="s">
        <v>141</v>
      </c>
      <c r="AG240">
        <v>318</v>
      </c>
      <c r="AH240">
        <v>29</v>
      </c>
      <c r="AI240">
        <v>13</v>
      </c>
      <c r="AJ240">
        <v>7</v>
      </c>
      <c r="AK240">
        <v>27.2</v>
      </c>
      <c r="AL240">
        <v>31</v>
      </c>
      <c r="AM240">
        <v>7447</v>
      </c>
      <c r="AN240">
        <v>79</v>
      </c>
      <c r="AO240">
        <v>81</v>
      </c>
      <c r="AP240">
        <v>80</v>
      </c>
      <c r="AQ240">
        <v>4.5</v>
      </c>
      <c r="AR240" t="s">
        <v>29</v>
      </c>
      <c r="AS240" t="s">
        <v>142</v>
      </c>
      <c r="AT240" t="s">
        <v>141</v>
      </c>
      <c r="AU240">
        <v>328.38</v>
      </c>
      <c r="AV240">
        <v>26</v>
      </c>
      <c r="AW240">
        <v>14</v>
      </c>
      <c r="AX240">
        <v>8</v>
      </c>
      <c r="AY240">
        <v>25.8</v>
      </c>
      <c r="AZ240">
        <v>11</v>
      </c>
      <c r="BA240">
        <v>9770</v>
      </c>
      <c r="BB240">
        <v>81</v>
      </c>
      <c r="BC240">
        <v>81</v>
      </c>
      <c r="BD240">
        <v>81</v>
      </c>
      <c r="BE240">
        <v>4.5</v>
      </c>
      <c r="BF240" t="s">
        <v>29</v>
      </c>
      <c r="BG240">
        <v>-54</v>
      </c>
      <c r="BH240">
        <v>-16</v>
      </c>
      <c r="BI240">
        <v>0.36599999999999999</v>
      </c>
      <c r="BJ240" t="s">
        <v>270</v>
      </c>
      <c r="BK240">
        <v>0.57410000000000005</v>
      </c>
      <c r="BL240">
        <v>0.36</v>
      </c>
      <c r="BM240">
        <v>1.61</v>
      </c>
      <c r="BN240">
        <v>1.24</v>
      </c>
    </row>
    <row r="241" spans="1:66" x14ac:dyDescent="0.25">
      <c r="A241">
        <v>1</v>
      </c>
      <c r="B241">
        <v>1</v>
      </c>
      <c r="C241">
        <v>1</v>
      </c>
      <c r="D241">
        <v>2.4266666666666672</v>
      </c>
      <c r="E241">
        <v>3.1333333333333333</v>
      </c>
      <c r="F241">
        <v>3.1333333333333333</v>
      </c>
      <c r="G241" s="40">
        <v>0.44</v>
      </c>
      <c r="H241" s="40">
        <v>0.32</v>
      </c>
      <c r="I241" s="40">
        <f t="shared" si="1"/>
        <v>0.24000000000000005</v>
      </c>
      <c r="J241">
        <v>2.4300000000000002</v>
      </c>
      <c r="K241">
        <v>3.15</v>
      </c>
      <c r="L241">
        <v>3.2</v>
      </c>
      <c r="M241">
        <v>2.4</v>
      </c>
      <c r="N241">
        <v>3.1</v>
      </c>
      <c r="O241">
        <v>3.1</v>
      </c>
      <c r="P241">
        <v>2.4500000000000002</v>
      </c>
      <c r="Q241">
        <v>3.15</v>
      </c>
      <c r="R241">
        <v>3.1</v>
      </c>
      <c r="S241">
        <v>0.41004133134458826</v>
      </c>
      <c r="T241">
        <v>0.27858353266561492</v>
      </c>
      <c r="U241">
        <v>0.31137513598979671</v>
      </c>
      <c r="V241">
        <v>0.39240506329113928</v>
      </c>
      <c r="W241">
        <v>0.30379746835443039</v>
      </c>
      <c r="X241">
        <v>0.30379746835443039</v>
      </c>
      <c r="Y241">
        <v>0.38939288206559658</v>
      </c>
      <c r="Z241">
        <v>0.30286113049546404</v>
      </c>
      <c r="AA241">
        <v>0.30774598743893927</v>
      </c>
      <c r="AB241">
        <v>0.39727975890044137</v>
      </c>
      <c r="AC241">
        <v>0.29508071050516982</v>
      </c>
      <c r="AD241">
        <v>0.30763953059438881</v>
      </c>
      <c r="AE241" t="s">
        <v>153</v>
      </c>
      <c r="AF241" t="s">
        <v>141</v>
      </c>
      <c r="AG241">
        <v>128.25</v>
      </c>
      <c r="AH241">
        <v>26</v>
      </c>
      <c r="AI241">
        <v>8</v>
      </c>
      <c r="AJ241">
        <v>4</v>
      </c>
      <c r="AK241">
        <v>26.4</v>
      </c>
      <c r="AL241">
        <v>138</v>
      </c>
      <c r="AM241">
        <v>4059</v>
      </c>
      <c r="AN241">
        <v>80</v>
      </c>
      <c r="AO241">
        <v>77</v>
      </c>
      <c r="AP241">
        <v>76</v>
      </c>
      <c r="AQ241">
        <v>4</v>
      </c>
      <c r="AR241" t="s">
        <v>29</v>
      </c>
      <c r="AS241" t="s">
        <v>145</v>
      </c>
      <c r="AT241" t="s">
        <v>141</v>
      </c>
      <c r="AU241">
        <v>155.69999999999999</v>
      </c>
      <c r="AV241">
        <v>26</v>
      </c>
      <c r="AW241">
        <v>14</v>
      </c>
      <c r="AX241">
        <v>8</v>
      </c>
      <c r="AY241">
        <v>27.3</v>
      </c>
      <c r="AZ241">
        <v>27</v>
      </c>
      <c r="BA241">
        <v>7881</v>
      </c>
      <c r="BB241">
        <v>80</v>
      </c>
      <c r="BC241">
        <v>77</v>
      </c>
      <c r="BD241">
        <v>78</v>
      </c>
      <c r="BE241">
        <v>4</v>
      </c>
      <c r="BF241" t="s">
        <v>46</v>
      </c>
      <c r="BG241">
        <v>-4</v>
      </c>
      <c r="BH241">
        <v>1</v>
      </c>
      <c r="BI241">
        <v>0.28599999999999998</v>
      </c>
      <c r="BJ241" t="s">
        <v>270</v>
      </c>
      <c r="BK241">
        <v>0.2195</v>
      </c>
      <c r="BL241">
        <v>0.40820000000000001</v>
      </c>
      <c r="BM241">
        <v>1.07</v>
      </c>
      <c r="BN241">
        <v>1.1399999999999999</v>
      </c>
    </row>
    <row r="242" spans="1:66" x14ac:dyDescent="0.25">
      <c r="A242">
        <v>1</v>
      </c>
      <c r="B242">
        <v>1</v>
      </c>
      <c r="C242">
        <v>1</v>
      </c>
      <c r="D242">
        <v>2.5500000000000003</v>
      </c>
      <c r="E242">
        <v>3.1333333333333333</v>
      </c>
      <c r="F242">
        <v>2.9666666666666668</v>
      </c>
      <c r="G242" s="40">
        <v>0.16</v>
      </c>
      <c r="H242" s="40">
        <v>0.34</v>
      </c>
      <c r="I242" s="40">
        <f t="shared" si="1"/>
        <v>0.49999999999999994</v>
      </c>
      <c r="J242">
        <v>2.63</v>
      </c>
      <c r="K242">
        <v>3.15</v>
      </c>
      <c r="L242">
        <v>2.9</v>
      </c>
      <c r="M242">
        <v>2.4</v>
      </c>
      <c r="N242">
        <v>3.1</v>
      </c>
      <c r="O242">
        <v>3.1</v>
      </c>
      <c r="P242">
        <v>2.62</v>
      </c>
      <c r="Q242">
        <v>3.15</v>
      </c>
      <c r="R242">
        <v>2.9</v>
      </c>
      <c r="S242">
        <v>0.3774816353170089</v>
      </c>
      <c r="T242">
        <v>0.28018157127480714</v>
      </c>
      <c r="U242">
        <v>0.3423367934081839</v>
      </c>
      <c r="V242">
        <v>0.39240506329113928</v>
      </c>
      <c r="W242">
        <v>0.30379746835443039</v>
      </c>
      <c r="X242">
        <v>0.30379746835443039</v>
      </c>
      <c r="Y242">
        <v>0.36560473865364601</v>
      </c>
      <c r="Z242">
        <v>0.30409029056271514</v>
      </c>
      <c r="AA242">
        <v>0.33030497078363885</v>
      </c>
      <c r="AB242">
        <v>0.3784971457539314</v>
      </c>
      <c r="AC242">
        <v>0.29602311006398424</v>
      </c>
      <c r="AD242">
        <v>0.32547974418208436</v>
      </c>
      <c r="AE242" t="s">
        <v>158</v>
      </c>
      <c r="AF242" t="s">
        <v>141</v>
      </c>
      <c r="AG242">
        <v>23.13</v>
      </c>
      <c r="AH242">
        <v>21</v>
      </c>
      <c r="AI242">
        <v>5</v>
      </c>
      <c r="AJ242">
        <v>1</v>
      </c>
      <c r="AK242">
        <v>27.5</v>
      </c>
      <c r="AL242">
        <v>581</v>
      </c>
      <c r="AM242">
        <v>1089</v>
      </c>
      <c r="AN242">
        <v>73</v>
      </c>
      <c r="AO242">
        <v>72</v>
      </c>
      <c r="AP242">
        <v>72</v>
      </c>
      <c r="AQ242">
        <v>3.5</v>
      </c>
      <c r="AR242" t="s">
        <v>29</v>
      </c>
      <c r="AS242" t="s">
        <v>148</v>
      </c>
      <c r="AT242" t="s">
        <v>141</v>
      </c>
      <c r="AU242">
        <v>216.3</v>
      </c>
      <c r="AV242">
        <v>26</v>
      </c>
      <c r="AW242">
        <v>1</v>
      </c>
      <c r="AX242">
        <v>3</v>
      </c>
      <c r="AY242">
        <v>26.7</v>
      </c>
      <c r="AZ242">
        <v>61</v>
      </c>
      <c r="BA242">
        <v>6139</v>
      </c>
      <c r="BB242">
        <v>79</v>
      </c>
      <c r="BC242">
        <v>79</v>
      </c>
      <c r="BD242">
        <v>79</v>
      </c>
      <c r="BE242">
        <v>4.5</v>
      </c>
      <c r="BF242" t="s">
        <v>29</v>
      </c>
      <c r="BG242">
        <v>1</v>
      </c>
      <c r="BH242">
        <v>4</v>
      </c>
      <c r="BI242">
        <v>0.25</v>
      </c>
      <c r="BJ242" t="s">
        <v>270</v>
      </c>
      <c r="BK242">
        <v>0.5</v>
      </c>
      <c r="BL242">
        <v>0.36959999999999998</v>
      </c>
      <c r="BM242">
        <v>1.3</v>
      </c>
      <c r="BN242">
        <v>1.2</v>
      </c>
    </row>
    <row r="243" spans="1:66" x14ac:dyDescent="0.25">
      <c r="A243">
        <v>1</v>
      </c>
      <c r="B243">
        <v>1</v>
      </c>
      <c r="C243">
        <v>3</v>
      </c>
      <c r="D243">
        <v>1.61</v>
      </c>
      <c r="E243">
        <v>3.8666666666666667</v>
      </c>
      <c r="F243">
        <v>5.9666666666666659</v>
      </c>
      <c r="G243" s="40">
        <v>0.44</v>
      </c>
      <c r="H243" s="40">
        <v>0.32</v>
      </c>
      <c r="I243" s="40">
        <f t="shared" si="1"/>
        <v>0.24000000000000005</v>
      </c>
      <c r="J243">
        <v>1.6</v>
      </c>
      <c r="K243">
        <v>4</v>
      </c>
      <c r="L243">
        <v>6</v>
      </c>
      <c r="M243">
        <v>1.63</v>
      </c>
      <c r="N243">
        <v>3.6</v>
      </c>
      <c r="O243">
        <v>6</v>
      </c>
      <c r="P243">
        <v>1.6</v>
      </c>
      <c r="Q243">
        <v>4</v>
      </c>
      <c r="R243">
        <v>5.9</v>
      </c>
      <c r="S243">
        <v>0.63905795183911085</v>
      </c>
      <c r="T243">
        <v>0.19052659433712621</v>
      </c>
      <c r="U243">
        <v>0.17041545382376291</v>
      </c>
      <c r="V243">
        <v>0.57989690721649489</v>
      </c>
      <c r="W243">
        <v>0.26256443298969073</v>
      </c>
      <c r="X243">
        <v>0.15753865979381446</v>
      </c>
      <c r="Y243">
        <v>0.5983772819472617</v>
      </c>
      <c r="Z243">
        <v>0.23935091277890469</v>
      </c>
      <c r="AA243">
        <v>0.16227180527383367</v>
      </c>
      <c r="AB243">
        <v>0.60577738033428918</v>
      </c>
      <c r="AC243">
        <v>0.23081398003524053</v>
      </c>
      <c r="AD243">
        <v>0.16340863963047034</v>
      </c>
      <c r="AE243" t="s">
        <v>143</v>
      </c>
      <c r="AF243" t="s">
        <v>141</v>
      </c>
      <c r="AG243">
        <v>764.3</v>
      </c>
      <c r="AH243">
        <v>31</v>
      </c>
      <c r="AI243">
        <v>17</v>
      </c>
      <c r="AJ243">
        <v>18</v>
      </c>
      <c r="AK243">
        <v>25.2</v>
      </c>
      <c r="AL243">
        <v>13</v>
      </c>
      <c r="AM243">
        <v>9329</v>
      </c>
      <c r="AN243">
        <v>81</v>
      </c>
      <c r="AO243">
        <v>83</v>
      </c>
      <c r="AP243">
        <v>82</v>
      </c>
      <c r="AQ243">
        <v>5</v>
      </c>
      <c r="AR243" t="s">
        <v>29</v>
      </c>
      <c r="AS243" t="s">
        <v>147</v>
      </c>
      <c r="AT243" t="s">
        <v>141</v>
      </c>
      <c r="AU243">
        <v>327.10000000000002</v>
      </c>
      <c r="AV243">
        <v>29</v>
      </c>
      <c r="AW243">
        <v>7</v>
      </c>
      <c r="AX243">
        <v>5</v>
      </c>
      <c r="AY243">
        <v>25.9</v>
      </c>
      <c r="AZ243">
        <v>32</v>
      </c>
      <c r="BA243">
        <v>7427</v>
      </c>
      <c r="BB243">
        <v>81</v>
      </c>
      <c r="BC243">
        <v>80</v>
      </c>
      <c r="BD243">
        <v>77</v>
      </c>
      <c r="BE243">
        <v>4.5</v>
      </c>
      <c r="BF243" t="s">
        <v>28</v>
      </c>
      <c r="BG243">
        <v>75</v>
      </c>
      <c r="BH243">
        <v>109</v>
      </c>
      <c r="BI243">
        <v>0.496</v>
      </c>
      <c r="BJ243" t="s">
        <v>270</v>
      </c>
      <c r="BK243">
        <v>0.48</v>
      </c>
      <c r="BL243">
        <v>0.52170000000000005</v>
      </c>
      <c r="BM243">
        <v>1.36</v>
      </c>
      <c r="BN243">
        <v>1.76</v>
      </c>
    </row>
    <row r="244" spans="1:66" x14ac:dyDescent="0.25">
      <c r="A244">
        <v>3</v>
      </c>
      <c r="B244">
        <v>-1</v>
      </c>
      <c r="C244">
        <v>1</v>
      </c>
      <c r="D244">
        <v>1.7533333333333332</v>
      </c>
      <c r="E244">
        <v>3.6166666666666671</v>
      </c>
      <c r="F244">
        <v>4.9833333333333334</v>
      </c>
      <c r="G244" s="40">
        <v>0.42</v>
      </c>
      <c r="H244" s="40">
        <v>0.32</v>
      </c>
      <c r="I244" s="40">
        <f t="shared" si="1"/>
        <v>0.26000000000000006</v>
      </c>
      <c r="J244">
        <v>1.75</v>
      </c>
      <c r="K244">
        <v>3.7</v>
      </c>
      <c r="L244">
        <v>5</v>
      </c>
      <c r="M244">
        <v>1.76</v>
      </c>
      <c r="N244">
        <v>3.45</v>
      </c>
      <c r="O244">
        <v>5</v>
      </c>
      <c r="P244">
        <v>1.75</v>
      </c>
      <c r="Q244">
        <v>3.7</v>
      </c>
      <c r="R244">
        <v>4.95</v>
      </c>
      <c r="S244">
        <v>0.58015897594714561</v>
      </c>
      <c r="T244">
        <v>0.21678538247135334</v>
      </c>
      <c r="U244">
        <v>0.20305564158150097</v>
      </c>
      <c r="V244">
        <v>0.5370151298175706</v>
      </c>
      <c r="W244">
        <v>0.27395554448664466</v>
      </c>
      <c r="X244">
        <v>0.18902932569578484</v>
      </c>
      <c r="Y244">
        <v>0.54749271354906215</v>
      </c>
      <c r="Z244">
        <v>0.25894925640834021</v>
      </c>
      <c r="AA244">
        <v>0.19355803004259775</v>
      </c>
      <c r="AB244">
        <v>0.55488893977125953</v>
      </c>
      <c r="AC244">
        <v>0.24989672778877939</v>
      </c>
      <c r="AD244">
        <v>0.1952143324399612</v>
      </c>
      <c r="AE244" t="s">
        <v>255</v>
      </c>
      <c r="AF244" t="s">
        <v>253</v>
      </c>
      <c r="AG244">
        <v>808.5</v>
      </c>
      <c r="AH244">
        <v>31</v>
      </c>
      <c r="AI244">
        <v>22</v>
      </c>
      <c r="AJ244">
        <v>19</v>
      </c>
      <c r="AK244">
        <v>25.8</v>
      </c>
      <c r="AL244">
        <v>19</v>
      </c>
      <c r="AM244">
        <v>8832</v>
      </c>
      <c r="AN244">
        <v>80</v>
      </c>
      <c r="AO244">
        <v>84</v>
      </c>
      <c r="AP244">
        <v>81</v>
      </c>
      <c r="AQ244">
        <v>4.5</v>
      </c>
      <c r="AR244" t="s">
        <v>28</v>
      </c>
      <c r="AS244" t="s">
        <v>256</v>
      </c>
      <c r="AT244" t="s">
        <v>253</v>
      </c>
      <c r="AU244">
        <v>599.35</v>
      </c>
      <c r="AV244">
        <v>30</v>
      </c>
      <c r="AW244">
        <v>22</v>
      </c>
      <c r="AX244">
        <v>13</v>
      </c>
      <c r="AY244">
        <v>26</v>
      </c>
      <c r="AZ244">
        <v>25</v>
      </c>
      <c r="BA244">
        <v>7938</v>
      </c>
      <c r="BB244">
        <v>84</v>
      </c>
      <c r="BC244">
        <v>82</v>
      </c>
      <c r="BD244">
        <v>78</v>
      </c>
      <c r="BE244">
        <v>4.5</v>
      </c>
      <c r="BF244" t="s">
        <v>29</v>
      </c>
      <c r="BG244">
        <v>2</v>
      </c>
      <c r="BH244">
        <v>31</v>
      </c>
      <c r="BI244">
        <v>0.35799999999999998</v>
      </c>
      <c r="BJ244" t="s">
        <v>267</v>
      </c>
      <c r="BK244">
        <v>0.58179999999999998</v>
      </c>
      <c r="BL244">
        <v>0.48209999999999997</v>
      </c>
      <c r="BM244">
        <v>1.73</v>
      </c>
      <c r="BN244">
        <v>1.59</v>
      </c>
    </row>
    <row r="245" spans="1:66" x14ac:dyDescent="0.25">
      <c r="A245">
        <v>3</v>
      </c>
      <c r="B245">
        <v>-1</v>
      </c>
      <c r="C245">
        <v>3</v>
      </c>
      <c r="D245">
        <v>7.3999999999999995</v>
      </c>
      <c r="E245">
        <v>4.75</v>
      </c>
      <c r="F245">
        <v>1.43</v>
      </c>
      <c r="G245" s="40">
        <v>0.26</v>
      </c>
      <c r="H245" s="40">
        <v>0.38</v>
      </c>
      <c r="I245" s="40">
        <f t="shared" si="1"/>
        <v>0.36</v>
      </c>
      <c r="J245">
        <v>7.5</v>
      </c>
      <c r="K245">
        <v>4.7</v>
      </c>
      <c r="L245">
        <v>1.43</v>
      </c>
      <c r="M245">
        <v>7.5</v>
      </c>
      <c r="N245">
        <v>4.75</v>
      </c>
      <c r="O245">
        <v>1.42</v>
      </c>
      <c r="P245">
        <v>7.2</v>
      </c>
      <c r="Q245">
        <v>4.8</v>
      </c>
      <c r="R245">
        <v>1.44</v>
      </c>
      <c r="S245">
        <v>0.13592561912409451</v>
      </c>
      <c r="T245">
        <v>0.15117777707820695</v>
      </c>
      <c r="U245">
        <v>0.71289660379769859</v>
      </c>
      <c r="V245">
        <v>0.12721614485099964</v>
      </c>
      <c r="W245">
        <v>0.20086759713315727</v>
      </c>
      <c r="X245">
        <v>0.67191625801584309</v>
      </c>
      <c r="Y245">
        <v>0.13333333333333333</v>
      </c>
      <c r="Z245">
        <v>0.19999999999999998</v>
      </c>
      <c r="AA245">
        <v>0.66666666666666674</v>
      </c>
      <c r="AB245">
        <v>0.13215836576947582</v>
      </c>
      <c r="AC245">
        <v>0.18401512473712142</v>
      </c>
      <c r="AD245">
        <v>0.68382650949340285</v>
      </c>
      <c r="AE245" t="s">
        <v>53</v>
      </c>
      <c r="AF245" t="s">
        <v>26</v>
      </c>
      <c r="AG245">
        <v>195.83</v>
      </c>
      <c r="AH245">
        <v>29</v>
      </c>
      <c r="AI245">
        <v>18</v>
      </c>
      <c r="AJ245">
        <v>11</v>
      </c>
      <c r="AK245">
        <v>25.3</v>
      </c>
      <c r="AL245">
        <v>152</v>
      </c>
      <c r="AM245">
        <v>3938</v>
      </c>
      <c r="AN245">
        <v>76</v>
      </c>
      <c r="AO245">
        <v>77</v>
      </c>
      <c r="AP245">
        <v>76</v>
      </c>
      <c r="AQ245">
        <v>4</v>
      </c>
      <c r="AR245" t="s">
        <v>29</v>
      </c>
      <c r="AS245" t="s">
        <v>59</v>
      </c>
      <c r="AT245" t="s">
        <v>26</v>
      </c>
      <c r="AU245">
        <v>221.15</v>
      </c>
      <c r="AV245">
        <v>35</v>
      </c>
      <c r="AW245">
        <v>17</v>
      </c>
      <c r="AX245">
        <v>8</v>
      </c>
      <c r="AY245">
        <v>23.8</v>
      </c>
      <c r="AZ245">
        <v>258</v>
      </c>
      <c r="BA245">
        <v>2751</v>
      </c>
      <c r="BB245">
        <v>77</v>
      </c>
      <c r="BC245">
        <v>75</v>
      </c>
      <c r="BD245">
        <v>75</v>
      </c>
      <c r="BE245">
        <v>4</v>
      </c>
      <c r="BF245" t="s">
        <v>29</v>
      </c>
      <c r="BG245">
        <v>20</v>
      </c>
      <c r="BH245">
        <v>46</v>
      </c>
      <c r="BI245">
        <v>0.46700000000000003</v>
      </c>
      <c r="BJ245" t="s">
        <v>273</v>
      </c>
      <c r="BK245">
        <v>0.31580000000000003</v>
      </c>
      <c r="BL245">
        <v>0.32429999999999998</v>
      </c>
      <c r="BM245">
        <v>1.29</v>
      </c>
      <c r="BN245">
        <v>1.57</v>
      </c>
    </row>
    <row r="246" spans="1:66" x14ac:dyDescent="0.25">
      <c r="A246">
        <v>1</v>
      </c>
      <c r="B246">
        <v>2</v>
      </c>
      <c r="C246">
        <v>4</v>
      </c>
      <c r="D246">
        <v>1.6466666666666665</v>
      </c>
      <c r="E246">
        <v>4.1000000000000005</v>
      </c>
      <c r="F246">
        <v>5.1833333333333336</v>
      </c>
      <c r="G246" s="40">
        <v>0.48</v>
      </c>
      <c r="H246" s="40">
        <v>0.28000000000000003</v>
      </c>
      <c r="I246" s="40">
        <f t="shared" si="1"/>
        <v>0.24</v>
      </c>
      <c r="J246">
        <v>1.65</v>
      </c>
      <c r="K246">
        <v>4</v>
      </c>
      <c r="L246">
        <v>4.8</v>
      </c>
      <c r="M246">
        <v>1.65</v>
      </c>
      <c r="N246">
        <v>3.9</v>
      </c>
      <c r="O246">
        <v>5.25</v>
      </c>
      <c r="P246">
        <v>1.64</v>
      </c>
      <c r="Q246">
        <v>4.4000000000000004</v>
      </c>
      <c r="R246">
        <v>5.5</v>
      </c>
      <c r="S246">
        <v>0.59706708268330733</v>
      </c>
      <c r="T246">
        <v>0.19769110764430578</v>
      </c>
      <c r="U246">
        <v>0.20524180967238689</v>
      </c>
      <c r="V246">
        <v>0.57558507273877291</v>
      </c>
      <c r="W246">
        <v>0.24351676154332705</v>
      </c>
      <c r="X246">
        <v>0.18089816571790007</v>
      </c>
      <c r="Y246">
        <v>0.59847660500544075</v>
      </c>
      <c r="Z246">
        <v>0.22306855277475515</v>
      </c>
      <c r="AA246">
        <v>0.17845484221980415</v>
      </c>
      <c r="AB246">
        <v>0.59037625347584033</v>
      </c>
      <c r="AC246">
        <v>0.22142547398746268</v>
      </c>
      <c r="AD246">
        <v>0.18819827253669705</v>
      </c>
      <c r="AE246" t="s">
        <v>92</v>
      </c>
      <c r="AF246" t="s">
        <v>85</v>
      </c>
      <c r="AG246">
        <v>65.13</v>
      </c>
      <c r="AH246">
        <v>32</v>
      </c>
      <c r="AI246">
        <v>5</v>
      </c>
      <c r="AJ246">
        <v>1</v>
      </c>
      <c r="AK246">
        <v>25.7</v>
      </c>
      <c r="AL246">
        <v>98</v>
      </c>
      <c r="AM246">
        <v>4872</v>
      </c>
      <c r="AN246">
        <v>73</v>
      </c>
      <c r="AO246">
        <v>73</v>
      </c>
      <c r="AP246">
        <v>73</v>
      </c>
      <c r="AQ246">
        <v>3.5</v>
      </c>
      <c r="AR246" t="s">
        <v>28</v>
      </c>
      <c r="AS246" t="s">
        <v>135</v>
      </c>
      <c r="AT246" t="s">
        <v>134</v>
      </c>
      <c r="AU246">
        <v>17.579999999999998</v>
      </c>
      <c r="AV246">
        <v>27</v>
      </c>
      <c r="AW246">
        <v>8</v>
      </c>
      <c r="AX246">
        <v>4</v>
      </c>
      <c r="AY246">
        <v>27.3</v>
      </c>
      <c r="AZ246">
        <v>314</v>
      </c>
      <c r="BA246">
        <v>2387</v>
      </c>
      <c r="BB246">
        <v>67</v>
      </c>
      <c r="BC246">
        <v>69</v>
      </c>
      <c r="BD246">
        <v>66</v>
      </c>
      <c r="BE246">
        <v>2.5</v>
      </c>
      <c r="BF246" t="s">
        <v>28</v>
      </c>
      <c r="BG246">
        <v>1</v>
      </c>
      <c r="BH246">
        <v>-1</v>
      </c>
      <c r="BI246">
        <v>0.33300000000000002</v>
      </c>
      <c r="BJ246" t="s">
        <v>271</v>
      </c>
      <c r="BK246">
        <v>0.46810000000000002</v>
      </c>
      <c r="BL246">
        <v>0.56100000000000005</v>
      </c>
      <c r="BM246">
        <v>1.3</v>
      </c>
      <c r="BN246">
        <v>1.85</v>
      </c>
    </row>
    <row r="247" spans="1:66" x14ac:dyDescent="0.25">
      <c r="A247">
        <v>3</v>
      </c>
      <c r="B247">
        <v>-2</v>
      </c>
      <c r="C247">
        <v>4</v>
      </c>
      <c r="D247">
        <v>3.9666666666666668</v>
      </c>
      <c r="E247">
        <v>3.8666666666666671</v>
      </c>
      <c r="F247">
        <v>1.8733333333333333</v>
      </c>
      <c r="G247" s="40">
        <v>0.19</v>
      </c>
      <c r="H247" s="40">
        <v>0.36</v>
      </c>
      <c r="I247" s="40">
        <f t="shared" si="1"/>
        <v>0.45000000000000007</v>
      </c>
      <c r="J247">
        <v>3.85</v>
      </c>
      <c r="K247">
        <v>3.7</v>
      </c>
      <c r="L247">
        <v>1.86</v>
      </c>
      <c r="M247">
        <v>3.85</v>
      </c>
      <c r="N247">
        <v>3.75</v>
      </c>
      <c r="O247">
        <v>1.9</v>
      </c>
      <c r="P247">
        <v>4.2</v>
      </c>
      <c r="Q247">
        <v>4.1500000000000004</v>
      </c>
      <c r="R247">
        <v>1.86</v>
      </c>
      <c r="S247">
        <v>0.25267385123331815</v>
      </c>
      <c r="T247">
        <v>0.22431844594502875</v>
      </c>
      <c r="U247">
        <v>0.5230077028216531</v>
      </c>
      <c r="V247">
        <v>0.24673188468530863</v>
      </c>
      <c r="W247">
        <v>0.25331140161025018</v>
      </c>
      <c r="X247">
        <v>0.49995671370444117</v>
      </c>
      <c r="Y247">
        <v>0.23418585601165018</v>
      </c>
      <c r="Z247">
        <v>0.23700737234913993</v>
      </c>
      <c r="AA247">
        <v>0.52880677163920997</v>
      </c>
      <c r="AB247">
        <v>0.24453053064342564</v>
      </c>
      <c r="AC247">
        <v>0.23821240663480628</v>
      </c>
      <c r="AD247">
        <v>0.51725706272176808</v>
      </c>
      <c r="AE247" t="s">
        <v>68</v>
      </c>
      <c r="AF247" t="s">
        <v>63</v>
      </c>
      <c r="AG247">
        <v>17.579999999999998</v>
      </c>
      <c r="AH247">
        <v>31</v>
      </c>
      <c r="AI247">
        <v>3</v>
      </c>
      <c r="AJ247">
        <v>2</v>
      </c>
      <c r="AK247">
        <v>25.9</v>
      </c>
      <c r="AL247">
        <v>129</v>
      </c>
      <c r="AM247">
        <v>4227</v>
      </c>
      <c r="AN247">
        <v>73</v>
      </c>
      <c r="AO247">
        <v>69</v>
      </c>
      <c r="AP247">
        <v>69</v>
      </c>
      <c r="AQ247">
        <v>3.5</v>
      </c>
      <c r="AR247" t="s">
        <v>46</v>
      </c>
      <c r="AS247" t="s">
        <v>113</v>
      </c>
      <c r="AT247" t="s">
        <v>108</v>
      </c>
      <c r="AU247">
        <v>53.08</v>
      </c>
      <c r="AV247">
        <v>34</v>
      </c>
      <c r="AW247">
        <v>7</v>
      </c>
      <c r="AX247">
        <v>4</v>
      </c>
      <c r="AY247">
        <v>26.8</v>
      </c>
      <c r="AZ247">
        <v>33</v>
      </c>
      <c r="BA247">
        <v>7418</v>
      </c>
      <c r="BB247">
        <v>76</v>
      </c>
      <c r="BC247">
        <v>75</v>
      </c>
      <c r="BD247">
        <v>74</v>
      </c>
      <c r="BE247">
        <v>3.5</v>
      </c>
      <c r="BF247" t="s">
        <v>29</v>
      </c>
      <c r="BG247">
        <v>-1</v>
      </c>
      <c r="BH247">
        <v>-3</v>
      </c>
      <c r="BI247">
        <v>0</v>
      </c>
      <c r="BJ247" t="s">
        <v>271</v>
      </c>
      <c r="BK247">
        <v>0.38890000000000002</v>
      </c>
      <c r="BL247">
        <v>0.54390000000000005</v>
      </c>
      <c r="BM247">
        <v>1.39</v>
      </c>
      <c r="BN247">
        <v>1.68</v>
      </c>
    </row>
    <row r="248" spans="1:66" x14ac:dyDescent="0.25">
      <c r="A248">
        <v>1</v>
      </c>
      <c r="B248">
        <v>2</v>
      </c>
      <c r="C248">
        <v>4</v>
      </c>
      <c r="D248">
        <v>1.5</v>
      </c>
      <c r="E248">
        <v>4.1166666666666671</v>
      </c>
      <c r="F248">
        <v>5.9833333333333334</v>
      </c>
      <c r="G248" s="40">
        <v>0.48</v>
      </c>
      <c r="H248" s="40">
        <v>0.19</v>
      </c>
      <c r="I248" s="40">
        <f t="shared" si="1"/>
        <v>0.33</v>
      </c>
      <c r="J248">
        <v>1.5</v>
      </c>
      <c r="K248">
        <v>4</v>
      </c>
      <c r="L248">
        <v>5.6</v>
      </c>
      <c r="M248">
        <v>1.5</v>
      </c>
      <c r="N248">
        <v>4.2</v>
      </c>
      <c r="O248">
        <v>6.25</v>
      </c>
      <c r="P248">
        <v>1.5</v>
      </c>
      <c r="Q248">
        <v>4.1500000000000004</v>
      </c>
      <c r="R248">
        <v>6.1</v>
      </c>
      <c r="S248">
        <v>0.64254192409532207</v>
      </c>
      <c r="T248">
        <v>0.18534863195057372</v>
      </c>
      <c r="U248">
        <v>0.17210944395410413</v>
      </c>
      <c r="V248">
        <v>0.6261180679785332</v>
      </c>
      <c r="W248">
        <v>0.22361359570661898</v>
      </c>
      <c r="X248">
        <v>0.15026833631484798</v>
      </c>
      <c r="Y248">
        <v>0.62214303268616367</v>
      </c>
      <c r="Z248">
        <v>0.22487097566969769</v>
      </c>
      <c r="AA248">
        <v>0.15298599164413862</v>
      </c>
      <c r="AB248">
        <v>0.63026767492000635</v>
      </c>
      <c r="AC248">
        <v>0.21127773444229681</v>
      </c>
      <c r="AD248">
        <v>0.15845459063769693</v>
      </c>
      <c r="AE248" t="s">
        <v>110</v>
      </c>
      <c r="AF248" t="s">
        <v>108</v>
      </c>
      <c r="AG248">
        <v>68.63</v>
      </c>
      <c r="AH248">
        <v>35</v>
      </c>
      <c r="AI248">
        <v>2</v>
      </c>
      <c r="AJ248">
        <v>3</v>
      </c>
      <c r="AK248">
        <v>27.4</v>
      </c>
      <c r="AL248">
        <v>9</v>
      </c>
      <c r="AM248">
        <v>10366</v>
      </c>
      <c r="AN248">
        <v>72</v>
      </c>
      <c r="AO248">
        <v>75</v>
      </c>
      <c r="AP248">
        <v>74</v>
      </c>
      <c r="AQ248">
        <v>4</v>
      </c>
      <c r="AR248" t="s">
        <v>29</v>
      </c>
      <c r="AS248" t="s">
        <v>88</v>
      </c>
      <c r="AT248" t="s">
        <v>85</v>
      </c>
      <c r="AU248">
        <v>39.6</v>
      </c>
      <c r="AV248">
        <v>29</v>
      </c>
      <c r="AW248">
        <v>0</v>
      </c>
      <c r="AX248">
        <v>0</v>
      </c>
      <c r="AY248">
        <v>25.8</v>
      </c>
      <c r="AZ248">
        <v>69</v>
      </c>
      <c r="BA248">
        <v>5669</v>
      </c>
      <c r="BB248">
        <v>75</v>
      </c>
      <c r="BC248">
        <v>72</v>
      </c>
      <c r="BD248">
        <v>71</v>
      </c>
      <c r="BE248">
        <v>3.5</v>
      </c>
      <c r="BF248" t="s">
        <v>29</v>
      </c>
      <c r="BG248">
        <v>3</v>
      </c>
      <c r="BH248">
        <v>9</v>
      </c>
      <c r="BI248">
        <v>1</v>
      </c>
      <c r="BJ248" t="s">
        <v>286</v>
      </c>
      <c r="BK248">
        <v>0.47299999999999998</v>
      </c>
      <c r="BL248">
        <v>0.41670000000000001</v>
      </c>
      <c r="BM248">
        <v>1.36</v>
      </c>
      <c r="BN248">
        <v>1.54</v>
      </c>
    </row>
    <row r="249" spans="1:66" x14ac:dyDescent="0.25">
      <c r="A249">
        <v>1</v>
      </c>
      <c r="B249">
        <v>1</v>
      </c>
      <c r="C249">
        <v>1</v>
      </c>
      <c r="D249">
        <v>1.83</v>
      </c>
      <c r="E249">
        <v>3.75</v>
      </c>
      <c r="F249">
        <v>3.8000000000000003</v>
      </c>
      <c r="G249" s="40">
        <v>0.41</v>
      </c>
      <c r="H249" s="40">
        <v>0.31</v>
      </c>
      <c r="I249" s="40">
        <f t="shared" si="1"/>
        <v>0.28000000000000008</v>
      </c>
      <c r="J249">
        <v>1.89</v>
      </c>
      <c r="K249">
        <v>3.65</v>
      </c>
      <c r="L249">
        <v>3.45</v>
      </c>
      <c r="M249">
        <v>1.8</v>
      </c>
      <c r="N249">
        <v>3.8</v>
      </c>
      <c r="O249">
        <v>4</v>
      </c>
      <c r="P249">
        <v>1.8</v>
      </c>
      <c r="Q249">
        <v>3.8</v>
      </c>
      <c r="R249">
        <v>3.95</v>
      </c>
      <c r="S249">
        <v>0.49909816248425715</v>
      </c>
      <c r="T249">
        <v>0.22748284415480211</v>
      </c>
      <c r="U249">
        <v>0.27341899336094083</v>
      </c>
      <c r="V249">
        <v>0.51983584131326943</v>
      </c>
      <c r="W249">
        <v>0.24623803009575923</v>
      </c>
      <c r="X249">
        <v>0.23392612859097126</v>
      </c>
      <c r="Y249">
        <v>0.51830110497237569</v>
      </c>
      <c r="Z249">
        <v>0.24551104972375692</v>
      </c>
      <c r="AA249">
        <v>0.23618784530386738</v>
      </c>
      <c r="AB249">
        <v>0.51241170292330074</v>
      </c>
      <c r="AC249">
        <v>0.23974397465810607</v>
      </c>
      <c r="AD249">
        <v>0.24784432241859319</v>
      </c>
      <c r="AE249" t="s">
        <v>239</v>
      </c>
      <c r="AF249" t="s">
        <v>238</v>
      </c>
      <c r="AG249">
        <v>21.75</v>
      </c>
      <c r="AH249">
        <v>30</v>
      </c>
      <c r="AI249">
        <v>7</v>
      </c>
      <c r="AJ249">
        <v>4</v>
      </c>
      <c r="AK249">
        <v>27.8</v>
      </c>
      <c r="AL249">
        <v>129</v>
      </c>
      <c r="AM249">
        <v>4117</v>
      </c>
      <c r="AN249">
        <v>70</v>
      </c>
      <c r="AO249">
        <v>70</v>
      </c>
      <c r="AP249">
        <v>71</v>
      </c>
      <c r="AQ249">
        <v>3</v>
      </c>
      <c r="AR249" t="s">
        <v>29</v>
      </c>
      <c r="AS249" t="s">
        <v>96</v>
      </c>
      <c r="AT249" t="s">
        <v>85</v>
      </c>
      <c r="AU249">
        <v>21.78</v>
      </c>
      <c r="AV249">
        <v>29</v>
      </c>
      <c r="AW249">
        <v>2</v>
      </c>
      <c r="AX249">
        <v>1</v>
      </c>
      <c r="AY249">
        <v>27.3</v>
      </c>
      <c r="AZ249">
        <v>146</v>
      </c>
      <c r="BA249">
        <v>4001</v>
      </c>
      <c r="BB249">
        <v>69</v>
      </c>
      <c r="BC249">
        <v>71</v>
      </c>
      <c r="BD249">
        <v>71</v>
      </c>
      <c r="BE249">
        <v>3.5</v>
      </c>
      <c r="BF249" t="s">
        <v>29</v>
      </c>
      <c r="BG249">
        <v>0</v>
      </c>
      <c r="BH249">
        <v>-2</v>
      </c>
      <c r="BI249">
        <v>0.25</v>
      </c>
      <c r="BJ249" t="s">
        <v>286</v>
      </c>
      <c r="BK249">
        <v>0.5</v>
      </c>
      <c r="BL249">
        <v>0.44440000000000002</v>
      </c>
      <c r="BM249">
        <v>1.77</v>
      </c>
      <c r="BN249">
        <v>1.5</v>
      </c>
    </row>
    <row r="250" spans="1:66" x14ac:dyDescent="0.25">
      <c r="A250">
        <v>1</v>
      </c>
      <c r="B250">
        <v>3</v>
      </c>
      <c r="C250">
        <v>4</v>
      </c>
      <c r="D250">
        <v>2.0733333333333337</v>
      </c>
      <c r="E250">
        <v>3.3333333333333335</v>
      </c>
      <c r="F250">
        <v>3.3833333333333333</v>
      </c>
      <c r="G250" s="40">
        <v>0.71</v>
      </c>
      <c r="H250" s="40">
        <v>0.08</v>
      </c>
      <c r="I250" s="40">
        <v>0.21</v>
      </c>
      <c r="J250">
        <v>2.04</v>
      </c>
      <c r="K250">
        <v>3.3</v>
      </c>
      <c r="L250">
        <v>3.35</v>
      </c>
      <c r="M250">
        <v>2.1</v>
      </c>
      <c r="N250">
        <v>3.35</v>
      </c>
      <c r="O250">
        <v>3.4</v>
      </c>
      <c r="P250">
        <v>2.08</v>
      </c>
      <c r="Q250">
        <v>3.35</v>
      </c>
      <c r="R250">
        <v>3.4</v>
      </c>
      <c r="S250">
        <v>0.46279075851021023</v>
      </c>
      <c r="T250">
        <v>0.25539039153133331</v>
      </c>
      <c r="U250">
        <v>0.28181884995845635</v>
      </c>
      <c r="V250">
        <v>0.4455309994132603</v>
      </c>
      <c r="W250">
        <v>0.27928808918443188</v>
      </c>
      <c r="X250">
        <v>0.27518091140230788</v>
      </c>
      <c r="Y250">
        <v>0.44789618560755007</v>
      </c>
      <c r="Z250">
        <v>0.27809673613841918</v>
      </c>
      <c r="AA250">
        <v>0.27400707825403064</v>
      </c>
      <c r="AB250">
        <v>0.45207264784367357</v>
      </c>
      <c r="AC250">
        <v>0.27092507228472812</v>
      </c>
      <c r="AD250">
        <v>0.27700227987159831</v>
      </c>
      <c r="AE250" t="s">
        <v>245</v>
      </c>
      <c r="AF250" t="s">
        <v>246</v>
      </c>
      <c r="AG250">
        <v>14.18</v>
      </c>
      <c r="AH250">
        <v>33</v>
      </c>
      <c r="AI250">
        <v>4</v>
      </c>
      <c r="AJ250">
        <v>2</v>
      </c>
      <c r="AK250">
        <v>26.6</v>
      </c>
      <c r="AL250">
        <v>203</v>
      </c>
      <c r="AM250">
        <v>3267</v>
      </c>
      <c r="AN250">
        <v>72</v>
      </c>
      <c r="AO250">
        <v>69</v>
      </c>
      <c r="AP250">
        <v>69</v>
      </c>
      <c r="AQ250">
        <v>3.5</v>
      </c>
      <c r="AR250" t="s">
        <v>29</v>
      </c>
      <c r="AS250" t="s">
        <v>115</v>
      </c>
      <c r="AT250" t="s">
        <v>108</v>
      </c>
      <c r="AU250">
        <v>62.68</v>
      </c>
      <c r="AV250">
        <v>34</v>
      </c>
      <c r="AW250">
        <v>5</v>
      </c>
      <c r="AX250">
        <v>3</v>
      </c>
      <c r="AY250">
        <v>25.6</v>
      </c>
      <c r="AZ250">
        <v>64</v>
      </c>
      <c r="BA250">
        <v>6079</v>
      </c>
      <c r="BB250">
        <v>72</v>
      </c>
      <c r="BC250">
        <v>74</v>
      </c>
      <c r="BD250">
        <v>72</v>
      </c>
      <c r="BE250">
        <v>3.5</v>
      </c>
      <c r="BF250" t="s">
        <v>29</v>
      </c>
      <c r="BG250">
        <v>2</v>
      </c>
      <c r="BH250">
        <v>3</v>
      </c>
      <c r="BI250">
        <v>1</v>
      </c>
      <c r="BJ250" t="s">
        <v>286</v>
      </c>
      <c r="BK250">
        <v>0.4667</v>
      </c>
      <c r="BL250">
        <v>0.3448</v>
      </c>
      <c r="BM250">
        <v>1.42</v>
      </c>
      <c r="BN250">
        <v>1.1599999999999999</v>
      </c>
    </row>
    <row r="251" spans="1:66" x14ac:dyDescent="0.25">
      <c r="A251">
        <v>3</v>
      </c>
      <c r="B251">
        <v>-2</v>
      </c>
      <c r="C251">
        <v>2</v>
      </c>
      <c r="D251">
        <v>3.9333333333333336</v>
      </c>
      <c r="E251">
        <v>3.4499999999999997</v>
      </c>
      <c r="F251">
        <v>1.9800000000000002</v>
      </c>
      <c r="G251" s="40">
        <v>0.24</v>
      </c>
      <c r="H251" s="40">
        <v>0.35</v>
      </c>
      <c r="I251" s="40">
        <f t="shared" si="1"/>
        <v>0.41000000000000003</v>
      </c>
      <c r="J251">
        <v>4</v>
      </c>
      <c r="K251">
        <v>3.5</v>
      </c>
      <c r="L251">
        <v>1.98</v>
      </c>
      <c r="M251">
        <v>4</v>
      </c>
      <c r="N251">
        <v>3.25</v>
      </c>
      <c r="O251">
        <v>1.99</v>
      </c>
      <c r="P251">
        <v>3.8</v>
      </c>
      <c r="Q251">
        <v>3.6</v>
      </c>
      <c r="R251">
        <v>1.97</v>
      </c>
      <c r="S251">
        <v>0.25114645331251828</v>
      </c>
      <c r="T251">
        <v>0.24148697433895985</v>
      </c>
      <c r="U251">
        <v>0.50736657234852178</v>
      </c>
      <c r="V251">
        <v>0.23580348190684533</v>
      </c>
      <c r="W251">
        <v>0.29021967003919424</v>
      </c>
      <c r="X251">
        <v>0.47397684805396045</v>
      </c>
      <c r="Y251">
        <v>0.25097317573784417</v>
      </c>
      <c r="Z251">
        <v>0.26491612994550212</v>
      </c>
      <c r="AA251">
        <v>0.48411069431665366</v>
      </c>
      <c r="AB251">
        <v>0.24597437031906924</v>
      </c>
      <c r="AC251">
        <v>0.2655409247745521</v>
      </c>
      <c r="AD251">
        <v>0.48848470490637858</v>
      </c>
      <c r="AE251" t="s">
        <v>154</v>
      </c>
      <c r="AF251" t="s">
        <v>141</v>
      </c>
      <c r="AG251">
        <v>61.55</v>
      </c>
      <c r="AH251">
        <v>28</v>
      </c>
      <c r="AI251">
        <v>5</v>
      </c>
      <c r="AJ251">
        <v>3</v>
      </c>
      <c r="AK251">
        <v>27.8</v>
      </c>
      <c r="AL251">
        <v>139</v>
      </c>
      <c r="AM251">
        <v>4059</v>
      </c>
      <c r="AN251">
        <v>76</v>
      </c>
      <c r="AO251">
        <v>76</v>
      </c>
      <c r="AP251">
        <v>73</v>
      </c>
      <c r="AQ251">
        <v>4</v>
      </c>
      <c r="AR251" t="s">
        <v>43</v>
      </c>
      <c r="AS251" t="s">
        <v>149</v>
      </c>
      <c r="AT251" t="s">
        <v>141</v>
      </c>
      <c r="AU251">
        <v>271.52999999999997</v>
      </c>
      <c r="AV251">
        <v>27</v>
      </c>
      <c r="AW251">
        <v>6</v>
      </c>
      <c r="AX251">
        <v>7</v>
      </c>
      <c r="AY251">
        <v>27.4</v>
      </c>
      <c r="AZ251">
        <v>77</v>
      </c>
      <c r="BA251">
        <v>5396</v>
      </c>
      <c r="BB251">
        <v>80</v>
      </c>
      <c r="BC251">
        <v>79</v>
      </c>
      <c r="BD251">
        <v>78</v>
      </c>
      <c r="BE251">
        <v>4.5</v>
      </c>
      <c r="BF251" t="s">
        <v>29</v>
      </c>
      <c r="BG251">
        <v>-1</v>
      </c>
      <c r="BH251">
        <v>3</v>
      </c>
      <c r="BI251">
        <v>0.379</v>
      </c>
      <c r="BJ251" t="s">
        <v>270</v>
      </c>
      <c r="BK251">
        <v>0.24390000000000001</v>
      </c>
      <c r="BL251">
        <v>0.51160000000000005</v>
      </c>
      <c r="BM251">
        <v>0.9</v>
      </c>
      <c r="BN251">
        <v>1.79</v>
      </c>
    </row>
    <row r="252" spans="1:66" x14ac:dyDescent="0.25">
      <c r="A252">
        <v>2</v>
      </c>
      <c r="B252">
        <v>0</v>
      </c>
      <c r="C252">
        <v>2</v>
      </c>
      <c r="D252">
        <v>2.7999999999999994</v>
      </c>
      <c r="E252">
        <v>3.3666666666666671</v>
      </c>
      <c r="F252">
        <v>2.52</v>
      </c>
      <c r="G252" s="40">
        <v>0.24</v>
      </c>
      <c r="H252" s="40">
        <v>0.33</v>
      </c>
      <c r="I252" s="40">
        <f t="shared" si="1"/>
        <v>0.43</v>
      </c>
      <c r="J252">
        <v>2.8</v>
      </c>
      <c r="K252">
        <v>3.45</v>
      </c>
      <c r="L252">
        <v>2.5</v>
      </c>
      <c r="M252">
        <v>2.8</v>
      </c>
      <c r="N252">
        <v>3.3</v>
      </c>
      <c r="O252">
        <v>2.5</v>
      </c>
      <c r="P252">
        <v>2.8</v>
      </c>
      <c r="Q252">
        <v>3.35</v>
      </c>
      <c r="R252">
        <v>2.56</v>
      </c>
      <c r="S252">
        <v>0.35160038797284193</v>
      </c>
      <c r="T252">
        <v>0.25460717749757517</v>
      </c>
      <c r="U252">
        <v>0.39379243452958296</v>
      </c>
      <c r="V252">
        <v>0.33687219273172725</v>
      </c>
      <c r="W252">
        <v>0.28583095140873821</v>
      </c>
      <c r="X252">
        <v>0.37729685585953449</v>
      </c>
      <c r="Y252">
        <v>0.34134691928036937</v>
      </c>
      <c r="Z252">
        <v>0.28530488775672658</v>
      </c>
      <c r="AA252">
        <v>0.373348192962904</v>
      </c>
      <c r="AB252">
        <v>0.3432731666616462</v>
      </c>
      <c r="AC252">
        <v>0.27524767222101332</v>
      </c>
      <c r="AD252">
        <v>0.38147916111734048</v>
      </c>
      <c r="AE252" t="s">
        <v>155</v>
      </c>
      <c r="AF252" t="s">
        <v>141</v>
      </c>
      <c r="AG252">
        <v>46.75</v>
      </c>
      <c r="AH252">
        <v>22</v>
      </c>
      <c r="AI252">
        <v>6</v>
      </c>
      <c r="AJ252">
        <v>1</v>
      </c>
      <c r="AK252">
        <v>29</v>
      </c>
      <c r="AL252">
        <v>159</v>
      </c>
      <c r="AM252">
        <v>3861</v>
      </c>
      <c r="AN252">
        <v>77</v>
      </c>
      <c r="AO252">
        <v>78</v>
      </c>
      <c r="AP252">
        <v>75</v>
      </c>
      <c r="AQ252">
        <v>4</v>
      </c>
      <c r="AR252" t="s">
        <v>46</v>
      </c>
      <c r="AS252" t="s">
        <v>152</v>
      </c>
      <c r="AT252" t="s">
        <v>141</v>
      </c>
      <c r="AU252">
        <v>214.25</v>
      </c>
      <c r="AV252">
        <v>24</v>
      </c>
      <c r="AW252">
        <v>10</v>
      </c>
      <c r="AX252">
        <v>7</v>
      </c>
      <c r="AY252">
        <v>27.3</v>
      </c>
      <c r="AZ252">
        <v>125</v>
      </c>
      <c r="BA252">
        <v>4257</v>
      </c>
      <c r="BB252">
        <v>81</v>
      </c>
      <c r="BC252">
        <v>81</v>
      </c>
      <c r="BD252">
        <v>78</v>
      </c>
      <c r="BE252">
        <v>4.5</v>
      </c>
      <c r="BF252" t="s">
        <v>29</v>
      </c>
      <c r="BG252">
        <v>5</v>
      </c>
      <c r="BH252">
        <v>11</v>
      </c>
      <c r="BI252">
        <v>0.33300000000000002</v>
      </c>
      <c r="BJ252" t="s">
        <v>270</v>
      </c>
      <c r="BK252">
        <v>0.31709999999999999</v>
      </c>
      <c r="BL252">
        <v>0.29970000000000002</v>
      </c>
      <c r="BM252">
        <v>1.1499999999999999</v>
      </c>
      <c r="BN252">
        <v>1.39</v>
      </c>
    </row>
    <row r="253" spans="1:66" x14ac:dyDescent="0.25">
      <c r="A253">
        <v>3</v>
      </c>
      <c r="B253">
        <v>-3</v>
      </c>
      <c r="C253">
        <v>5</v>
      </c>
      <c r="D253">
        <v>7.3999999999999995</v>
      </c>
      <c r="E253">
        <v>5.0166666666666666</v>
      </c>
      <c r="F253">
        <v>1.3966666666666665</v>
      </c>
      <c r="G253" s="40">
        <v>0.18</v>
      </c>
      <c r="H253" s="40">
        <v>0.27</v>
      </c>
      <c r="I253" s="40">
        <f t="shared" si="1"/>
        <v>0.55000000000000004</v>
      </c>
      <c r="J253">
        <v>8</v>
      </c>
      <c r="K253">
        <v>5.0999999999999996</v>
      </c>
      <c r="L253">
        <v>1.38</v>
      </c>
      <c r="M253">
        <v>6.5</v>
      </c>
      <c r="N253">
        <v>4.9000000000000004</v>
      </c>
      <c r="O253">
        <v>1.43</v>
      </c>
      <c r="P253">
        <v>7.7</v>
      </c>
      <c r="Q253">
        <v>5.05</v>
      </c>
      <c r="R253">
        <v>1.38</v>
      </c>
      <c r="S253">
        <v>0.12699540367375667</v>
      </c>
      <c r="T253">
        <v>0.13679935763779894</v>
      </c>
      <c r="U253">
        <v>0.73620523868844445</v>
      </c>
      <c r="V253">
        <v>0.1455183585313175</v>
      </c>
      <c r="W253">
        <v>0.19303455723542115</v>
      </c>
      <c r="X253">
        <v>0.66144708423326137</v>
      </c>
      <c r="Y253">
        <v>0.12338881019830027</v>
      </c>
      <c r="Z253">
        <v>0.18813739376770536</v>
      </c>
      <c r="AA253">
        <v>0.68847379603399439</v>
      </c>
      <c r="AB253">
        <v>0.13196752413445814</v>
      </c>
      <c r="AC253">
        <v>0.17265710288030847</v>
      </c>
      <c r="AD253">
        <v>0.69537537298523333</v>
      </c>
      <c r="AE253" t="s">
        <v>150</v>
      </c>
      <c r="AF253" t="s">
        <v>141</v>
      </c>
      <c r="AG253">
        <v>60.93</v>
      </c>
      <c r="AH253">
        <v>23</v>
      </c>
      <c r="AI253">
        <v>8</v>
      </c>
      <c r="AJ253">
        <v>4</v>
      </c>
      <c r="AK253">
        <v>28.2</v>
      </c>
      <c r="AL253">
        <v>103</v>
      </c>
      <c r="AM253">
        <v>4803</v>
      </c>
      <c r="AN253">
        <v>76</v>
      </c>
      <c r="AO253">
        <v>75</v>
      </c>
      <c r="AP253">
        <v>75</v>
      </c>
      <c r="AQ253">
        <v>4</v>
      </c>
      <c r="AR253" t="s">
        <v>46</v>
      </c>
      <c r="AS253" t="s">
        <v>144</v>
      </c>
      <c r="AT253" t="s">
        <v>141</v>
      </c>
      <c r="AU253">
        <v>1080</v>
      </c>
      <c r="AV253">
        <v>34</v>
      </c>
      <c r="AW253">
        <v>20</v>
      </c>
      <c r="AX253">
        <v>21</v>
      </c>
      <c r="AY253">
        <v>26.1</v>
      </c>
      <c r="AZ253">
        <v>18</v>
      </c>
      <c r="BA253">
        <v>8949</v>
      </c>
      <c r="BB253">
        <v>85</v>
      </c>
      <c r="BC253">
        <v>87</v>
      </c>
      <c r="BD253">
        <v>85</v>
      </c>
      <c r="BE253">
        <v>5</v>
      </c>
      <c r="BF253" t="s">
        <v>28</v>
      </c>
      <c r="BG253">
        <v>-78</v>
      </c>
      <c r="BH253">
        <v>-79</v>
      </c>
      <c r="BI253">
        <v>0.122</v>
      </c>
      <c r="BJ253" t="s">
        <v>270</v>
      </c>
      <c r="BK253">
        <v>0.4889</v>
      </c>
      <c r="BL253">
        <v>0.62749999999999995</v>
      </c>
      <c r="BM253">
        <v>1.47</v>
      </c>
      <c r="BN253">
        <v>1.94</v>
      </c>
    </row>
    <row r="254" spans="1:66" x14ac:dyDescent="0.25">
      <c r="A254">
        <v>3</v>
      </c>
      <c r="B254">
        <v>-2</v>
      </c>
      <c r="C254">
        <v>6</v>
      </c>
      <c r="D254">
        <v>2.8699999999999997</v>
      </c>
      <c r="E254">
        <v>3.5833333333333335</v>
      </c>
      <c r="F254">
        <v>2.3699999999999997</v>
      </c>
      <c r="G254" s="40">
        <v>0.34</v>
      </c>
      <c r="H254" s="40">
        <v>0.36</v>
      </c>
      <c r="I254" s="40">
        <f t="shared" si="1"/>
        <v>0.29999999999999993</v>
      </c>
      <c r="J254">
        <v>2.88</v>
      </c>
      <c r="K254">
        <v>3.65</v>
      </c>
      <c r="L254">
        <v>2.38</v>
      </c>
      <c r="M254">
        <v>2.85</v>
      </c>
      <c r="N254">
        <v>3.5</v>
      </c>
      <c r="O254">
        <v>2.35</v>
      </c>
      <c r="P254">
        <v>2.88</v>
      </c>
      <c r="Q254">
        <v>3.6</v>
      </c>
      <c r="R254">
        <v>2.38</v>
      </c>
      <c r="S254">
        <v>0.34374737078273554</v>
      </c>
      <c r="T254">
        <v>0.24028942423647531</v>
      </c>
      <c r="U254">
        <v>0.4159632049807892</v>
      </c>
      <c r="V254">
        <v>0.33035445325835927</v>
      </c>
      <c r="W254">
        <v>0.26900291193894971</v>
      </c>
      <c r="X254">
        <v>0.40064263480269102</v>
      </c>
      <c r="Y254">
        <v>0.33221663874930213</v>
      </c>
      <c r="Z254">
        <v>0.26577331099944163</v>
      </c>
      <c r="AA254">
        <v>0.40201005025125636</v>
      </c>
      <c r="AB254">
        <v>0.33543948759679898</v>
      </c>
      <c r="AC254">
        <v>0.25835521572495557</v>
      </c>
      <c r="AD254">
        <v>0.40620529667824551</v>
      </c>
      <c r="AE254" t="s">
        <v>258</v>
      </c>
      <c r="AF254" t="s">
        <v>253</v>
      </c>
      <c r="AG254">
        <v>761.38</v>
      </c>
      <c r="AH254">
        <v>33</v>
      </c>
      <c r="AI254">
        <v>18</v>
      </c>
      <c r="AJ254">
        <v>11</v>
      </c>
      <c r="AK254">
        <v>25.8</v>
      </c>
      <c r="AL254">
        <v>39</v>
      </c>
      <c r="AM254">
        <v>7151</v>
      </c>
      <c r="AN254">
        <v>83</v>
      </c>
      <c r="AO254">
        <v>81</v>
      </c>
      <c r="AP254">
        <v>81</v>
      </c>
      <c r="AQ254">
        <v>4.5</v>
      </c>
      <c r="AR254" t="s">
        <v>29</v>
      </c>
      <c r="AS254" t="s">
        <v>252</v>
      </c>
      <c r="AT254" t="s">
        <v>253</v>
      </c>
      <c r="AU254">
        <v>1020</v>
      </c>
      <c r="AV254">
        <v>31</v>
      </c>
      <c r="AW254">
        <v>23</v>
      </c>
      <c r="AX254">
        <v>20</v>
      </c>
      <c r="AY254">
        <v>25.8</v>
      </c>
      <c r="AZ254">
        <v>1</v>
      </c>
      <c r="BA254">
        <v>14695</v>
      </c>
      <c r="BB254">
        <v>87</v>
      </c>
      <c r="BC254">
        <v>83</v>
      </c>
      <c r="BD254">
        <v>85</v>
      </c>
      <c r="BE254">
        <v>5</v>
      </c>
      <c r="BF254" t="s">
        <v>29</v>
      </c>
      <c r="BG254">
        <v>6</v>
      </c>
      <c r="BH254">
        <v>80</v>
      </c>
      <c r="BI254">
        <v>0.41</v>
      </c>
      <c r="BJ254" t="s">
        <v>267</v>
      </c>
      <c r="BK254">
        <v>0.59650000000000003</v>
      </c>
      <c r="BL254">
        <v>0.70909999999999995</v>
      </c>
      <c r="BM254">
        <v>2.02</v>
      </c>
      <c r="BN254">
        <v>2.0699999999999998</v>
      </c>
    </row>
    <row r="255" spans="1:66" x14ac:dyDescent="0.25">
      <c r="A255">
        <v>3</v>
      </c>
      <c r="B255">
        <v>-3</v>
      </c>
      <c r="C255">
        <v>5</v>
      </c>
      <c r="D255">
        <v>2.65</v>
      </c>
      <c r="E255">
        <v>3.4</v>
      </c>
      <c r="F255">
        <v>2.5</v>
      </c>
      <c r="G255" s="40">
        <v>0.26</v>
      </c>
      <c r="H255" s="40">
        <v>0.34</v>
      </c>
      <c r="I255" s="40">
        <f t="shared" si="1"/>
        <v>0.39999999999999997</v>
      </c>
      <c r="J255">
        <v>2.65</v>
      </c>
      <c r="K255">
        <v>3.35</v>
      </c>
      <c r="L255">
        <v>2.5</v>
      </c>
      <c r="M255">
        <v>2.65</v>
      </c>
      <c r="N255">
        <v>3.45</v>
      </c>
      <c r="O255">
        <v>2.5</v>
      </c>
      <c r="P255">
        <v>2.65</v>
      </c>
      <c r="Q255">
        <v>3.4</v>
      </c>
      <c r="R255">
        <v>2.5</v>
      </c>
      <c r="S255">
        <v>0.35978250252336141</v>
      </c>
      <c r="T255">
        <v>0.2588480448018754</v>
      </c>
      <c r="U255">
        <v>0.38136945267476308</v>
      </c>
      <c r="V255">
        <v>0.35359229271292408</v>
      </c>
      <c r="W255">
        <v>0.27159987701137644</v>
      </c>
      <c r="X255">
        <v>0.37480783027569947</v>
      </c>
      <c r="Y255">
        <v>0.35218562253987984</v>
      </c>
      <c r="Z255">
        <v>0.27449761756784752</v>
      </c>
      <c r="AA255">
        <v>0.37331675989227259</v>
      </c>
      <c r="AB255">
        <v>0.35518680592538843</v>
      </c>
      <c r="AC255">
        <v>0.26831517979369979</v>
      </c>
      <c r="AD255">
        <v>0.37649801428091173</v>
      </c>
      <c r="AE255" t="s">
        <v>25</v>
      </c>
      <c r="AF255" t="s">
        <v>26</v>
      </c>
      <c r="AG255">
        <v>507.83</v>
      </c>
      <c r="AH255">
        <v>29</v>
      </c>
      <c r="AI255">
        <v>21</v>
      </c>
      <c r="AJ255">
        <v>13</v>
      </c>
      <c r="AK255">
        <v>24.2</v>
      </c>
      <c r="AL255">
        <v>16</v>
      </c>
      <c r="AM255">
        <v>9221</v>
      </c>
      <c r="AN255">
        <v>81</v>
      </c>
      <c r="AO255">
        <v>81</v>
      </c>
      <c r="AP255">
        <v>79</v>
      </c>
      <c r="AQ255">
        <v>4.5</v>
      </c>
      <c r="AR255" t="s">
        <v>29</v>
      </c>
      <c r="AS255" t="s">
        <v>50</v>
      </c>
      <c r="AT255" t="s">
        <v>26</v>
      </c>
      <c r="AU255">
        <v>559.54999999999995</v>
      </c>
      <c r="AV255">
        <v>29</v>
      </c>
      <c r="AW255">
        <v>17</v>
      </c>
      <c r="AX255">
        <v>13</v>
      </c>
      <c r="AY255">
        <v>25</v>
      </c>
      <c r="AZ255">
        <v>36</v>
      </c>
      <c r="BA255">
        <v>7276</v>
      </c>
      <c r="BB255">
        <v>83</v>
      </c>
      <c r="BC255">
        <v>83</v>
      </c>
      <c r="BD255">
        <v>82</v>
      </c>
      <c r="BE255">
        <v>4.5</v>
      </c>
      <c r="BF255" t="s">
        <v>29</v>
      </c>
      <c r="BG255">
        <v>-8</v>
      </c>
      <c r="BH255">
        <v>-10</v>
      </c>
      <c r="BI255">
        <v>0.2</v>
      </c>
      <c r="BJ255" t="s">
        <v>273</v>
      </c>
      <c r="BK255">
        <v>0.55320000000000003</v>
      </c>
      <c r="BL255">
        <v>0.60870000000000002</v>
      </c>
      <c r="BM255">
        <v>2.2799999999999998</v>
      </c>
      <c r="BN255">
        <v>2.2200000000000002</v>
      </c>
    </row>
    <row r="256" spans="1:66" x14ac:dyDescent="0.25">
      <c r="A256">
        <v>3</v>
      </c>
      <c r="B256">
        <v>-1</v>
      </c>
      <c r="C256">
        <v>7</v>
      </c>
      <c r="D256">
        <v>10.583333333333334</v>
      </c>
      <c r="E256">
        <v>5.7833333333333341</v>
      </c>
      <c r="F256">
        <v>1.2833333333333334</v>
      </c>
      <c r="G256" s="40">
        <v>0.23</v>
      </c>
      <c r="H256" s="40">
        <v>0.18</v>
      </c>
      <c r="I256" s="40">
        <f t="shared" si="1"/>
        <v>0.59000000000000008</v>
      </c>
      <c r="J256">
        <v>12</v>
      </c>
      <c r="K256">
        <v>6.25</v>
      </c>
      <c r="L256">
        <v>1.25</v>
      </c>
      <c r="M256">
        <v>9</v>
      </c>
      <c r="N256">
        <v>5</v>
      </c>
      <c r="O256">
        <v>1.33</v>
      </c>
      <c r="P256">
        <v>10.75</v>
      </c>
      <c r="Q256">
        <v>6.1</v>
      </c>
      <c r="R256">
        <v>1.27</v>
      </c>
      <c r="S256">
        <v>8.49564857024451E-2</v>
      </c>
      <c r="T256">
        <v>9.9461251554082059E-2</v>
      </c>
      <c r="U256">
        <v>0.8155822627434729</v>
      </c>
      <c r="V256">
        <v>0.10452687834014461</v>
      </c>
      <c r="W256">
        <v>0.18814838101226028</v>
      </c>
      <c r="X256">
        <v>0.7073247406475951</v>
      </c>
      <c r="Y256">
        <v>8.9072084346561345E-2</v>
      </c>
      <c r="Z256">
        <v>0.15697129618451386</v>
      </c>
      <c r="AA256">
        <v>0.75395661946892478</v>
      </c>
      <c r="AB256">
        <v>9.2851816129717005E-2</v>
      </c>
      <c r="AC256">
        <v>0.14819364291695206</v>
      </c>
      <c r="AD256">
        <v>0.75895454095333081</v>
      </c>
      <c r="AE256" t="s">
        <v>263</v>
      </c>
      <c r="AF256" t="s">
        <v>253</v>
      </c>
      <c r="AG256">
        <v>228.1</v>
      </c>
      <c r="AH256">
        <v>29</v>
      </c>
      <c r="AI256">
        <v>17</v>
      </c>
      <c r="AJ256">
        <v>7</v>
      </c>
      <c r="AK256">
        <v>27.5</v>
      </c>
      <c r="AL256">
        <v>156</v>
      </c>
      <c r="AM256">
        <v>3890</v>
      </c>
      <c r="AN256">
        <v>75</v>
      </c>
      <c r="AO256">
        <v>78</v>
      </c>
      <c r="AP256">
        <v>77</v>
      </c>
      <c r="AQ256">
        <v>4</v>
      </c>
      <c r="AR256" t="s">
        <v>46</v>
      </c>
      <c r="AS256" t="s">
        <v>254</v>
      </c>
      <c r="AT256" t="s">
        <v>253</v>
      </c>
      <c r="AU256">
        <v>1070</v>
      </c>
      <c r="AV256">
        <v>35</v>
      </c>
      <c r="AW256">
        <v>27</v>
      </c>
      <c r="AX256">
        <v>22</v>
      </c>
      <c r="AY256">
        <v>25.2</v>
      </c>
      <c r="AZ256">
        <v>8</v>
      </c>
      <c r="BA256">
        <v>10390</v>
      </c>
      <c r="BB256">
        <v>87</v>
      </c>
      <c r="BC256">
        <v>86</v>
      </c>
      <c r="BD256">
        <v>83</v>
      </c>
      <c r="BE256">
        <v>5</v>
      </c>
      <c r="BF256" t="s">
        <v>28</v>
      </c>
      <c r="BG256">
        <v>-58</v>
      </c>
      <c r="BH256">
        <v>-48</v>
      </c>
      <c r="BI256">
        <v>0.25</v>
      </c>
      <c r="BJ256" t="s">
        <v>267</v>
      </c>
      <c r="BK256">
        <v>0.3</v>
      </c>
      <c r="BL256">
        <v>0.78949999999999998</v>
      </c>
      <c r="BM256">
        <v>1.23</v>
      </c>
      <c r="BN256">
        <v>2.11</v>
      </c>
    </row>
    <row r="257" spans="1:66" x14ac:dyDescent="0.25">
      <c r="A257">
        <v>3</v>
      </c>
      <c r="B257">
        <v>-1</v>
      </c>
      <c r="C257">
        <v>1</v>
      </c>
      <c r="D257">
        <v>1.8863333333333332</v>
      </c>
      <c r="E257">
        <v>3.5</v>
      </c>
      <c r="F257">
        <v>4.166666666666667</v>
      </c>
      <c r="G257" s="40">
        <v>0.38</v>
      </c>
      <c r="H257" s="40">
        <v>0.37</v>
      </c>
      <c r="I257" s="40">
        <f t="shared" si="1"/>
        <v>0.25</v>
      </c>
      <c r="J257">
        <v>1.87</v>
      </c>
      <c r="K257">
        <v>3.5</v>
      </c>
      <c r="L257">
        <v>4.0999999999999996</v>
      </c>
      <c r="M257">
        <v>1.909</v>
      </c>
      <c r="N257">
        <v>3.55</v>
      </c>
      <c r="O257">
        <v>4.2</v>
      </c>
      <c r="P257">
        <v>1.88</v>
      </c>
      <c r="Q257">
        <v>3.45</v>
      </c>
      <c r="R257">
        <v>4.2</v>
      </c>
      <c r="S257">
        <v>0.52466522793439296</v>
      </c>
      <c r="T257">
        <v>0.23603624127601805</v>
      </c>
      <c r="U257">
        <v>0.23929853078958899</v>
      </c>
      <c r="V257">
        <v>0.50193992543280108</v>
      </c>
      <c r="W257">
        <v>0.2699164275073852</v>
      </c>
      <c r="X257">
        <v>0.22814364705981363</v>
      </c>
      <c r="Y257">
        <v>0.50187032418952615</v>
      </c>
      <c r="Z257">
        <v>0.27348295926849542</v>
      </c>
      <c r="AA257">
        <v>0.22464671654197838</v>
      </c>
      <c r="AB257">
        <v>0.50949182585224007</v>
      </c>
      <c r="AC257">
        <v>0.25981187601729955</v>
      </c>
      <c r="AD257">
        <v>0.23069629813046033</v>
      </c>
      <c r="AE257" t="s">
        <v>255</v>
      </c>
      <c r="AF257" t="s">
        <v>253</v>
      </c>
      <c r="AG257">
        <v>808.5</v>
      </c>
      <c r="AH257">
        <v>31</v>
      </c>
      <c r="AI257">
        <v>22</v>
      </c>
      <c r="AJ257">
        <v>19</v>
      </c>
      <c r="AK257">
        <v>25.8</v>
      </c>
      <c r="AL257">
        <v>19</v>
      </c>
      <c r="AM257">
        <v>8832</v>
      </c>
      <c r="AN257">
        <v>80</v>
      </c>
      <c r="AO257">
        <v>84</v>
      </c>
      <c r="AP257">
        <v>81</v>
      </c>
      <c r="AQ257">
        <v>4.5</v>
      </c>
      <c r="AR257" t="s">
        <v>28</v>
      </c>
      <c r="AS257" t="s">
        <v>260</v>
      </c>
      <c r="AT257" t="s">
        <v>253</v>
      </c>
      <c r="AU257">
        <v>454.8</v>
      </c>
      <c r="AV257">
        <v>29</v>
      </c>
      <c r="AW257">
        <v>19</v>
      </c>
      <c r="AX257">
        <v>12</v>
      </c>
      <c r="AY257">
        <v>27.4</v>
      </c>
      <c r="AZ257">
        <v>85</v>
      </c>
      <c r="BA257">
        <v>5188</v>
      </c>
      <c r="BB257">
        <v>80</v>
      </c>
      <c r="BC257">
        <v>79</v>
      </c>
      <c r="BD257">
        <v>79</v>
      </c>
      <c r="BE257">
        <v>4.5</v>
      </c>
      <c r="BF257" t="s">
        <v>29</v>
      </c>
      <c r="BG257">
        <v>50</v>
      </c>
      <c r="BH257">
        <v>96</v>
      </c>
      <c r="BI257">
        <v>0.5</v>
      </c>
      <c r="BJ257" t="s">
        <v>267</v>
      </c>
      <c r="BK257">
        <v>0.58179999999999998</v>
      </c>
      <c r="BL257">
        <v>0.57999999999999996</v>
      </c>
      <c r="BM257">
        <v>1.73</v>
      </c>
      <c r="BN257">
        <v>1.82</v>
      </c>
    </row>
    <row r="258" spans="1:66" x14ac:dyDescent="0.25">
      <c r="A258">
        <v>2</v>
      </c>
      <c r="B258">
        <v>0</v>
      </c>
      <c r="C258">
        <v>2</v>
      </c>
      <c r="D258">
        <v>1.9000000000000001</v>
      </c>
      <c r="E258">
        <v>3.6166666666666671</v>
      </c>
      <c r="F258">
        <v>3.9666666666666668</v>
      </c>
      <c r="G258" s="40">
        <v>0.44</v>
      </c>
      <c r="H258" s="40">
        <v>0.33</v>
      </c>
      <c r="I258" s="40">
        <f t="shared" si="1"/>
        <v>0.23000000000000004</v>
      </c>
      <c r="J258">
        <v>1.9</v>
      </c>
      <c r="K258">
        <v>3.6</v>
      </c>
      <c r="L258">
        <v>4</v>
      </c>
      <c r="M258">
        <v>1.95</v>
      </c>
      <c r="N258">
        <v>3.7</v>
      </c>
      <c r="O258">
        <v>4</v>
      </c>
      <c r="P258">
        <v>1.85</v>
      </c>
      <c r="Q258">
        <v>3.55</v>
      </c>
      <c r="R258">
        <v>3.9</v>
      </c>
      <c r="S258">
        <v>0.52074857607811231</v>
      </c>
      <c r="T258">
        <v>0.23189585028478438</v>
      </c>
      <c r="U258">
        <v>0.24735557363710334</v>
      </c>
      <c r="V258">
        <v>0.4963944323327184</v>
      </c>
      <c r="W258">
        <v>0.26161328190508132</v>
      </c>
      <c r="X258">
        <v>0.24199228576220022</v>
      </c>
      <c r="Y258">
        <v>0.50113111935571442</v>
      </c>
      <c r="Z258">
        <v>0.26115283684734414</v>
      </c>
      <c r="AA258">
        <v>0.23771604379694147</v>
      </c>
      <c r="AB258">
        <v>0.50609137592218179</v>
      </c>
      <c r="AC258">
        <v>0.25155398967906994</v>
      </c>
      <c r="AD258">
        <v>0.24235463439874835</v>
      </c>
      <c r="AE258" t="s">
        <v>49</v>
      </c>
      <c r="AF258" t="s">
        <v>26</v>
      </c>
      <c r="AG258">
        <v>406.85</v>
      </c>
      <c r="AH258">
        <v>28</v>
      </c>
      <c r="AI258">
        <v>16</v>
      </c>
      <c r="AJ258">
        <v>13</v>
      </c>
      <c r="AK258">
        <v>25.6</v>
      </c>
      <c r="AL258">
        <v>22</v>
      </c>
      <c r="AM258">
        <v>8083</v>
      </c>
      <c r="AN258">
        <v>80</v>
      </c>
      <c r="AO258">
        <v>80</v>
      </c>
      <c r="AP258">
        <v>79</v>
      </c>
      <c r="AQ258">
        <v>4.5</v>
      </c>
      <c r="AR258" t="s">
        <v>46</v>
      </c>
      <c r="AS258" t="s">
        <v>58</v>
      </c>
      <c r="AT258" t="s">
        <v>26</v>
      </c>
      <c r="AU258">
        <v>59.55</v>
      </c>
      <c r="AV258">
        <v>28</v>
      </c>
      <c r="AW258">
        <v>8</v>
      </c>
      <c r="AX258">
        <v>3</v>
      </c>
      <c r="AY258">
        <v>26.6</v>
      </c>
      <c r="AZ258">
        <v>243</v>
      </c>
      <c r="BA258">
        <v>2873</v>
      </c>
      <c r="BB258">
        <v>73</v>
      </c>
      <c r="BC258">
        <v>71</v>
      </c>
      <c r="BD258">
        <v>73</v>
      </c>
      <c r="BE258">
        <v>3.5</v>
      </c>
      <c r="BF258" t="s">
        <v>46</v>
      </c>
      <c r="BG258">
        <v>12</v>
      </c>
      <c r="BH258">
        <v>12</v>
      </c>
      <c r="BI258">
        <v>0.83299999999999996</v>
      </c>
      <c r="BJ258" t="s">
        <v>273</v>
      </c>
      <c r="BK258">
        <v>0.58850000000000002</v>
      </c>
      <c r="BL258">
        <v>0.3947</v>
      </c>
      <c r="BM258">
        <v>1.78</v>
      </c>
      <c r="BN258">
        <v>1.37</v>
      </c>
    </row>
    <row r="259" spans="1:66" x14ac:dyDescent="0.25">
      <c r="A259">
        <v>3</v>
      </c>
      <c r="B259">
        <v>-1</v>
      </c>
      <c r="C259">
        <v>3</v>
      </c>
      <c r="D259">
        <v>1.5766666666666669</v>
      </c>
      <c r="E259">
        <v>4.666666666666667</v>
      </c>
      <c r="F259">
        <v>4.833333333333333</v>
      </c>
      <c r="G259" s="40">
        <v>0.39</v>
      </c>
      <c r="H259" s="40">
        <v>0.33</v>
      </c>
      <c r="I259" s="40">
        <f t="shared" si="1"/>
        <v>0.27999999999999997</v>
      </c>
      <c r="J259">
        <v>1.58</v>
      </c>
      <c r="K259">
        <v>4.7</v>
      </c>
      <c r="L259">
        <v>4.9000000000000004</v>
      </c>
      <c r="M259">
        <v>1.6</v>
      </c>
      <c r="N259">
        <v>4.75</v>
      </c>
      <c r="O259">
        <v>5</v>
      </c>
      <c r="P259">
        <v>1.55</v>
      </c>
      <c r="Q259">
        <v>4.55</v>
      </c>
      <c r="R259">
        <v>4.5999999999999996</v>
      </c>
      <c r="S259">
        <v>0.62931051918370651</v>
      </c>
      <c r="T259">
        <v>0.16776894605909834</v>
      </c>
      <c r="U259">
        <v>0.20292053475719515</v>
      </c>
      <c r="V259">
        <v>0.60355781448538759</v>
      </c>
      <c r="W259">
        <v>0.20330368487928846</v>
      </c>
      <c r="X259">
        <v>0.19313850063532403</v>
      </c>
      <c r="Y259">
        <v>0.59608401566393721</v>
      </c>
      <c r="Z259">
        <v>0.20306158775364899</v>
      </c>
      <c r="AA259">
        <v>0.20085439658241366</v>
      </c>
      <c r="AB259">
        <v>0.6096507831110104</v>
      </c>
      <c r="AC259">
        <v>0.19137807289734524</v>
      </c>
      <c r="AD259">
        <v>0.19897114399164428</v>
      </c>
      <c r="AE259" t="s">
        <v>52</v>
      </c>
      <c r="AF259" t="s">
        <v>26</v>
      </c>
      <c r="AG259">
        <v>294.73</v>
      </c>
      <c r="AH259">
        <v>35</v>
      </c>
      <c r="AI259">
        <v>19</v>
      </c>
      <c r="AJ259">
        <v>10</v>
      </c>
      <c r="AK259">
        <v>24.9</v>
      </c>
      <c r="AL259">
        <v>76</v>
      </c>
      <c r="AM259">
        <v>5412</v>
      </c>
      <c r="AN259">
        <v>78</v>
      </c>
      <c r="AO259">
        <v>79</v>
      </c>
      <c r="AP259">
        <v>78</v>
      </c>
      <c r="AQ259">
        <v>4.5</v>
      </c>
      <c r="AR259" t="s">
        <v>29</v>
      </c>
      <c r="AS259" t="s">
        <v>61</v>
      </c>
      <c r="AT259" t="s">
        <v>26</v>
      </c>
      <c r="AU259">
        <v>73.7</v>
      </c>
      <c r="AV259">
        <v>32</v>
      </c>
      <c r="AW259">
        <v>16</v>
      </c>
      <c r="AX259">
        <v>2</v>
      </c>
      <c r="AY259">
        <v>23.9</v>
      </c>
      <c r="AZ259">
        <v>671</v>
      </c>
      <c r="BA259">
        <v>828</v>
      </c>
      <c r="BB259">
        <v>73</v>
      </c>
      <c r="BC259">
        <v>70</v>
      </c>
      <c r="BD259">
        <v>69</v>
      </c>
      <c r="BE259">
        <v>3.5</v>
      </c>
      <c r="BF259" t="s">
        <v>29</v>
      </c>
      <c r="BG259">
        <v>-21</v>
      </c>
      <c r="BH259">
        <v>11</v>
      </c>
      <c r="BI259">
        <v>0.33</v>
      </c>
      <c r="BJ259" t="s">
        <v>273</v>
      </c>
      <c r="BK259">
        <v>0.54759999999999998</v>
      </c>
      <c r="BL259">
        <v>0.51349999999999996</v>
      </c>
      <c r="BM259">
        <v>1.76</v>
      </c>
      <c r="BN259">
        <v>1.78</v>
      </c>
    </row>
    <row r="260" spans="1:66" x14ac:dyDescent="0.25">
      <c r="A260">
        <v>1</v>
      </c>
      <c r="B260">
        <v>2</v>
      </c>
      <c r="C260">
        <v>2</v>
      </c>
      <c r="D260">
        <v>2.5766666666666667</v>
      </c>
      <c r="E260">
        <v>3.0833333333333335</v>
      </c>
      <c r="F260">
        <v>2.89</v>
      </c>
      <c r="G260" s="40">
        <v>0.34</v>
      </c>
      <c r="H260" s="40">
        <v>0.32</v>
      </c>
      <c r="I260" s="40">
        <f t="shared" si="1"/>
        <v>0.33999999999999991</v>
      </c>
      <c r="J260">
        <v>2.63</v>
      </c>
      <c r="K260">
        <v>3</v>
      </c>
      <c r="L260">
        <v>2.9</v>
      </c>
      <c r="M260">
        <v>2.6</v>
      </c>
      <c r="N260">
        <v>3.2</v>
      </c>
      <c r="O260">
        <v>2.95</v>
      </c>
      <c r="P260">
        <v>2.5</v>
      </c>
      <c r="Q260">
        <v>3.05</v>
      </c>
      <c r="R260">
        <v>2.82</v>
      </c>
      <c r="S260">
        <v>0.37125910533792666</v>
      </c>
      <c r="T260">
        <v>0.29204729223491932</v>
      </c>
      <c r="U260">
        <v>0.33669360242715418</v>
      </c>
      <c r="V260">
        <v>0.37121510027526544</v>
      </c>
      <c r="W260">
        <v>0.30161226897365317</v>
      </c>
      <c r="X260">
        <v>0.32717263075108138</v>
      </c>
      <c r="Y260">
        <v>0.36952225468293515</v>
      </c>
      <c r="Z260">
        <v>0.30288709400240588</v>
      </c>
      <c r="AA260">
        <v>0.32759065131465887</v>
      </c>
      <c r="AB260">
        <v>0.37066548676537575</v>
      </c>
      <c r="AC260">
        <v>0.29884888507032614</v>
      </c>
      <c r="AD260">
        <v>0.33048562816429816</v>
      </c>
      <c r="AE260" t="s">
        <v>275</v>
      </c>
      <c r="AF260" t="s">
        <v>26</v>
      </c>
      <c r="AG260">
        <v>119.98</v>
      </c>
      <c r="AH260">
        <v>33</v>
      </c>
      <c r="AI260">
        <v>18</v>
      </c>
      <c r="AJ260">
        <v>6</v>
      </c>
      <c r="AK260">
        <v>26</v>
      </c>
      <c r="AL260">
        <v>276</v>
      </c>
      <c r="AM260">
        <v>2599</v>
      </c>
      <c r="AN260">
        <v>78</v>
      </c>
      <c r="AO260">
        <v>74</v>
      </c>
      <c r="AP260">
        <v>75</v>
      </c>
      <c r="AQ260">
        <v>4</v>
      </c>
      <c r="AR260" t="s">
        <v>46</v>
      </c>
      <c r="AS260" t="s">
        <v>56</v>
      </c>
      <c r="AT260" t="s">
        <v>26</v>
      </c>
      <c r="AU260">
        <v>123.65</v>
      </c>
      <c r="AV260">
        <v>40</v>
      </c>
      <c r="AW260">
        <v>20</v>
      </c>
      <c r="AX260">
        <v>5</v>
      </c>
      <c r="AY260">
        <v>24.2</v>
      </c>
      <c r="AZ260">
        <v>216</v>
      </c>
      <c r="BA260">
        <v>3121</v>
      </c>
      <c r="BB260">
        <v>77</v>
      </c>
      <c r="BC260">
        <v>76</v>
      </c>
      <c r="BD260">
        <v>77</v>
      </c>
      <c r="BE260">
        <v>4</v>
      </c>
      <c r="BF260" t="s">
        <v>29</v>
      </c>
      <c r="BG260">
        <v>-4</v>
      </c>
      <c r="BH260">
        <v>-3</v>
      </c>
      <c r="BI260">
        <v>0.39100000000000001</v>
      </c>
      <c r="BJ260" t="s">
        <v>273</v>
      </c>
      <c r="BK260">
        <v>0.2571</v>
      </c>
      <c r="BL260">
        <v>0.27500000000000002</v>
      </c>
      <c r="BM260">
        <v>1.31</v>
      </c>
      <c r="BN260">
        <v>1.43</v>
      </c>
    </row>
    <row r="261" spans="1:66" x14ac:dyDescent="0.25">
      <c r="A261">
        <v>1</v>
      </c>
      <c r="B261">
        <v>1</v>
      </c>
      <c r="C261">
        <v>7</v>
      </c>
      <c r="D261">
        <v>13.333333333333334</v>
      </c>
      <c r="E261">
        <v>7.333333333333333</v>
      </c>
      <c r="F261">
        <v>1.1866666666666665</v>
      </c>
      <c r="G261" s="40">
        <v>0.23</v>
      </c>
      <c r="H261" s="40">
        <v>0.23</v>
      </c>
      <c r="I261" s="40">
        <f t="shared" si="1"/>
        <v>0.54</v>
      </c>
      <c r="J261">
        <v>12.5</v>
      </c>
      <c r="K261">
        <v>7</v>
      </c>
      <c r="L261">
        <v>1.21</v>
      </c>
      <c r="M261">
        <v>15</v>
      </c>
      <c r="N261">
        <v>7.5</v>
      </c>
      <c r="O261">
        <v>1.2</v>
      </c>
      <c r="P261">
        <v>12.5</v>
      </c>
      <c r="Q261">
        <v>7.5</v>
      </c>
      <c r="R261">
        <v>1.1499999999999999</v>
      </c>
      <c r="S261">
        <v>8.0471568394738582E-2</v>
      </c>
      <c r="T261">
        <v>8.8210576287714046E-2</v>
      </c>
      <c r="U261">
        <v>0.83131785531754743</v>
      </c>
      <c r="V261">
        <v>6.4516129032258063E-2</v>
      </c>
      <c r="W261">
        <v>0.12903225806451613</v>
      </c>
      <c r="X261">
        <v>0.80645161290322587</v>
      </c>
      <c r="Y261">
        <v>7.3875802997858675E-2</v>
      </c>
      <c r="Z261">
        <v>0.12312633832976445</v>
      </c>
      <c r="AA261">
        <v>0.80299785867237683</v>
      </c>
      <c r="AB261">
        <v>7.2954500141618431E-2</v>
      </c>
      <c r="AC261">
        <v>0.11345639089399821</v>
      </c>
      <c r="AD261">
        <v>0.8135891089643833</v>
      </c>
      <c r="AE261" t="s">
        <v>53</v>
      </c>
      <c r="AF261" t="s">
        <v>26</v>
      </c>
      <c r="AG261">
        <v>195.83</v>
      </c>
      <c r="AH261">
        <v>29</v>
      </c>
      <c r="AI261">
        <v>18</v>
      </c>
      <c r="AJ261">
        <v>11</v>
      </c>
      <c r="AK261">
        <v>25.3</v>
      </c>
      <c r="AL261">
        <v>152</v>
      </c>
      <c r="AM261">
        <v>3938</v>
      </c>
      <c r="AN261">
        <v>76</v>
      </c>
      <c r="AO261">
        <v>77</v>
      </c>
      <c r="AP261">
        <v>76</v>
      </c>
      <c r="AQ261">
        <v>4</v>
      </c>
      <c r="AR261" t="s">
        <v>29</v>
      </c>
      <c r="AS261" t="s">
        <v>51</v>
      </c>
      <c r="AT261" t="s">
        <v>26</v>
      </c>
      <c r="AU261">
        <v>199.33</v>
      </c>
      <c r="AV261">
        <v>33</v>
      </c>
      <c r="AW261">
        <v>22</v>
      </c>
      <c r="AX261">
        <v>9</v>
      </c>
      <c r="AY261">
        <v>25.9</v>
      </c>
      <c r="AZ261">
        <v>45</v>
      </c>
      <c r="BA261">
        <v>6714</v>
      </c>
      <c r="BB261">
        <v>78</v>
      </c>
      <c r="BC261">
        <v>77</v>
      </c>
      <c r="BD261">
        <v>77</v>
      </c>
      <c r="BE261">
        <v>4</v>
      </c>
      <c r="BF261" t="s">
        <v>46</v>
      </c>
      <c r="BG261">
        <v>-10</v>
      </c>
      <c r="BH261">
        <v>16</v>
      </c>
      <c r="BI261">
        <v>0.36299999999999999</v>
      </c>
      <c r="BJ261" t="s">
        <v>273</v>
      </c>
      <c r="BK261">
        <v>0.31580000000000003</v>
      </c>
      <c r="BL261">
        <v>0.47270000000000001</v>
      </c>
      <c r="BM261">
        <v>1.29</v>
      </c>
      <c r="BN261">
        <v>1.8</v>
      </c>
    </row>
    <row r="262" spans="1:66" x14ac:dyDescent="0.25">
      <c r="A262">
        <v>2</v>
      </c>
      <c r="B262">
        <v>0</v>
      </c>
      <c r="C262">
        <v>0</v>
      </c>
      <c r="D262">
        <v>2.6083333333333329</v>
      </c>
      <c r="E262">
        <v>3.1999999999999997</v>
      </c>
      <c r="F262">
        <v>2.7600000000000002</v>
      </c>
      <c r="G262" s="40">
        <v>0.4</v>
      </c>
      <c r="H262" s="40">
        <v>0.34</v>
      </c>
      <c r="I262" s="40">
        <f t="shared" si="1"/>
        <v>0.25999999999999995</v>
      </c>
      <c r="J262">
        <v>2.65</v>
      </c>
      <c r="K262">
        <v>3.15</v>
      </c>
      <c r="L262">
        <v>2.8</v>
      </c>
      <c r="M262">
        <v>2.625</v>
      </c>
      <c r="N262">
        <v>3.3</v>
      </c>
      <c r="O262">
        <v>2.8</v>
      </c>
      <c r="P262">
        <v>2.5499999999999998</v>
      </c>
      <c r="Q262">
        <v>3.15</v>
      </c>
      <c r="R262">
        <v>2.68</v>
      </c>
      <c r="S262">
        <v>0.37037269222330188</v>
      </c>
      <c r="T262">
        <v>0.27909600977964449</v>
      </c>
      <c r="U262">
        <v>0.35053129799705357</v>
      </c>
      <c r="V262">
        <v>0.36590436590436587</v>
      </c>
      <c r="W262">
        <v>0.29106029106029108</v>
      </c>
      <c r="X262">
        <v>0.34303534303534305</v>
      </c>
      <c r="Y262">
        <v>0.36218546882038738</v>
      </c>
      <c r="Z262">
        <v>0.29319776047364693</v>
      </c>
      <c r="AA262">
        <v>0.34461677070596558</v>
      </c>
      <c r="AB262">
        <v>0.36615417564935177</v>
      </c>
      <c r="AC262">
        <v>0.28778468710452748</v>
      </c>
      <c r="AD262">
        <v>0.3460611372461207</v>
      </c>
      <c r="AE262" t="s">
        <v>59</v>
      </c>
      <c r="AF262" t="s">
        <v>26</v>
      </c>
      <c r="AG262">
        <v>221.15</v>
      </c>
      <c r="AH262">
        <v>35</v>
      </c>
      <c r="AI262">
        <v>17</v>
      </c>
      <c r="AJ262">
        <v>8</v>
      </c>
      <c r="AK262">
        <v>23.8</v>
      </c>
      <c r="AL262">
        <v>258</v>
      </c>
      <c r="AM262">
        <v>2751</v>
      </c>
      <c r="AN262">
        <v>77</v>
      </c>
      <c r="AO262">
        <v>75</v>
      </c>
      <c r="AP262">
        <v>75</v>
      </c>
      <c r="AQ262">
        <v>4</v>
      </c>
      <c r="AR262" t="s">
        <v>29</v>
      </c>
      <c r="AS262" t="s">
        <v>60</v>
      </c>
      <c r="AT262" t="s">
        <v>26</v>
      </c>
      <c r="AU262">
        <v>94.35</v>
      </c>
      <c r="AV262">
        <v>32</v>
      </c>
      <c r="AW262">
        <v>11</v>
      </c>
      <c r="AX262">
        <v>5</v>
      </c>
      <c r="AY262">
        <v>25.3</v>
      </c>
      <c r="AZ262">
        <v>299</v>
      </c>
      <c r="BA262">
        <v>2454</v>
      </c>
      <c r="BB262">
        <v>76</v>
      </c>
      <c r="BC262">
        <v>75</v>
      </c>
      <c r="BD262">
        <v>73</v>
      </c>
      <c r="BE262">
        <v>4</v>
      </c>
      <c r="BF262" t="s">
        <v>46</v>
      </c>
      <c r="BG262">
        <v>-21</v>
      </c>
      <c r="BH262">
        <v>1</v>
      </c>
      <c r="BI262">
        <v>0.38</v>
      </c>
      <c r="BJ262" t="s">
        <v>273</v>
      </c>
      <c r="BK262">
        <v>0.32429999999999998</v>
      </c>
      <c r="BL262">
        <v>0.27779999999999999</v>
      </c>
      <c r="BM262">
        <v>1.57</v>
      </c>
      <c r="BN262">
        <v>1.56</v>
      </c>
    </row>
    <row r="263" spans="1:66" x14ac:dyDescent="0.25">
      <c r="A263">
        <v>2</v>
      </c>
      <c r="B263">
        <v>0</v>
      </c>
      <c r="C263">
        <v>4</v>
      </c>
      <c r="D263">
        <v>8.0666666666666664</v>
      </c>
      <c r="E263">
        <v>5.9833333333333334</v>
      </c>
      <c r="F263">
        <v>1.3076666666666668</v>
      </c>
      <c r="G263" s="40">
        <v>0.22</v>
      </c>
      <c r="H263" s="40">
        <v>0.26</v>
      </c>
      <c r="I263" s="40">
        <f t="shared" si="1"/>
        <v>0.52</v>
      </c>
      <c r="J263">
        <v>8</v>
      </c>
      <c r="K263">
        <v>5.8</v>
      </c>
      <c r="L263">
        <v>1.32</v>
      </c>
      <c r="M263">
        <v>8</v>
      </c>
      <c r="N263">
        <v>6.25</v>
      </c>
      <c r="O263">
        <v>1.333</v>
      </c>
      <c r="P263">
        <v>8.1999999999999993</v>
      </c>
      <c r="Q263">
        <v>5.9</v>
      </c>
      <c r="R263">
        <v>1.27</v>
      </c>
      <c r="S263">
        <v>0.12469078750645608</v>
      </c>
      <c r="T263">
        <v>0.1196074700301737</v>
      </c>
      <c r="U263">
        <v>0.75570174246337019</v>
      </c>
      <c r="V263">
        <v>0.12075106619658602</v>
      </c>
      <c r="W263">
        <v>0.1545613647316301</v>
      </c>
      <c r="X263">
        <v>0.724687569071784</v>
      </c>
      <c r="Y263">
        <v>0.11303875571379005</v>
      </c>
      <c r="Z263">
        <v>0.15710471133103021</v>
      </c>
      <c r="AA263">
        <v>0.72985653295517972</v>
      </c>
      <c r="AB263">
        <v>0.11949353647227738</v>
      </c>
      <c r="AC263">
        <v>0.14375784869761132</v>
      </c>
      <c r="AD263">
        <v>0.73674861483011123</v>
      </c>
      <c r="AE263" t="s">
        <v>55</v>
      </c>
      <c r="AF263" t="s">
        <v>26</v>
      </c>
      <c r="AG263">
        <v>108.3</v>
      </c>
      <c r="AH263">
        <v>28</v>
      </c>
      <c r="AI263">
        <v>11</v>
      </c>
      <c r="AJ263">
        <v>8</v>
      </c>
      <c r="AK263">
        <v>25.8</v>
      </c>
      <c r="AL263">
        <v>213</v>
      </c>
      <c r="AM263">
        <v>3138</v>
      </c>
      <c r="AN263">
        <v>76</v>
      </c>
      <c r="AO263">
        <v>73</v>
      </c>
      <c r="AP263">
        <v>75</v>
      </c>
      <c r="AQ263">
        <v>3.5</v>
      </c>
      <c r="AR263" t="s">
        <v>29</v>
      </c>
      <c r="AS263" t="s">
        <v>31</v>
      </c>
      <c r="AT263" t="s">
        <v>26</v>
      </c>
      <c r="AU263">
        <v>925.24</v>
      </c>
      <c r="AV263">
        <v>31</v>
      </c>
      <c r="AW263">
        <v>15</v>
      </c>
      <c r="AX263">
        <v>15</v>
      </c>
      <c r="AY263">
        <v>25.3</v>
      </c>
      <c r="AZ263">
        <v>6</v>
      </c>
      <c r="BA263">
        <v>10885</v>
      </c>
      <c r="BB263">
        <v>87</v>
      </c>
      <c r="BC263">
        <v>85</v>
      </c>
      <c r="BD263">
        <v>81</v>
      </c>
      <c r="BE263">
        <v>5</v>
      </c>
      <c r="BF263" t="s">
        <v>29</v>
      </c>
      <c r="BG263">
        <v>-66</v>
      </c>
      <c r="BH263">
        <v>-70</v>
      </c>
      <c r="BI263">
        <v>9.5000000000000001E-2</v>
      </c>
      <c r="BJ263" t="s">
        <v>273</v>
      </c>
      <c r="BK263">
        <v>0.38890000000000002</v>
      </c>
      <c r="BL263">
        <v>0.83330000000000004</v>
      </c>
      <c r="BM263">
        <v>1.39</v>
      </c>
      <c r="BN263">
        <v>3</v>
      </c>
    </row>
    <row r="264" spans="1:66" x14ac:dyDescent="0.25">
      <c r="A264">
        <v>2</v>
      </c>
      <c r="B264">
        <v>0</v>
      </c>
      <c r="C264">
        <v>0</v>
      </c>
      <c r="D264">
        <v>2.3833333333333333</v>
      </c>
      <c r="E264">
        <v>3.0500000000000003</v>
      </c>
      <c r="F264">
        <v>3.0666666666666664</v>
      </c>
      <c r="G264" s="40">
        <v>0.34</v>
      </c>
      <c r="H264" s="40">
        <v>0.43</v>
      </c>
      <c r="I264" s="40">
        <f t="shared" si="1"/>
        <v>0.22999999999999993</v>
      </c>
      <c r="J264">
        <v>2.35</v>
      </c>
      <c r="K264">
        <v>2.95</v>
      </c>
      <c r="L264">
        <v>2.95</v>
      </c>
      <c r="M264">
        <v>2.4</v>
      </c>
      <c r="N264">
        <v>3.1</v>
      </c>
      <c r="O264">
        <v>3.1</v>
      </c>
      <c r="P264">
        <v>2.4</v>
      </c>
      <c r="Q264">
        <v>3.1</v>
      </c>
      <c r="R264">
        <v>3.15</v>
      </c>
      <c r="S264">
        <v>0.39510306581563248</v>
      </c>
      <c r="T264">
        <v>0.2901538139583551</v>
      </c>
      <c r="U264">
        <v>0.31474312022601231</v>
      </c>
      <c r="V264">
        <v>0.39240506329113928</v>
      </c>
      <c r="W264">
        <v>0.30379746835443039</v>
      </c>
      <c r="X264">
        <v>0.30379746835443039</v>
      </c>
      <c r="Y264">
        <v>0.39430648092065412</v>
      </c>
      <c r="Z264">
        <v>0.3052695336159903</v>
      </c>
      <c r="AA264">
        <v>0.30042398546335553</v>
      </c>
      <c r="AB264">
        <v>0.39393820334247526</v>
      </c>
      <c r="AC264">
        <v>0.29974027197625858</v>
      </c>
      <c r="AD264">
        <v>0.30632152468126606</v>
      </c>
      <c r="AE264" t="s">
        <v>97</v>
      </c>
      <c r="AF264" t="s">
        <v>85</v>
      </c>
      <c r="AG264">
        <v>21.13</v>
      </c>
      <c r="AH264">
        <v>27</v>
      </c>
      <c r="AI264">
        <v>3</v>
      </c>
      <c r="AJ264">
        <v>0</v>
      </c>
      <c r="AK264">
        <v>25.2</v>
      </c>
      <c r="AL264">
        <v>151</v>
      </c>
      <c r="AM264">
        <v>3948</v>
      </c>
      <c r="AN264">
        <v>70</v>
      </c>
      <c r="AO264">
        <v>74</v>
      </c>
      <c r="AP264">
        <v>72</v>
      </c>
      <c r="AQ264">
        <v>3.5</v>
      </c>
      <c r="AR264" t="s">
        <v>29</v>
      </c>
      <c r="AS264" t="s">
        <v>87</v>
      </c>
      <c r="AT264" t="s">
        <v>85</v>
      </c>
      <c r="AU264">
        <v>42.88</v>
      </c>
      <c r="AV264">
        <v>27</v>
      </c>
      <c r="AW264">
        <v>4</v>
      </c>
      <c r="AX264">
        <v>1</v>
      </c>
      <c r="AY264">
        <v>25.7</v>
      </c>
      <c r="AZ264">
        <v>67</v>
      </c>
      <c r="BA264">
        <v>5744</v>
      </c>
      <c r="BB264">
        <v>74</v>
      </c>
      <c r="BC264">
        <v>73</v>
      </c>
      <c r="BD264">
        <v>74</v>
      </c>
      <c r="BE264">
        <v>3.5</v>
      </c>
      <c r="BF264" t="s">
        <v>29</v>
      </c>
      <c r="BG264">
        <v>22</v>
      </c>
      <c r="BH264">
        <v>44</v>
      </c>
      <c r="BI264">
        <v>0.56299999999999994</v>
      </c>
      <c r="BJ264" t="s">
        <v>85</v>
      </c>
      <c r="BK264">
        <v>0.2571</v>
      </c>
      <c r="BL264">
        <v>0.43180000000000002</v>
      </c>
      <c r="BM264">
        <v>0.83</v>
      </c>
      <c r="BN264">
        <v>1.23</v>
      </c>
    </row>
    <row r="265" spans="1:66" x14ac:dyDescent="0.25">
      <c r="A265">
        <v>2</v>
      </c>
      <c r="B265">
        <v>0</v>
      </c>
      <c r="C265">
        <v>2</v>
      </c>
      <c r="D265">
        <v>2.3416666666666668</v>
      </c>
      <c r="E265">
        <v>3.15</v>
      </c>
      <c r="F265">
        <v>3.0666666666666664</v>
      </c>
      <c r="G265" s="40">
        <v>0.24</v>
      </c>
      <c r="H265" s="40">
        <v>0.35</v>
      </c>
      <c r="I265" s="40">
        <f t="shared" si="1"/>
        <v>0.41000000000000003</v>
      </c>
      <c r="J265">
        <v>2.2799999999999998</v>
      </c>
      <c r="K265">
        <v>3.05</v>
      </c>
      <c r="L265">
        <v>3</v>
      </c>
      <c r="M265">
        <v>2.375</v>
      </c>
      <c r="N265">
        <v>3.2</v>
      </c>
      <c r="O265">
        <v>3.1</v>
      </c>
      <c r="P265">
        <v>2.37</v>
      </c>
      <c r="Q265">
        <v>3.2</v>
      </c>
      <c r="R265">
        <v>3.1</v>
      </c>
      <c r="S265">
        <v>0.40893594702681441</v>
      </c>
      <c r="T265">
        <v>0.28027273323280666</v>
      </c>
      <c r="U265">
        <v>0.31079131974037894</v>
      </c>
      <c r="V265">
        <v>0.39867376670350652</v>
      </c>
      <c r="W265">
        <v>0.29589068622525871</v>
      </c>
      <c r="X265">
        <v>0.30543554707123483</v>
      </c>
      <c r="Y265">
        <v>0.39917910748058427</v>
      </c>
      <c r="Z265">
        <v>0.29564202647780768</v>
      </c>
      <c r="AA265">
        <v>0.30517886604160799</v>
      </c>
      <c r="AB265">
        <v>0.40226294040363508</v>
      </c>
      <c r="AC265">
        <v>0.29060181531195767</v>
      </c>
      <c r="AD265">
        <v>0.30713524428440725</v>
      </c>
      <c r="AE265" t="s">
        <v>95</v>
      </c>
      <c r="AF265" t="s">
        <v>85</v>
      </c>
      <c r="AG265">
        <v>28.25</v>
      </c>
      <c r="AH265">
        <v>27</v>
      </c>
      <c r="AI265">
        <v>3</v>
      </c>
      <c r="AJ265">
        <v>0</v>
      </c>
      <c r="AK265">
        <v>26.9</v>
      </c>
      <c r="AL265">
        <v>130</v>
      </c>
      <c r="AM265">
        <v>4218</v>
      </c>
      <c r="AN265">
        <v>76</v>
      </c>
      <c r="AO265">
        <v>73</v>
      </c>
      <c r="AP265">
        <v>72</v>
      </c>
      <c r="AQ265">
        <v>3.5</v>
      </c>
      <c r="AR265" t="s">
        <v>46</v>
      </c>
      <c r="AS265" t="s">
        <v>98</v>
      </c>
      <c r="AT265" t="s">
        <v>85</v>
      </c>
      <c r="AU265">
        <v>31.9</v>
      </c>
      <c r="AV265">
        <v>26</v>
      </c>
      <c r="AW265">
        <v>6</v>
      </c>
      <c r="AX265">
        <v>0</v>
      </c>
      <c r="AY265">
        <v>25.3</v>
      </c>
      <c r="AZ265">
        <v>166</v>
      </c>
      <c r="BA265">
        <v>3764</v>
      </c>
      <c r="BB265">
        <v>74</v>
      </c>
      <c r="BC265">
        <v>72</v>
      </c>
      <c r="BD265">
        <v>70</v>
      </c>
      <c r="BE265">
        <v>3.5</v>
      </c>
      <c r="BF265" t="s">
        <v>29</v>
      </c>
      <c r="BG265">
        <v>-6</v>
      </c>
      <c r="BH265">
        <v>-9</v>
      </c>
      <c r="BI265">
        <v>0.2</v>
      </c>
      <c r="BJ265" t="s">
        <v>85</v>
      </c>
      <c r="BK265">
        <v>0.32429999999999998</v>
      </c>
      <c r="BL265">
        <v>0.43240000000000001</v>
      </c>
      <c r="BM265">
        <v>1.03</v>
      </c>
      <c r="BN265">
        <v>1.46</v>
      </c>
    </row>
    <row r="266" spans="1:66" x14ac:dyDescent="0.25">
      <c r="A266">
        <v>1</v>
      </c>
      <c r="B266">
        <v>1</v>
      </c>
      <c r="C266">
        <v>1</v>
      </c>
      <c r="D266">
        <v>2.1066666666666669</v>
      </c>
      <c r="E266">
        <v>3.6333333333333333</v>
      </c>
      <c r="F266">
        <v>3.1166666666666667</v>
      </c>
      <c r="G266" s="40">
        <v>0.34</v>
      </c>
      <c r="H266" s="40">
        <v>0.24</v>
      </c>
      <c r="I266" s="40">
        <f t="shared" ref="I266:I329" si="2">1-G266-H266</f>
        <v>0.41999999999999993</v>
      </c>
      <c r="J266">
        <v>2.02</v>
      </c>
      <c r="K266">
        <v>3.6</v>
      </c>
      <c r="L266">
        <v>3.05</v>
      </c>
      <c r="M266">
        <v>2.15</v>
      </c>
      <c r="N266">
        <v>3.65</v>
      </c>
      <c r="O266">
        <v>3.15</v>
      </c>
      <c r="P266">
        <v>2.15</v>
      </c>
      <c r="Q266">
        <v>3.65</v>
      </c>
      <c r="R266">
        <v>3.15</v>
      </c>
      <c r="S266">
        <v>0.46113534139437595</v>
      </c>
      <c r="T266">
        <v>0.23345698987885699</v>
      </c>
      <c r="U266">
        <v>0.30540766872676706</v>
      </c>
      <c r="V266">
        <v>0.44022207332248486</v>
      </c>
      <c r="W266">
        <v>0.25930889250502537</v>
      </c>
      <c r="X266">
        <v>0.30046903417248966</v>
      </c>
      <c r="Y266">
        <v>0.44022207332248486</v>
      </c>
      <c r="Z266">
        <v>0.25930889250502537</v>
      </c>
      <c r="AA266">
        <v>0.30046903417248966</v>
      </c>
      <c r="AB266">
        <v>0.44719316267978187</v>
      </c>
      <c r="AC266">
        <v>0.25069159162963589</v>
      </c>
      <c r="AD266">
        <v>0.30211524569058212</v>
      </c>
      <c r="AE266" t="s">
        <v>162</v>
      </c>
      <c r="AF266" t="s">
        <v>160</v>
      </c>
      <c r="AG266">
        <v>23.93</v>
      </c>
      <c r="AH266">
        <v>25</v>
      </c>
      <c r="AI266">
        <v>17</v>
      </c>
      <c r="AJ266">
        <v>6</v>
      </c>
      <c r="AK266">
        <v>27</v>
      </c>
      <c r="AL266">
        <v>185</v>
      </c>
      <c r="AM266">
        <v>3516</v>
      </c>
      <c r="AN266">
        <v>65</v>
      </c>
      <c r="AO266">
        <v>70</v>
      </c>
      <c r="AP266">
        <v>68</v>
      </c>
      <c r="AQ266">
        <v>2.5</v>
      </c>
      <c r="AR266" t="s">
        <v>29</v>
      </c>
      <c r="AS266" t="s">
        <v>167</v>
      </c>
      <c r="AT266" t="s">
        <v>160</v>
      </c>
      <c r="AU266">
        <v>22.3</v>
      </c>
      <c r="AV266">
        <v>29</v>
      </c>
      <c r="AW266">
        <v>11</v>
      </c>
      <c r="AX266">
        <v>6</v>
      </c>
      <c r="AY266">
        <v>25.1</v>
      </c>
      <c r="AZ266">
        <v>300</v>
      </c>
      <c r="BA266">
        <v>2452</v>
      </c>
      <c r="BB266">
        <v>70</v>
      </c>
      <c r="BC266">
        <v>69</v>
      </c>
      <c r="BD266">
        <v>70</v>
      </c>
      <c r="BE266">
        <v>3</v>
      </c>
      <c r="BF266" t="s">
        <v>29</v>
      </c>
      <c r="BG266">
        <v>-1</v>
      </c>
      <c r="BH266">
        <v>-3</v>
      </c>
      <c r="BI266">
        <v>0.44400000000000001</v>
      </c>
      <c r="BJ266" t="s">
        <v>234</v>
      </c>
      <c r="BK266">
        <v>0.44440000000000002</v>
      </c>
      <c r="BL266">
        <v>0.375</v>
      </c>
      <c r="BM266">
        <v>1.85</v>
      </c>
      <c r="BN266">
        <v>1.21</v>
      </c>
    </row>
    <row r="267" spans="1:66" x14ac:dyDescent="0.25">
      <c r="A267">
        <v>1</v>
      </c>
      <c r="B267">
        <v>2</v>
      </c>
      <c r="C267">
        <v>4</v>
      </c>
      <c r="D267">
        <v>1.83</v>
      </c>
      <c r="E267">
        <v>3.9666666666666668</v>
      </c>
      <c r="F267">
        <v>3.6833333333333336</v>
      </c>
      <c r="G267" s="40">
        <v>0.34</v>
      </c>
      <c r="H267" s="40">
        <v>0.37</v>
      </c>
      <c r="I267" s="40">
        <f t="shared" si="2"/>
        <v>0.28999999999999992</v>
      </c>
      <c r="J267">
        <v>1.79</v>
      </c>
      <c r="K267">
        <v>3.9</v>
      </c>
      <c r="L267">
        <v>3.55</v>
      </c>
      <c r="M267">
        <v>1.85</v>
      </c>
      <c r="N267">
        <v>4</v>
      </c>
      <c r="O267">
        <v>3.75</v>
      </c>
      <c r="P267">
        <v>1.85</v>
      </c>
      <c r="Q267">
        <v>4</v>
      </c>
      <c r="R267">
        <v>3.75</v>
      </c>
      <c r="S267">
        <v>0.52527107409083251</v>
      </c>
      <c r="T267">
        <v>0.20987393362111392</v>
      </c>
      <c r="U267">
        <v>0.26485499228805359</v>
      </c>
      <c r="V267">
        <v>0.51129100979974429</v>
      </c>
      <c r="W267">
        <v>0.23647209203238176</v>
      </c>
      <c r="X267">
        <v>0.25223689816787392</v>
      </c>
      <c r="Y267">
        <v>0.51129100979974429</v>
      </c>
      <c r="Z267">
        <v>0.23647209203238176</v>
      </c>
      <c r="AA267">
        <v>0.25223689816787392</v>
      </c>
      <c r="AB267">
        <v>0.5159510312301071</v>
      </c>
      <c r="AC267">
        <v>0.22760603922862579</v>
      </c>
      <c r="AD267">
        <v>0.25644292954126713</v>
      </c>
      <c r="AE267" t="s">
        <v>171</v>
      </c>
      <c r="AF267" t="s">
        <v>160</v>
      </c>
      <c r="AG267">
        <v>17.78</v>
      </c>
      <c r="AH267">
        <v>27</v>
      </c>
      <c r="AI267">
        <v>12</v>
      </c>
      <c r="AJ267">
        <v>5</v>
      </c>
      <c r="AK267">
        <v>26.3</v>
      </c>
      <c r="AL267">
        <v>332</v>
      </c>
      <c r="AM267">
        <v>2288</v>
      </c>
      <c r="AN267">
        <v>74</v>
      </c>
      <c r="AO267">
        <v>69</v>
      </c>
      <c r="AP267">
        <v>67</v>
      </c>
      <c r="AQ267">
        <v>3</v>
      </c>
      <c r="AR267" t="s">
        <v>46</v>
      </c>
      <c r="AS267" t="s">
        <v>176</v>
      </c>
      <c r="AT267" t="s">
        <v>160</v>
      </c>
      <c r="AU267">
        <v>18.73</v>
      </c>
      <c r="AV267">
        <v>29</v>
      </c>
      <c r="AW267">
        <v>21</v>
      </c>
      <c r="AX267">
        <v>8</v>
      </c>
      <c r="AY267">
        <v>26.5</v>
      </c>
      <c r="AZ267">
        <v>388</v>
      </c>
      <c r="BA267">
        <v>1901</v>
      </c>
      <c r="BB267">
        <v>67</v>
      </c>
      <c r="BC267">
        <v>71</v>
      </c>
      <c r="BD267">
        <v>69</v>
      </c>
      <c r="BE267">
        <v>3</v>
      </c>
      <c r="BF267" t="s">
        <v>46</v>
      </c>
      <c r="BG267">
        <v>-2</v>
      </c>
      <c r="BH267">
        <v>10</v>
      </c>
      <c r="BI267">
        <v>0.35299999999999998</v>
      </c>
      <c r="BJ267" t="s">
        <v>234</v>
      </c>
      <c r="BK267">
        <v>0.42109999999999997</v>
      </c>
      <c r="BL267">
        <v>0.16669999999999999</v>
      </c>
      <c r="BM267">
        <v>1.68</v>
      </c>
      <c r="BN267">
        <v>1.29</v>
      </c>
    </row>
    <row r="268" spans="1:66" x14ac:dyDescent="0.25">
      <c r="A268">
        <v>3</v>
      </c>
      <c r="B268">
        <v>-2</v>
      </c>
      <c r="C268">
        <v>2</v>
      </c>
      <c r="D268">
        <v>2.1</v>
      </c>
      <c r="E268">
        <v>3.2166666666666668</v>
      </c>
      <c r="F268">
        <v>3.2333333333333329</v>
      </c>
      <c r="G268" s="40">
        <v>0.33</v>
      </c>
      <c r="H268" s="40">
        <v>0.38</v>
      </c>
      <c r="I268" s="40">
        <f t="shared" si="2"/>
        <v>0.28999999999999992</v>
      </c>
      <c r="J268">
        <v>2.08</v>
      </c>
      <c r="K268">
        <v>3.1</v>
      </c>
      <c r="L268">
        <v>3.15</v>
      </c>
      <c r="M268">
        <v>2.1</v>
      </c>
      <c r="N268">
        <v>3.25</v>
      </c>
      <c r="O268">
        <v>3.25</v>
      </c>
      <c r="P268">
        <v>2.12</v>
      </c>
      <c r="Q268">
        <v>3.3</v>
      </c>
      <c r="R268">
        <v>3.3</v>
      </c>
      <c r="S268">
        <v>0.4393075600357399</v>
      </c>
      <c r="T268">
        <v>0.2706099876232001</v>
      </c>
      <c r="U268">
        <v>0.29008245234106</v>
      </c>
      <c r="V268">
        <v>0.43624161073825507</v>
      </c>
      <c r="W268">
        <v>0.28187919463087252</v>
      </c>
      <c r="X268">
        <v>0.28187919463087252</v>
      </c>
      <c r="Y268">
        <v>0.43766578249336868</v>
      </c>
      <c r="Z268">
        <v>0.28116710875331563</v>
      </c>
      <c r="AA268">
        <v>0.28116710875331563</v>
      </c>
      <c r="AB268">
        <v>0.43773831775578786</v>
      </c>
      <c r="AC268">
        <v>0.2778854303357961</v>
      </c>
      <c r="AD268">
        <v>0.28437625190841603</v>
      </c>
      <c r="AE268" t="s">
        <v>241</v>
      </c>
      <c r="AF268" t="s">
        <v>238</v>
      </c>
      <c r="AG268">
        <v>3.25</v>
      </c>
      <c r="AH268">
        <v>32</v>
      </c>
      <c r="AI268">
        <v>7</v>
      </c>
      <c r="AJ268">
        <v>0</v>
      </c>
      <c r="AK268">
        <v>26</v>
      </c>
      <c r="AL268">
        <v>341</v>
      </c>
      <c r="AM268">
        <v>2185</v>
      </c>
      <c r="AN268">
        <v>64</v>
      </c>
      <c r="AO268">
        <v>65</v>
      </c>
      <c r="AP268">
        <v>64</v>
      </c>
      <c r="AQ268">
        <v>1.5</v>
      </c>
      <c r="AR268" t="s">
        <v>46</v>
      </c>
      <c r="AS268" t="s">
        <v>243</v>
      </c>
      <c r="AT268" t="s">
        <v>238</v>
      </c>
      <c r="AU268">
        <v>3.43</v>
      </c>
      <c r="AV268">
        <v>35</v>
      </c>
      <c r="AW268">
        <v>11</v>
      </c>
      <c r="AX268">
        <v>0</v>
      </c>
      <c r="AY268">
        <v>26.5</v>
      </c>
      <c r="AZ268">
        <v>419</v>
      </c>
      <c r="BA268">
        <v>1470</v>
      </c>
      <c r="BB268">
        <v>62</v>
      </c>
      <c r="BC268">
        <v>60</v>
      </c>
      <c r="BD268">
        <v>61</v>
      </c>
      <c r="BE268">
        <v>1</v>
      </c>
      <c r="BF268" t="s">
        <v>46</v>
      </c>
      <c r="BG268">
        <v>11</v>
      </c>
      <c r="BH268">
        <v>24</v>
      </c>
      <c r="BI268">
        <v>0.5</v>
      </c>
      <c r="BJ268" t="s">
        <v>238</v>
      </c>
      <c r="BK268">
        <v>0.28210000000000002</v>
      </c>
      <c r="BL268">
        <v>0.27029999999999998</v>
      </c>
      <c r="BM268">
        <v>1.53</v>
      </c>
      <c r="BN268">
        <v>1.1399999999999999</v>
      </c>
    </row>
    <row r="269" spans="1:66" x14ac:dyDescent="0.25">
      <c r="A269">
        <v>1</v>
      </c>
      <c r="B269">
        <v>2</v>
      </c>
      <c r="C269">
        <v>6</v>
      </c>
      <c r="D269">
        <v>1.89</v>
      </c>
      <c r="E269">
        <v>3.4666666666666663</v>
      </c>
      <c r="F269">
        <v>4.1833333333333336</v>
      </c>
      <c r="G269" s="40">
        <v>0.34</v>
      </c>
      <c r="H269" s="40">
        <v>0.27</v>
      </c>
      <c r="I269" s="40">
        <f t="shared" si="2"/>
        <v>0.3899999999999999</v>
      </c>
      <c r="J269">
        <v>1.91</v>
      </c>
      <c r="K269">
        <v>3.5</v>
      </c>
      <c r="L269">
        <v>4.3</v>
      </c>
      <c r="M269">
        <v>1.88</v>
      </c>
      <c r="N269">
        <v>3.55</v>
      </c>
      <c r="O269">
        <v>4.05</v>
      </c>
      <c r="P269">
        <v>1.88</v>
      </c>
      <c r="Q269">
        <v>3.35</v>
      </c>
      <c r="R269">
        <v>4.2</v>
      </c>
      <c r="S269">
        <v>0.52770109715250157</v>
      </c>
      <c r="T269">
        <v>0.23790143876348027</v>
      </c>
      <c r="U269">
        <v>0.23439746408401813</v>
      </c>
      <c r="V269">
        <v>0.50156111004517612</v>
      </c>
      <c r="W269">
        <v>0.26561546109434686</v>
      </c>
      <c r="X269">
        <v>0.23282342886047686</v>
      </c>
      <c r="Y269">
        <v>0.49780639682988964</v>
      </c>
      <c r="Z269">
        <v>0.2793659779224455</v>
      </c>
      <c r="AA269">
        <v>0.22282762524766489</v>
      </c>
      <c r="AB269">
        <v>0.50902286800918917</v>
      </c>
      <c r="AC269">
        <v>0.26096095926009089</v>
      </c>
      <c r="AD269">
        <v>0.23001617273071995</v>
      </c>
      <c r="AE269" t="s">
        <v>156</v>
      </c>
      <c r="AF269" t="s">
        <v>141</v>
      </c>
      <c r="AG269">
        <v>84.05</v>
      </c>
      <c r="AH269">
        <v>33</v>
      </c>
      <c r="AI269">
        <v>9</v>
      </c>
      <c r="AJ269">
        <v>5</v>
      </c>
      <c r="AK269">
        <v>26.2</v>
      </c>
      <c r="AL269">
        <v>177</v>
      </c>
      <c r="AM269">
        <v>3663</v>
      </c>
      <c r="AN269">
        <v>76</v>
      </c>
      <c r="AO269">
        <v>75</v>
      </c>
      <c r="AP269">
        <v>76</v>
      </c>
      <c r="AQ269">
        <v>4</v>
      </c>
      <c r="AR269" t="s">
        <v>43</v>
      </c>
      <c r="AS269" t="s">
        <v>150</v>
      </c>
      <c r="AT269" t="s">
        <v>141</v>
      </c>
      <c r="AU269">
        <v>60.93</v>
      </c>
      <c r="AV269">
        <v>23</v>
      </c>
      <c r="AW269">
        <v>8</v>
      </c>
      <c r="AX269">
        <v>4</v>
      </c>
      <c r="AY269">
        <v>28.2</v>
      </c>
      <c r="AZ269">
        <v>103</v>
      </c>
      <c r="BA269">
        <v>4803</v>
      </c>
      <c r="BB269">
        <v>76</v>
      </c>
      <c r="BC269">
        <v>75</v>
      </c>
      <c r="BD269">
        <v>75</v>
      </c>
      <c r="BE269">
        <v>4</v>
      </c>
      <c r="BF269" t="s">
        <v>46</v>
      </c>
      <c r="BG269">
        <v>-4</v>
      </c>
      <c r="BH269">
        <v>-7</v>
      </c>
      <c r="BI269">
        <v>0.222</v>
      </c>
      <c r="BJ269" t="s">
        <v>270</v>
      </c>
      <c r="BK269">
        <v>0.25640000000000002</v>
      </c>
      <c r="BL269">
        <v>0.4889</v>
      </c>
      <c r="BM269">
        <v>0.9</v>
      </c>
      <c r="BN269">
        <v>1.47</v>
      </c>
    </row>
    <row r="270" spans="1:66" x14ac:dyDescent="0.25">
      <c r="A270">
        <v>3</v>
      </c>
      <c r="B270">
        <v>-1</v>
      </c>
      <c r="C270">
        <v>1</v>
      </c>
      <c r="D270">
        <v>5.7166666666666659</v>
      </c>
      <c r="E270">
        <v>4.2</v>
      </c>
      <c r="F270">
        <v>1.55</v>
      </c>
      <c r="G270" s="40">
        <v>0.2</v>
      </c>
      <c r="H270" s="40">
        <v>0.36</v>
      </c>
      <c r="I270" s="40">
        <f t="shared" si="2"/>
        <v>0.44000000000000006</v>
      </c>
      <c r="J270">
        <v>5.8</v>
      </c>
      <c r="K270">
        <v>4.4000000000000004</v>
      </c>
      <c r="L270">
        <v>1.55</v>
      </c>
      <c r="M270">
        <v>5.75</v>
      </c>
      <c r="N270">
        <v>4</v>
      </c>
      <c r="O270">
        <v>1.57</v>
      </c>
      <c r="P270">
        <v>5.6</v>
      </c>
      <c r="Q270">
        <v>4.2</v>
      </c>
      <c r="R270">
        <v>1.53</v>
      </c>
      <c r="S270">
        <v>0.17424425440079885</v>
      </c>
      <c r="T270">
        <v>0.17374498719621204</v>
      </c>
      <c r="U270">
        <v>0.65201075840298917</v>
      </c>
      <c r="V270">
        <v>0.16393656594661621</v>
      </c>
      <c r="W270">
        <v>0.23565881354826079</v>
      </c>
      <c r="X270">
        <v>0.600404620505123</v>
      </c>
      <c r="Y270">
        <v>0.16684841875681572</v>
      </c>
      <c r="Z270">
        <v>0.2224645583424209</v>
      </c>
      <c r="AA270">
        <v>0.61068702290076338</v>
      </c>
      <c r="AB270">
        <v>0.16834307970141027</v>
      </c>
      <c r="AC270">
        <v>0.21062278636229792</v>
      </c>
      <c r="AD270">
        <v>0.62103413393629181</v>
      </c>
      <c r="AE270" t="s">
        <v>148</v>
      </c>
      <c r="AF270" t="s">
        <v>141</v>
      </c>
      <c r="AG270">
        <v>216.3</v>
      </c>
      <c r="AH270">
        <v>26</v>
      </c>
      <c r="AI270">
        <v>1</v>
      </c>
      <c r="AJ270">
        <v>3</v>
      </c>
      <c r="AK270">
        <v>26.7</v>
      </c>
      <c r="AL270">
        <v>61</v>
      </c>
      <c r="AM270">
        <v>6139</v>
      </c>
      <c r="AN270">
        <v>79</v>
      </c>
      <c r="AO270">
        <v>79</v>
      </c>
      <c r="AP270">
        <v>79</v>
      </c>
      <c r="AQ270">
        <v>4.5</v>
      </c>
      <c r="AR270" t="s">
        <v>29</v>
      </c>
      <c r="AS270" t="s">
        <v>144</v>
      </c>
      <c r="AT270" t="s">
        <v>141</v>
      </c>
      <c r="AU270">
        <v>1080</v>
      </c>
      <c r="AV270">
        <v>34</v>
      </c>
      <c r="AW270">
        <v>20</v>
      </c>
      <c r="AX270">
        <v>21</v>
      </c>
      <c r="AY270">
        <v>26.1</v>
      </c>
      <c r="AZ270">
        <v>18</v>
      </c>
      <c r="BA270">
        <v>8949</v>
      </c>
      <c r="BB270">
        <v>85</v>
      </c>
      <c r="BC270">
        <v>87</v>
      </c>
      <c r="BD270">
        <v>85</v>
      </c>
      <c r="BE270">
        <v>5</v>
      </c>
      <c r="BF270" t="s">
        <v>28</v>
      </c>
      <c r="BG270">
        <v>-120</v>
      </c>
      <c r="BH270">
        <v>-88</v>
      </c>
      <c r="BI270">
        <v>0.28899999999999998</v>
      </c>
      <c r="BJ270" t="s">
        <v>270</v>
      </c>
      <c r="BK270">
        <v>0.36959999999999998</v>
      </c>
      <c r="BL270">
        <v>0.62749999999999995</v>
      </c>
      <c r="BM270">
        <v>1.2</v>
      </c>
      <c r="BN270">
        <v>1.94</v>
      </c>
    </row>
    <row r="271" spans="1:66" x14ac:dyDescent="0.25">
      <c r="A271">
        <v>1</v>
      </c>
      <c r="B271">
        <v>1</v>
      </c>
      <c r="C271">
        <v>3</v>
      </c>
      <c r="D271">
        <v>1.2066666666666668</v>
      </c>
      <c r="E271">
        <v>6.3833333333333329</v>
      </c>
      <c r="F271">
        <v>14.333333333333334</v>
      </c>
      <c r="G271" s="40">
        <v>0.54</v>
      </c>
      <c r="H271" s="40">
        <v>0.25</v>
      </c>
      <c r="I271" s="40">
        <f t="shared" si="2"/>
        <v>0.20999999999999996</v>
      </c>
      <c r="J271">
        <v>1.23</v>
      </c>
      <c r="K271">
        <v>6.25</v>
      </c>
      <c r="L271">
        <v>14</v>
      </c>
      <c r="M271">
        <v>1.25</v>
      </c>
      <c r="N271">
        <v>5.5</v>
      </c>
      <c r="O271">
        <v>13</v>
      </c>
      <c r="P271">
        <v>1.1399999999999999</v>
      </c>
      <c r="Q271">
        <v>7.4</v>
      </c>
      <c r="R271">
        <v>16</v>
      </c>
      <c r="S271">
        <v>0.83291843735906934</v>
      </c>
      <c r="T271">
        <v>9.3903728501526604E-2</v>
      </c>
      <c r="U271">
        <v>7.3177834139403944E-2</v>
      </c>
      <c r="V271">
        <v>0.75561426684280053</v>
      </c>
      <c r="W271">
        <v>0.17173051519154556</v>
      </c>
      <c r="X271">
        <v>7.2655217965653898E-2</v>
      </c>
      <c r="Y271">
        <v>0.81612396261269959</v>
      </c>
      <c r="Z271">
        <v>0.1257272050511456</v>
      </c>
      <c r="AA271">
        <v>5.8148832336154838E-2</v>
      </c>
      <c r="AB271">
        <v>0.80155222227152312</v>
      </c>
      <c r="AC271">
        <v>0.13045381624807259</v>
      </c>
      <c r="AD271">
        <v>6.7993961480404222E-2</v>
      </c>
      <c r="AE271" t="s">
        <v>143</v>
      </c>
      <c r="AF271" t="s">
        <v>141</v>
      </c>
      <c r="AG271">
        <v>764.3</v>
      </c>
      <c r="AH271">
        <v>31</v>
      </c>
      <c r="AI271">
        <v>17</v>
      </c>
      <c r="AJ271">
        <v>18</v>
      </c>
      <c r="AK271">
        <v>25.2</v>
      </c>
      <c r="AL271">
        <v>13</v>
      </c>
      <c r="AM271">
        <v>9329</v>
      </c>
      <c r="AN271">
        <v>81</v>
      </c>
      <c r="AO271">
        <v>83</v>
      </c>
      <c r="AP271">
        <v>82</v>
      </c>
      <c r="AQ271">
        <v>5</v>
      </c>
      <c r="AR271" t="s">
        <v>29</v>
      </c>
      <c r="AS271" t="s">
        <v>157</v>
      </c>
      <c r="AT271" t="s">
        <v>141</v>
      </c>
      <c r="AU271">
        <v>70.53</v>
      </c>
      <c r="AV271">
        <v>26</v>
      </c>
      <c r="AW271">
        <v>3</v>
      </c>
      <c r="AX271">
        <v>0</v>
      </c>
      <c r="AY271">
        <v>28.5</v>
      </c>
      <c r="AZ271">
        <v>202</v>
      </c>
      <c r="BA271">
        <v>3267</v>
      </c>
      <c r="BB271">
        <v>76</v>
      </c>
      <c r="BC271">
        <v>74</v>
      </c>
      <c r="BD271">
        <v>74</v>
      </c>
      <c r="BE271">
        <v>3.5</v>
      </c>
      <c r="BF271" t="s">
        <v>46</v>
      </c>
      <c r="BG271">
        <v>40</v>
      </c>
      <c r="BH271">
        <v>64</v>
      </c>
      <c r="BI271">
        <v>0.52500000000000002</v>
      </c>
      <c r="BJ271" t="s">
        <v>270</v>
      </c>
      <c r="BK271">
        <v>0.48</v>
      </c>
      <c r="BL271">
        <v>0.38100000000000001</v>
      </c>
      <c r="BM271">
        <v>1.36</v>
      </c>
      <c r="BN271">
        <v>1.31</v>
      </c>
    </row>
    <row r="272" spans="1:66" x14ac:dyDescent="0.25">
      <c r="A272">
        <v>3</v>
      </c>
      <c r="B272">
        <v>-1</v>
      </c>
      <c r="C272">
        <v>3</v>
      </c>
      <c r="D272">
        <v>1.2466666666666666</v>
      </c>
      <c r="E272">
        <v>6.3833333333333329</v>
      </c>
      <c r="F272">
        <v>10.25</v>
      </c>
      <c r="G272" s="40">
        <v>0.42</v>
      </c>
      <c r="H272" s="40">
        <v>0.35</v>
      </c>
      <c r="I272" s="40">
        <f t="shared" si="2"/>
        <v>0.23000000000000009</v>
      </c>
      <c r="J272">
        <v>1.25</v>
      </c>
      <c r="K272">
        <v>6.75</v>
      </c>
      <c r="L272">
        <v>10.5</v>
      </c>
      <c r="M272">
        <v>1.27</v>
      </c>
      <c r="N272">
        <v>5.8</v>
      </c>
      <c r="O272">
        <v>10</v>
      </c>
      <c r="P272">
        <v>1.22</v>
      </c>
      <c r="Q272">
        <v>6.6</v>
      </c>
      <c r="R272">
        <v>10.25</v>
      </c>
      <c r="S272">
        <v>0.80707148347425051</v>
      </c>
      <c r="T272">
        <v>9.6848578016910047E-2</v>
      </c>
      <c r="U272">
        <v>9.6079938508839349E-2</v>
      </c>
      <c r="V272">
        <v>0.74296108421079587</v>
      </c>
      <c r="W272">
        <v>0.16268285809443289</v>
      </c>
      <c r="X272">
        <v>9.4356057694771095E-2</v>
      </c>
      <c r="Y272">
        <v>0.76694593399616806</v>
      </c>
      <c r="Z272">
        <v>0.14176879385989774</v>
      </c>
      <c r="AA272">
        <v>9.1285272143934157E-2</v>
      </c>
      <c r="AB272">
        <v>0.77232616722707148</v>
      </c>
      <c r="AC272">
        <v>0.13376674332374691</v>
      </c>
      <c r="AD272">
        <v>9.3907089449181524E-2</v>
      </c>
      <c r="AE272" t="s">
        <v>137</v>
      </c>
      <c r="AF272" t="s">
        <v>141</v>
      </c>
      <c r="AG272">
        <v>992.2</v>
      </c>
      <c r="AH272">
        <v>32</v>
      </c>
      <c r="AI272">
        <v>20</v>
      </c>
      <c r="AJ272">
        <v>17</v>
      </c>
      <c r="AK272">
        <v>25.9</v>
      </c>
      <c r="AL272">
        <v>3</v>
      </c>
      <c r="AM272">
        <v>13105</v>
      </c>
      <c r="AN272">
        <v>88</v>
      </c>
      <c r="AO272">
        <v>85</v>
      </c>
      <c r="AP272">
        <v>85</v>
      </c>
      <c r="AQ272">
        <v>5</v>
      </c>
      <c r="AR272" t="s">
        <v>28</v>
      </c>
      <c r="AS272" t="s">
        <v>153</v>
      </c>
      <c r="AT272" t="s">
        <v>141</v>
      </c>
      <c r="AU272">
        <v>128.25</v>
      </c>
      <c r="AV272">
        <v>26</v>
      </c>
      <c r="AW272">
        <v>8</v>
      </c>
      <c r="AX272">
        <v>4</v>
      </c>
      <c r="AY272">
        <v>26.4</v>
      </c>
      <c r="AZ272">
        <v>138</v>
      </c>
      <c r="BA272">
        <v>4059</v>
      </c>
      <c r="BB272">
        <v>80</v>
      </c>
      <c r="BC272">
        <v>77</v>
      </c>
      <c r="BD272">
        <v>76</v>
      </c>
      <c r="BE272">
        <v>4</v>
      </c>
      <c r="BF272" t="s">
        <v>29</v>
      </c>
      <c r="BG272">
        <v>120</v>
      </c>
      <c r="BH272">
        <v>151</v>
      </c>
      <c r="BI272">
        <v>0.55700000000000005</v>
      </c>
      <c r="BJ272" t="s">
        <v>270</v>
      </c>
      <c r="BK272">
        <v>0.62749999999999995</v>
      </c>
      <c r="BL272">
        <v>0.2195</v>
      </c>
      <c r="BM272">
        <v>2.16</v>
      </c>
      <c r="BN272">
        <v>1.07</v>
      </c>
    </row>
    <row r="273" spans="1:66" x14ac:dyDescent="0.25">
      <c r="A273">
        <v>1</v>
      </c>
      <c r="B273">
        <v>1</v>
      </c>
      <c r="C273">
        <v>3</v>
      </c>
      <c r="D273">
        <v>1.5599999999999998</v>
      </c>
      <c r="E273">
        <v>4.0666666666666664</v>
      </c>
      <c r="F273">
        <v>5.8</v>
      </c>
      <c r="G273" s="40">
        <v>0.31</v>
      </c>
      <c r="H273" s="40">
        <v>0.4</v>
      </c>
      <c r="I273" s="40">
        <f t="shared" si="2"/>
        <v>0.28999999999999992</v>
      </c>
      <c r="J273">
        <v>1.58</v>
      </c>
      <c r="K273">
        <v>4.0999999999999996</v>
      </c>
      <c r="L273">
        <v>5.8</v>
      </c>
      <c r="M273">
        <v>1.6</v>
      </c>
      <c r="N273">
        <v>4</v>
      </c>
      <c r="O273">
        <v>5.5</v>
      </c>
      <c r="P273">
        <v>1.5</v>
      </c>
      <c r="Q273">
        <v>4.0999999999999996</v>
      </c>
      <c r="R273">
        <v>6.1</v>
      </c>
      <c r="S273">
        <v>0.63956260701822831</v>
      </c>
      <c r="T273">
        <v>0.18621171727680605</v>
      </c>
      <c r="U273">
        <v>0.17422567570496567</v>
      </c>
      <c r="V273">
        <v>0.59139784946236562</v>
      </c>
      <c r="W273">
        <v>0.23655913978494628</v>
      </c>
      <c r="X273">
        <v>0.17204301075268819</v>
      </c>
      <c r="Y273">
        <v>0.62044157777226505</v>
      </c>
      <c r="Z273">
        <v>0.22699082113619451</v>
      </c>
      <c r="AA273">
        <v>0.15256760109154058</v>
      </c>
      <c r="AB273">
        <v>0.6171340114176197</v>
      </c>
      <c r="AC273">
        <v>0.21658722606598227</v>
      </c>
      <c r="AD273">
        <v>0.16627876251639814</v>
      </c>
      <c r="AE273" t="s">
        <v>145</v>
      </c>
      <c r="AF273" t="s">
        <v>141</v>
      </c>
      <c r="AG273">
        <v>155.69999999999999</v>
      </c>
      <c r="AH273">
        <v>26</v>
      </c>
      <c r="AI273">
        <v>14</v>
      </c>
      <c r="AJ273">
        <v>8</v>
      </c>
      <c r="AK273">
        <v>27.3</v>
      </c>
      <c r="AL273">
        <v>27</v>
      </c>
      <c r="AM273">
        <v>7881</v>
      </c>
      <c r="AN273">
        <v>80</v>
      </c>
      <c r="AO273">
        <v>77</v>
      </c>
      <c r="AP273">
        <v>78</v>
      </c>
      <c r="AQ273">
        <v>4</v>
      </c>
      <c r="AR273" t="s">
        <v>46</v>
      </c>
      <c r="AS273" t="s">
        <v>151</v>
      </c>
      <c r="AT273" t="s">
        <v>141</v>
      </c>
      <c r="AU273">
        <v>106.95</v>
      </c>
      <c r="AV273">
        <v>31</v>
      </c>
      <c r="AW273">
        <v>8</v>
      </c>
      <c r="AX273">
        <v>3</v>
      </c>
      <c r="AY273">
        <v>27.6</v>
      </c>
      <c r="AZ273">
        <v>116</v>
      </c>
      <c r="BA273">
        <v>4556</v>
      </c>
      <c r="BB273">
        <v>77</v>
      </c>
      <c r="BC273">
        <v>77</v>
      </c>
      <c r="BD273">
        <v>76</v>
      </c>
      <c r="BE273">
        <v>4</v>
      </c>
      <c r="BF273" t="s">
        <v>29</v>
      </c>
      <c r="BG273">
        <v>0</v>
      </c>
      <c r="BH273">
        <v>7</v>
      </c>
      <c r="BI273">
        <v>0.26800000000000002</v>
      </c>
      <c r="BJ273" t="s">
        <v>270</v>
      </c>
      <c r="BK273">
        <v>0.40820000000000001</v>
      </c>
      <c r="BL273">
        <v>0.3659</v>
      </c>
      <c r="BM273">
        <v>1.1399999999999999</v>
      </c>
      <c r="BN273">
        <v>1.32</v>
      </c>
    </row>
    <row r="274" spans="1:66" x14ac:dyDescent="0.25">
      <c r="A274">
        <v>1</v>
      </c>
      <c r="B274">
        <v>1</v>
      </c>
      <c r="C274">
        <v>1</v>
      </c>
      <c r="D274">
        <v>1.8833333333333335</v>
      </c>
      <c r="E274">
        <v>3.6</v>
      </c>
      <c r="F274">
        <v>4.0166666666666666</v>
      </c>
      <c r="G274" s="40">
        <v>0.5</v>
      </c>
      <c r="H274" s="40">
        <v>0.33</v>
      </c>
      <c r="I274" s="40">
        <f t="shared" si="2"/>
        <v>0.16999999999999998</v>
      </c>
      <c r="J274">
        <v>1.88</v>
      </c>
      <c r="K274">
        <v>3.75</v>
      </c>
      <c r="L274">
        <v>4.0999999999999996</v>
      </c>
      <c r="M274">
        <v>1.9</v>
      </c>
      <c r="N274">
        <v>3.5</v>
      </c>
      <c r="O274">
        <v>4</v>
      </c>
      <c r="P274">
        <v>1.87</v>
      </c>
      <c r="Q274">
        <v>3.55</v>
      </c>
      <c r="R274">
        <v>3.95</v>
      </c>
      <c r="S274">
        <v>0.53278372458895018</v>
      </c>
      <c r="T274">
        <v>0.22291544559953105</v>
      </c>
      <c r="U274">
        <v>0.24430082981151865</v>
      </c>
      <c r="V274">
        <v>0.49557522123893805</v>
      </c>
      <c r="W274">
        <v>0.26902654867256637</v>
      </c>
      <c r="X274">
        <v>0.23539823008849556</v>
      </c>
      <c r="Y274">
        <v>0.49995543274801668</v>
      </c>
      <c r="Z274">
        <v>0.26335680541937784</v>
      </c>
      <c r="AA274">
        <v>0.2366877618326054</v>
      </c>
      <c r="AB274">
        <v>0.50943812619196827</v>
      </c>
      <c r="AC274">
        <v>0.25176626656382511</v>
      </c>
      <c r="AD274">
        <v>0.23879560724420654</v>
      </c>
      <c r="AE274" t="s">
        <v>152</v>
      </c>
      <c r="AF274" t="s">
        <v>141</v>
      </c>
      <c r="AG274">
        <v>214.25</v>
      </c>
      <c r="AH274">
        <v>24</v>
      </c>
      <c r="AI274">
        <v>10</v>
      </c>
      <c r="AJ274">
        <v>7</v>
      </c>
      <c r="AK274">
        <v>27.3</v>
      </c>
      <c r="AL274">
        <v>125</v>
      </c>
      <c r="AM274">
        <v>4257</v>
      </c>
      <c r="AN274">
        <v>81</v>
      </c>
      <c r="AO274">
        <v>81</v>
      </c>
      <c r="AP274">
        <v>78</v>
      </c>
      <c r="AQ274">
        <v>4.5</v>
      </c>
      <c r="AR274" t="s">
        <v>29</v>
      </c>
      <c r="AS274" t="s">
        <v>158</v>
      </c>
      <c r="AT274" t="s">
        <v>141</v>
      </c>
      <c r="AU274">
        <v>23.13</v>
      </c>
      <c r="AV274">
        <v>21</v>
      </c>
      <c r="AW274">
        <v>5</v>
      </c>
      <c r="AX274">
        <v>1</v>
      </c>
      <c r="AY274">
        <v>27.5</v>
      </c>
      <c r="AZ274">
        <v>581</v>
      </c>
      <c r="BA274">
        <v>1089</v>
      </c>
      <c r="BB274">
        <v>73</v>
      </c>
      <c r="BC274">
        <v>72</v>
      </c>
      <c r="BD274">
        <v>72</v>
      </c>
      <c r="BE274">
        <v>3.5</v>
      </c>
      <c r="BF274" t="s">
        <v>29</v>
      </c>
      <c r="BG274">
        <v>5</v>
      </c>
      <c r="BH274">
        <v>11</v>
      </c>
      <c r="BI274">
        <v>0.57099999999999995</v>
      </c>
      <c r="BJ274" t="s">
        <v>270</v>
      </c>
      <c r="BK274">
        <v>0.29970000000000002</v>
      </c>
      <c r="BL274">
        <v>0.5</v>
      </c>
      <c r="BM274">
        <v>1.39</v>
      </c>
      <c r="BN274">
        <v>1.3</v>
      </c>
    </row>
    <row r="275" spans="1:66" x14ac:dyDescent="0.25">
      <c r="A275">
        <v>1</v>
      </c>
      <c r="B275">
        <v>3</v>
      </c>
      <c r="C275">
        <v>5</v>
      </c>
      <c r="D275">
        <v>1.6199999999999999</v>
      </c>
      <c r="E275">
        <v>3.8166666666666664</v>
      </c>
      <c r="F275">
        <v>5.55</v>
      </c>
      <c r="G275" s="40">
        <v>0.48</v>
      </c>
      <c r="H275" s="40">
        <v>0.35</v>
      </c>
      <c r="I275" s="40">
        <f t="shared" si="2"/>
        <v>0.17000000000000004</v>
      </c>
      <c r="J275">
        <v>1.63</v>
      </c>
      <c r="K275">
        <v>3.85</v>
      </c>
      <c r="L275">
        <v>5.8</v>
      </c>
      <c r="M275">
        <v>1.65</v>
      </c>
      <c r="N275">
        <v>3.75</v>
      </c>
      <c r="O275">
        <v>5.25</v>
      </c>
      <c r="P275">
        <v>1.58</v>
      </c>
      <c r="Q275">
        <v>3.85</v>
      </c>
      <c r="R275">
        <v>5.6</v>
      </c>
      <c r="S275">
        <v>0.62499341013426468</v>
      </c>
      <c r="T275">
        <v>0.19936189012110589</v>
      </c>
      <c r="U275">
        <v>0.17564469974462954</v>
      </c>
      <c r="V275">
        <v>0.57003257328990231</v>
      </c>
      <c r="W275">
        <v>0.250814332247557</v>
      </c>
      <c r="X275">
        <v>0.17915309446254071</v>
      </c>
      <c r="Y275">
        <v>0.59083061576827167</v>
      </c>
      <c r="Z275">
        <v>0.24247074621139464</v>
      </c>
      <c r="AA275">
        <v>0.16669863802033383</v>
      </c>
      <c r="AB275">
        <v>0.59528553306414622</v>
      </c>
      <c r="AC275">
        <v>0.2308823228600192</v>
      </c>
      <c r="AD275">
        <v>0.17383214407583469</v>
      </c>
      <c r="AE275" t="s">
        <v>147</v>
      </c>
      <c r="AF275" t="s">
        <v>141</v>
      </c>
      <c r="AG275">
        <v>327.10000000000002</v>
      </c>
      <c r="AH275">
        <v>29</v>
      </c>
      <c r="AI275">
        <v>7</v>
      </c>
      <c r="AJ275">
        <v>5</v>
      </c>
      <c r="AK275">
        <v>25.9</v>
      </c>
      <c r="AL275">
        <v>32</v>
      </c>
      <c r="AM275">
        <v>7427</v>
      </c>
      <c r="AN275">
        <v>81</v>
      </c>
      <c r="AO275">
        <v>80</v>
      </c>
      <c r="AP275">
        <v>77</v>
      </c>
      <c r="AQ275">
        <v>4.5</v>
      </c>
      <c r="AR275" t="s">
        <v>28</v>
      </c>
      <c r="AS275" t="s">
        <v>154</v>
      </c>
      <c r="AT275" t="s">
        <v>141</v>
      </c>
      <c r="AU275">
        <v>61.55</v>
      </c>
      <c r="AV275">
        <v>28</v>
      </c>
      <c r="AW275">
        <v>5</v>
      </c>
      <c r="AX275">
        <v>3</v>
      </c>
      <c r="AY275">
        <v>27.8</v>
      </c>
      <c r="AZ275">
        <v>139</v>
      </c>
      <c r="BA275">
        <v>4059</v>
      </c>
      <c r="BB275">
        <v>76</v>
      </c>
      <c r="BC275">
        <v>76</v>
      </c>
      <c r="BD275">
        <v>73</v>
      </c>
      <c r="BE275">
        <v>4</v>
      </c>
      <c r="BF275" t="s">
        <v>43</v>
      </c>
      <c r="BG275">
        <v>35</v>
      </c>
      <c r="BH275">
        <v>57</v>
      </c>
      <c r="BI275">
        <v>0.40400000000000003</v>
      </c>
      <c r="BJ275" t="s">
        <v>270</v>
      </c>
      <c r="BK275">
        <v>0.52170000000000005</v>
      </c>
      <c r="BL275">
        <v>0.24390000000000001</v>
      </c>
      <c r="BM275">
        <v>1.76</v>
      </c>
      <c r="BN275">
        <v>0.9</v>
      </c>
    </row>
    <row r="276" spans="1:66" x14ac:dyDescent="0.25">
      <c r="A276">
        <v>1</v>
      </c>
      <c r="B276">
        <v>3</v>
      </c>
      <c r="C276">
        <v>5</v>
      </c>
      <c r="D276">
        <v>3.0100000000000002</v>
      </c>
      <c r="E276">
        <v>3.3833333333333333</v>
      </c>
      <c r="F276">
        <v>2.313333333333333</v>
      </c>
      <c r="G276" s="40">
        <v>0.37</v>
      </c>
      <c r="H276" s="40">
        <v>0.35</v>
      </c>
      <c r="I276" s="40">
        <f t="shared" si="2"/>
        <v>0.28000000000000003</v>
      </c>
      <c r="J276">
        <v>3.1</v>
      </c>
      <c r="K276">
        <v>3.45</v>
      </c>
      <c r="L276">
        <v>2.3199999999999998</v>
      </c>
      <c r="M276">
        <v>3</v>
      </c>
      <c r="N276">
        <v>3.35</v>
      </c>
      <c r="O276">
        <v>2.2999999999999998</v>
      </c>
      <c r="P276">
        <v>2.93</v>
      </c>
      <c r="Q276">
        <v>3.35</v>
      </c>
      <c r="R276">
        <v>2.3199999999999998</v>
      </c>
      <c r="S276">
        <v>0.31951717071061264</v>
      </c>
      <c r="T276">
        <v>0.25354178221917212</v>
      </c>
      <c r="U276">
        <v>0.42694104707021524</v>
      </c>
      <c r="V276">
        <v>0.31251267491381057</v>
      </c>
      <c r="W276">
        <v>0.27986209693774083</v>
      </c>
      <c r="X276">
        <v>0.40762522814844865</v>
      </c>
      <c r="Y276">
        <v>0.31871921788305146</v>
      </c>
      <c r="Z276">
        <v>0.27876039056637042</v>
      </c>
      <c r="AA276">
        <v>0.40252039155057801</v>
      </c>
      <c r="AB276">
        <v>0.31691635450249156</v>
      </c>
      <c r="AC276">
        <v>0.27072142324109444</v>
      </c>
      <c r="AD276">
        <v>0.412362222256414</v>
      </c>
      <c r="AE276" t="s">
        <v>142</v>
      </c>
      <c r="AF276" t="s">
        <v>141</v>
      </c>
      <c r="AG276">
        <v>328.38</v>
      </c>
      <c r="AH276">
        <v>26</v>
      </c>
      <c r="AI276">
        <v>14</v>
      </c>
      <c r="AJ276">
        <v>8</v>
      </c>
      <c r="AK276">
        <v>25.8</v>
      </c>
      <c r="AL276">
        <v>11</v>
      </c>
      <c r="AM276">
        <v>9770</v>
      </c>
      <c r="AN276">
        <v>81</v>
      </c>
      <c r="AO276">
        <v>81</v>
      </c>
      <c r="AP276">
        <v>81</v>
      </c>
      <c r="AQ276">
        <v>4.5</v>
      </c>
      <c r="AR276" t="s">
        <v>29</v>
      </c>
      <c r="AS276" t="s">
        <v>155</v>
      </c>
      <c r="AT276" t="s">
        <v>141</v>
      </c>
      <c r="AU276">
        <v>46.75</v>
      </c>
      <c r="AV276">
        <v>22</v>
      </c>
      <c r="AW276">
        <v>6</v>
      </c>
      <c r="AX276">
        <v>1</v>
      </c>
      <c r="AY276">
        <v>29</v>
      </c>
      <c r="AZ276">
        <v>159</v>
      </c>
      <c r="BA276">
        <v>3861</v>
      </c>
      <c r="BB276">
        <v>77</v>
      </c>
      <c r="BC276">
        <v>78</v>
      </c>
      <c r="BD276">
        <v>75</v>
      </c>
      <c r="BE276">
        <v>4</v>
      </c>
      <c r="BF276" t="s">
        <v>46</v>
      </c>
      <c r="BG276">
        <v>0</v>
      </c>
      <c r="BH276">
        <v>1</v>
      </c>
      <c r="BI276">
        <v>0.308</v>
      </c>
      <c r="BJ276" t="s">
        <v>270</v>
      </c>
      <c r="BK276">
        <v>0.36</v>
      </c>
      <c r="BL276">
        <v>0.31709999999999999</v>
      </c>
      <c r="BM276">
        <v>1.24</v>
      </c>
      <c r="BN276">
        <v>1.1499999999999999</v>
      </c>
    </row>
    <row r="277" spans="1:66" x14ac:dyDescent="0.25">
      <c r="A277">
        <v>1</v>
      </c>
      <c r="B277">
        <v>3</v>
      </c>
      <c r="C277">
        <v>4</v>
      </c>
      <c r="D277">
        <v>2.36</v>
      </c>
      <c r="E277">
        <v>3.4666666666666668</v>
      </c>
      <c r="F277">
        <v>2.9266666666666672</v>
      </c>
      <c r="G277" s="40">
        <v>0.25</v>
      </c>
      <c r="H277" s="40">
        <v>0.34</v>
      </c>
      <c r="I277" s="40">
        <f t="shared" si="2"/>
        <v>0.41</v>
      </c>
      <c r="J277">
        <v>2.4300000000000002</v>
      </c>
      <c r="K277">
        <v>3.5</v>
      </c>
      <c r="L277">
        <v>2.9</v>
      </c>
      <c r="M277">
        <v>2.35</v>
      </c>
      <c r="N277">
        <v>3.45</v>
      </c>
      <c r="O277">
        <v>2.95</v>
      </c>
      <c r="P277">
        <v>2.2999999999999998</v>
      </c>
      <c r="Q277">
        <v>3.45</v>
      </c>
      <c r="R277">
        <v>2.93</v>
      </c>
      <c r="S277">
        <v>0.40747123638130106</v>
      </c>
      <c r="T277">
        <v>0.25109596899574682</v>
      </c>
      <c r="U277">
        <v>0.34143279462295223</v>
      </c>
      <c r="V277">
        <v>0.40358877763457912</v>
      </c>
      <c r="W277">
        <v>0.27490829780906112</v>
      </c>
      <c r="X277">
        <v>0.32150292455635965</v>
      </c>
      <c r="Y277">
        <v>0.40788863109048723</v>
      </c>
      <c r="Z277">
        <v>0.27192575406032482</v>
      </c>
      <c r="AA277">
        <v>0.32018561484918789</v>
      </c>
      <c r="AB277">
        <v>0.40631621503545579</v>
      </c>
      <c r="AC277">
        <v>0.2659766736217109</v>
      </c>
      <c r="AD277">
        <v>0.32770711134283331</v>
      </c>
      <c r="AE277" t="s">
        <v>149</v>
      </c>
      <c r="AF277" t="s">
        <v>141</v>
      </c>
      <c r="AG277">
        <v>271.52999999999997</v>
      </c>
      <c r="AH277">
        <v>27</v>
      </c>
      <c r="AI277">
        <v>6</v>
      </c>
      <c r="AJ277">
        <v>7</v>
      </c>
      <c r="AK277">
        <v>27.4</v>
      </c>
      <c r="AL277">
        <v>77</v>
      </c>
      <c r="AM277">
        <v>5396</v>
      </c>
      <c r="AN277">
        <v>80</v>
      </c>
      <c r="AO277">
        <v>79</v>
      </c>
      <c r="AP277">
        <v>78</v>
      </c>
      <c r="AQ277">
        <v>4.5</v>
      </c>
      <c r="AR277" t="s">
        <v>29</v>
      </c>
      <c r="AS277" t="s">
        <v>146</v>
      </c>
      <c r="AT277" t="s">
        <v>141</v>
      </c>
      <c r="AU277">
        <v>318</v>
      </c>
      <c r="AV277">
        <v>29</v>
      </c>
      <c r="AW277">
        <v>13</v>
      </c>
      <c r="AX277">
        <v>7</v>
      </c>
      <c r="AY277">
        <v>27.2</v>
      </c>
      <c r="AZ277">
        <v>31</v>
      </c>
      <c r="BA277">
        <v>7447</v>
      </c>
      <c r="BB277">
        <v>79</v>
      </c>
      <c r="BC277">
        <v>81</v>
      </c>
      <c r="BD277">
        <v>80</v>
      </c>
      <c r="BE277">
        <v>4.5</v>
      </c>
      <c r="BF277" t="s">
        <v>29</v>
      </c>
      <c r="BG277">
        <v>-17</v>
      </c>
      <c r="BH277">
        <v>-19</v>
      </c>
      <c r="BI277">
        <v>0.245</v>
      </c>
      <c r="BJ277" t="s">
        <v>270</v>
      </c>
      <c r="BK277">
        <v>0.51160000000000005</v>
      </c>
      <c r="BL277">
        <v>0.57410000000000005</v>
      </c>
      <c r="BM277">
        <v>1.79</v>
      </c>
      <c r="BN277">
        <v>1.61</v>
      </c>
    </row>
    <row r="278" spans="1:66" x14ac:dyDescent="0.25">
      <c r="A278">
        <v>1</v>
      </c>
      <c r="B278">
        <v>2</v>
      </c>
      <c r="C278">
        <v>2</v>
      </c>
      <c r="D278">
        <v>1.5599999999999998</v>
      </c>
      <c r="E278">
        <v>4.1166666666666671</v>
      </c>
      <c r="F278">
        <v>6.0666666666666664</v>
      </c>
      <c r="G278" s="40">
        <v>0.4</v>
      </c>
      <c r="H278" s="40">
        <v>0.31</v>
      </c>
      <c r="I278" s="40">
        <f t="shared" si="2"/>
        <v>0.28999999999999998</v>
      </c>
      <c r="J278">
        <v>1.54</v>
      </c>
      <c r="K278">
        <v>4.2</v>
      </c>
      <c r="L278">
        <v>6.4</v>
      </c>
      <c r="M278">
        <v>1.58</v>
      </c>
      <c r="N278">
        <v>3.95</v>
      </c>
      <c r="O278">
        <v>5.8</v>
      </c>
      <c r="P278">
        <v>1.56</v>
      </c>
      <c r="Q278">
        <v>4.2</v>
      </c>
      <c r="R278">
        <v>6</v>
      </c>
      <c r="S278">
        <v>0.66286340457641046</v>
      </c>
      <c r="T278">
        <v>0.17763508869739075</v>
      </c>
      <c r="U278">
        <v>0.15950150672619878</v>
      </c>
      <c r="V278">
        <v>0.59793814432989689</v>
      </c>
      <c r="W278">
        <v>0.23917525773195875</v>
      </c>
      <c r="X278">
        <v>0.16288659793814433</v>
      </c>
      <c r="Y278">
        <v>0.61295971978984243</v>
      </c>
      <c r="Z278">
        <v>0.22767075306479859</v>
      </c>
      <c r="AA278">
        <v>0.15936952714535901</v>
      </c>
      <c r="AB278">
        <v>0.62458708956538322</v>
      </c>
      <c r="AC278">
        <v>0.21482703316471605</v>
      </c>
      <c r="AD278">
        <v>0.1605858772699007</v>
      </c>
      <c r="AE278" t="s">
        <v>259</v>
      </c>
      <c r="AF278" t="s">
        <v>253</v>
      </c>
      <c r="AG278">
        <v>705.55</v>
      </c>
      <c r="AH278">
        <v>27</v>
      </c>
      <c r="AI278">
        <v>17</v>
      </c>
      <c r="AJ278">
        <v>17</v>
      </c>
      <c r="AK278">
        <v>26</v>
      </c>
      <c r="AL278">
        <v>42</v>
      </c>
      <c r="AM278">
        <v>6821</v>
      </c>
      <c r="AN278">
        <v>85</v>
      </c>
      <c r="AO278">
        <v>85</v>
      </c>
      <c r="AP278">
        <v>82</v>
      </c>
      <c r="AQ278">
        <v>4.5</v>
      </c>
      <c r="AR278" t="s">
        <v>29</v>
      </c>
      <c r="AS278" t="s">
        <v>257</v>
      </c>
      <c r="AT278" t="s">
        <v>253</v>
      </c>
      <c r="AU278">
        <v>334.8</v>
      </c>
      <c r="AV278">
        <v>25</v>
      </c>
      <c r="AW278">
        <v>20</v>
      </c>
      <c r="AX278">
        <v>12</v>
      </c>
      <c r="AY278">
        <v>26.1</v>
      </c>
      <c r="AZ278">
        <v>35</v>
      </c>
      <c r="BA278">
        <v>7311</v>
      </c>
      <c r="BB278">
        <v>79</v>
      </c>
      <c r="BC278">
        <v>79</v>
      </c>
      <c r="BD278">
        <v>78</v>
      </c>
      <c r="BE278">
        <v>4</v>
      </c>
      <c r="BF278" t="s">
        <v>29</v>
      </c>
      <c r="BG278">
        <v>31</v>
      </c>
      <c r="BH278">
        <v>56</v>
      </c>
      <c r="BI278">
        <v>0.5</v>
      </c>
      <c r="BJ278" t="s">
        <v>267</v>
      </c>
      <c r="BK278">
        <v>0.53569999999999995</v>
      </c>
      <c r="BL278">
        <v>0.35899999999999999</v>
      </c>
      <c r="BM278">
        <v>2.09</v>
      </c>
      <c r="BN278">
        <v>0.9</v>
      </c>
    </row>
    <row r="279" spans="1:66" x14ac:dyDescent="0.25">
      <c r="A279">
        <v>3</v>
      </c>
      <c r="B279">
        <v>-1</v>
      </c>
      <c r="C279">
        <v>1</v>
      </c>
      <c r="D279">
        <v>1.39</v>
      </c>
      <c r="E279">
        <v>4.7933333333333339</v>
      </c>
      <c r="F279">
        <v>8.5333333333333332</v>
      </c>
      <c r="G279" s="40">
        <v>0.55000000000000004</v>
      </c>
      <c r="H279" s="40">
        <v>0.26</v>
      </c>
      <c r="I279" s="40">
        <f t="shared" si="2"/>
        <v>0.18999999999999995</v>
      </c>
      <c r="J279">
        <v>1.38</v>
      </c>
      <c r="K279">
        <v>4.8</v>
      </c>
      <c r="L279">
        <v>9</v>
      </c>
      <c r="M279">
        <v>1.43</v>
      </c>
      <c r="N279">
        <v>4.33</v>
      </c>
      <c r="O279">
        <v>8</v>
      </c>
      <c r="P279">
        <v>1.36</v>
      </c>
      <c r="Q279">
        <v>5.25</v>
      </c>
      <c r="R279">
        <v>8.6</v>
      </c>
      <c r="S279">
        <v>0.74580484773151023</v>
      </c>
      <c r="T279">
        <v>0.13983840894965816</v>
      </c>
      <c r="U279">
        <v>0.11435674331883156</v>
      </c>
      <c r="V279">
        <v>0.66268874863932625</v>
      </c>
      <c r="W279">
        <v>0.21885563754139412</v>
      </c>
      <c r="X279">
        <v>0.11845561381927956</v>
      </c>
      <c r="Y279">
        <v>0.70562310505423065</v>
      </c>
      <c r="Z279">
        <v>0.18278998530928642</v>
      </c>
      <c r="AA279">
        <v>0.11158690963648299</v>
      </c>
      <c r="AB279">
        <v>0.70470556714168919</v>
      </c>
      <c r="AC279">
        <v>0.18049467726677956</v>
      </c>
      <c r="AD279">
        <v>0.11479975559153137</v>
      </c>
      <c r="AE279" t="s">
        <v>262</v>
      </c>
      <c r="AF279" t="s">
        <v>253</v>
      </c>
      <c r="AG279">
        <v>411.05</v>
      </c>
      <c r="AH279">
        <v>29</v>
      </c>
      <c r="AI279">
        <v>18</v>
      </c>
      <c r="AJ279">
        <v>12</v>
      </c>
      <c r="AK279">
        <v>25.7</v>
      </c>
      <c r="AL279">
        <v>149</v>
      </c>
      <c r="AM279">
        <v>3982</v>
      </c>
      <c r="AN279">
        <v>80</v>
      </c>
      <c r="AO279">
        <v>78</v>
      </c>
      <c r="AP279">
        <v>79</v>
      </c>
      <c r="AQ279">
        <v>4</v>
      </c>
      <c r="AR279" t="s">
        <v>29</v>
      </c>
      <c r="AS279" t="s">
        <v>264</v>
      </c>
      <c r="AT279" t="s">
        <v>253</v>
      </c>
      <c r="AU279">
        <v>140.75</v>
      </c>
      <c r="AV279">
        <v>24</v>
      </c>
      <c r="AW279">
        <v>10</v>
      </c>
      <c r="AX279">
        <v>7</v>
      </c>
      <c r="AY279">
        <v>28</v>
      </c>
      <c r="AZ279">
        <v>157</v>
      </c>
      <c r="BA279">
        <v>3883</v>
      </c>
      <c r="BB279">
        <v>73</v>
      </c>
      <c r="BC279">
        <v>77</v>
      </c>
      <c r="BD279">
        <v>75</v>
      </c>
      <c r="BE279">
        <v>4</v>
      </c>
      <c r="BF279" t="s">
        <v>46</v>
      </c>
      <c r="BG279">
        <v>7</v>
      </c>
      <c r="BH279">
        <v>15</v>
      </c>
      <c r="BI279">
        <v>0.35099999999999998</v>
      </c>
      <c r="BJ279" t="s">
        <v>267</v>
      </c>
      <c r="BK279">
        <v>0.52380000000000004</v>
      </c>
      <c r="BL279">
        <v>0.2</v>
      </c>
      <c r="BM279">
        <v>1.62</v>
      </c>
      <c r="BN279">
        <v>0.63</v>
      </c>
    </row>
    <row r="280" spans="1:66" x14ac:dyDescent="0.25">
      <c r="A280">
        <v>3</v>
      </c>
      <c r="B280">
        <v>-2</v>
      </c>
      <c r="C280">
        <v>4</v>
      </c>
      <c r="D280">
        <v>6.7666666666666666</v>
      </c>
      <c r="E280">
        <v>5.166666666666667</v>
      </c>
      <c r="F280">
        <v>1.39</v>
      </c>
      <c r="G280" s="40">
        <v>0.23</v>
      </c>
      <c r="H280" s="40">
        <v>0.27</v>
      </c>
      <c r="I280" s="40">
        <f t="shared" si="2"/>
        <v>0.5</v>
      </c>
      <c r="J280">
        <v>6.5</v>
      </c>
      <c r="K280">
        <v>5</v>
      </c>
      <c r="L280">
        <v>1.43</v>
      </c>
      <c r="M280">
        <v>7</v>
      </c>
      <c r="N280">
        <v>5.25</v>
      </c>
      <c r="O280">
        <v>1.4</v>
      </c>
      <c r="P280">
        <v>6.8</v>
      </c>
      <c r="Q280">
        <v>5.25</v>
      </c>
      <c r="R280">
        <v>1.34</v>
      </c>
      <c r="S280">
        <v>0.15384773366741286</v>
      </c>
      <c r="T280">
        <v>0.14684438602616504</v>
      </c>
      <c r="U280">
        <v>0.6993078803064221</v>
      </c>
      <c r="V280">
        <v>0.13636363636363635</v>
      </c>
      <c r="W280">
        <v>0.18181818181818182</v>
      </c>
      <c r="X280">
        <v>0.68181818181818177</v>
      </c>
      <c r="Y280">
        <v>0.13568769649160028</v>
      </c>
      <c r="Z280">
        <v>0.17574787355102514</v>
      </c>
      <c r="AA280">
        <v>0.68856442995737455</v>
      </c>
      <c r="AB280">
        <v>0.14196635550754985</v>
      </c>
      <c r="AC280">
        <v>0.16813681379845732</v>
      </c>
      <c r="AD280">
        <v>0.68989683069399277</v>
      </c>
      <c r="AE280" t="s">
        <v>57</v>
      </c>
      <c r="AF280" t="s">
        <v>26</v>
      </c>
      <c r="AG280">
        <v>117.95</v>
      </c>
      <c r="AH280">
        <v>36</v>
      </c>
      <c r="AI280">
        <v>17</v>
      </c>
      <c r="AJ280">
        <v>6</v>
      </c>
      <c r="AK280">
        <v>24</v>
      </c>
      <c r="AL280">
        <v>234</v>
      </c>
      <c r="AM280">
        <v>2973</v>
      </c>
      <c r="AN280">
        <v>75</v>
      </c>
      <c r="AO280">
        <v>73</v>
      </c>
      <c r="AP280">
        <v>75</v>
      </c>
      <c r="AQ280">
        <v>4</v>
      </c>
      <c r="AR280" t="s">
        <v>46</v>
      </c>
      <c r="AS280" t="s">
        <v>50</v>
      </c>
      <c r="AT280" t="s">
        <v>26</v>
      </c>
      <c r="AU280">
        <v>559.54999999999995</v>
      </c>
      <c r="AV280">
        <v>29</v>
      </c>
      <c r="AW280">
        <v>17</v>
      </c>
      <c r="AX280">
        <v>13</v>
      </c>
      <c r="AY280">
        <v>25</v>
      </c>
      <c r="AZ280">
        <v>36</v>
      </c>
      <c r="BA280">
        <v>7276</v>
      </c>
      <c r="BB280">
        <v>83</v>
      </c>
      <c r="BC280">
        <v>83</v>
      </c>
      <c r="BD280">
        <v>82</v>
      </c>
      <c r="BE280">
        <v>4.5</v>
      </c>
      <c r="BF280" t="s">
        <v>29</v>
      </c>
      <c r="BG280">
        <v>-22</v>
      </c>
      <c r="BH280">
        <v>-25</v>
      </c>
      <c r="BI280">
        <v>0.17199999999999999</v>
      </c>
      <c r="BJ280" t="s">
        <v>273</v>
      </c>
      <c r="BK280">
        <v>0.31430000000000002</v>
      </c>
      <c r="BL280">
        <v>0.60870000000000002</v>
      </c>
      <c r="BM280">
        <v>1.26</v>
      </c>
      <c r="BN280">
        <v>2.2200000000000002</v>
      </c>
    </row>
    <row r="281" spans="1:66" x14ac:dyDescent="0.25">
      <c r="A281">
        <v>2</v>
      </c>
      <c r="B281">
        <v>0</v>
      </c>
      <c r="C281">
        <v>4</v>
      </c>
      <c r="D281">
        <v>2.0666666666666664</v>
      </c>
      <c r="E281">
        <v>3.5500000000000003</v>
      </c>
      <c r="F281">
        <v>3.4166666666666665</v>
      </c>
      <c r="G281" s="40">
        <v>0.4</v>
      </c>
      <c r="H281" s="40">
        <v>0.35</v>
      </c>
      <c r="I281" s="40">
        <f t="shared" si="2"/>
        <v>0.25</v>
      </c>
      <c r="J281">
        <v>2.1</v>
      </c>
      <c r="K281">
        <v>3.5</v>
      </c>
      <c r="L281">
        <v>3.4</v>
      </c>
      <c r="M281">
        <v>2.1</v>
      </c>
      <c r="N281">
        <v>3.65</v>
      </c>
      <c r="O281">
        <v>3.5</v>
      </c>
      <c r="P281">
        <v>2</v>
      </c>
      <c r="Q281">
        <v>3.5</v>
      </c>
      <c r="R281">
        <v>3.35</v>
      </c>
      <c r="S281">
        <v>0.46671242278654768</v>
      </c>
      <c r="T281">
        <v>0.24502402196293754</v>
      </c>
      <c r="U281">
        <v>0.28826355525051472</v>
      </c>
      <c r="V281">
        <v>0.45969773299748112</v>
      </c>
      <c r="W281">
        <v>0.26448362720403024</v>
      </c>
      <c r="X281">
        <v>0.2758186397984887</v>
      </c>
      <c r="Y281">
        <v>0.46116027531956738</v>
      </c>
      <c r="Z281">
        <v>0.26352015732546707</v>
      </c>
      <c r="AA281">
        <v>0.2753195673549656</v>
      </c>
      <c r="AB281">
        <v>0.46252347703453206</v>
      </c>
      <c r="AC281">
        <v>0.2576759354974783</v>
      </c>
      <c r="AD281">
        <v>0.27980058746798969</v>
      </c>
      <c r="AE281" t="s">
        <v>25</v>
      </c>
      <c r="AF281" t="s">
        <v>26</v>
      </c>
      <c r="AG281">
        <v>507.83</v>
      </c>
      <c r="AH281">
        <v>29</v>
      </c>
      <c r="AI281">
        <v>21</v>
      </c>
      <c r="AJ281">
        <v>13</v>
      </c>
      <c r="AK281">
        <v>24.2</v>
      </c>
      <c r="AL281">
        <v>16</v>
      </c>
      <c r="AM281">
        <v>9221</v>
      </c>
      <c r="AN281">
        <v>81</v>
      </c>
      <c r="AO281">
        <v>81</v>
      </c>
      <c r="AP281">
        <v>79</v>
      </c>
      <c r="AQ281">
        <v>4.5</v>
      </c>
      <c r="AR281" t="s">
        <v>29</v>
      </c>
      <c r="AS281" t="s">
        <v>274</v>
      </c>
      <c r="AT281" t="s">
        <v>26</v>
      </c>
      <c r="AU281">
        <v>205.55</v>
      </c>
      <c r="AV281">
        <v>29</v>
      </c>
      <c r="AW281">
        <v>21</v>
      </c>
      <c r="AX281">
        <v>10</v>
      </c>
      <c r="AY281">
        <v>26.2</v>
      </c>
      <c r="AZ281">
        <v>65</v>
      </c>
      <c r="BA281">
        <v>5919</v>
      </c>
      <c r="BB281">
        <v>77</v>
      </c>
      <c r="BC281">
        <v>77</v>
      </c>
      <c r="BD281">
        <v>78</v>
      </c>
      <c r="BE281">
        <v>4</v>
      </c>
      <c r="BF281" t="s">
        <v>46</v>
      </c>
      <c r="BG281">
        <v>11</v>
      </c>
      <c r="BH281">
        <v>16</v>
      </c>
      <c r="BI281">
        <v>0.5</v>
      </c>
      <c r="BJ281" t="s">
        <v>273</v>
      </c>
      <c r="BK281">
        <v>0.55320000000000003</v>
      </c>
      <c r="BL281">
        <v>0.41299999999999998</v>
      </c>
      <c r="BM281">
        <v>2.2799999999999998</v>
      </c>
      <c r="BN281">
        <v>1.5</v>
      </c>
    </row>
    <row r="282" spans="1:66" x14ac:dyDescent="0.25">
      <c r="A282">
        <v>2</v>
      </c>
      <c r="B282">
        <v>0</v>
      </c>
      <c r="C282">
        <v>0</v>
      </c>
      <c r="D282">
        <v>2.1533333333333333</v>
      </c>
      <c r="E282">
        <v>3.2333333333333329</v>
      </c>
      <c r="F282">
        <v>3.3666666666666667</v>
      </c>
      <c r="G282" s="40">
        <v>0.38</v>
      </c>
      <c r="H282" s="40">
        <v>0.43</v>
      </c>
      <c r="I282" s="40">
        <f t="shared" si="2"/>
        <v>0.19</v>
      </c>
      <c r="J282">
        <v>1.95</v>
      </c>
      <c r="K282">
        <v>3.25</v>
      </c>
      <c r="L282">
        <v>3.6</v>
      </c>
      <c r="M282">
        <v>2.25</v>
      </c>
      <c r="N282">
        <v>3.2</v>
      </c>
      <c r="O282">
        <v>3.25</v>
      </c>
      <c r="P282">
        <v>2.2599999999999998</v>
      </c>
      <c r="Q282">
        <v>3.25</v>
      </c>
      <c r="R282">
        <v>3.25</v>
      </c>
      <c r="S282">
        <v>0.48284023668639059</v>
      </c>
      <c r="T282">
        <v>0.25562130177514791</v>
      </c>
      <c r="U282">
        <v>0.26153846153846155</v>
      </c>
      <c r="V282">
        <v>0.41746111389864532</v>
      </c>
      <c r="W282">
        <v>0.29352734570998495</v>
      </c>
      <c r="X282">
        <v>0.28901154039136984</v>
      </c>
      <c r="Y282">
        <v>0.41827541827541831</v>
      </c>
      <c r="Z282">
        <v>0.29086229086229087</v>
      </c>
      <c r="AA282">
        <v>0.29086229086229087</v>
      </c>
      <c r="AB282">
        <v>0.43952558962015137</v>
      </c>
      <c r="AC282">
        <v>0.28000364611580791</v>
      </c>
      <c r="AD282">
        <v>0.28047076426404072</v>
      </c>
      <c r="AE282" t="s">
        <v>92</v>
      </c>
      <c r="AF282" t="s">
        <v>85</v>
      </c>
      <c r="AG282">
        <v>65.13</v>
      </c>
      <c r="AH282">
        <v>32</v>
      </c>
      <c r="AI282">
        <v>5</v>
      </c>
      <c r="AJ282">
        <v>1</v>
      </c>
      <c r="AK282">
        <v>25.7</v>
      </c>
      <c r="AL282">
        <v>98</v>
      </c>
      <c r="AM282">
        <v>4872</v>
      </c>
      <c r="AN282">
        <v>73</v>
      </c>
      <c r="AO282">
        <v>73</v>
      </c>
      <c r="AP282">
        <v>73</v>
      </c>
      <c r="AQ282">
        <v>3.5</v>
      </c>
      <c r="AR282" t="s">
        <v>28</v>
      </c>
      <c r="AS282" t="s">
        <v>91</v>
      </c>
      <c r="AT282" t="s">
        <v>85</v>
      </c>
      <c r="AU282">
        <v>59.6</v>
      </c>
      <c r="AV282">
        <v>34</v>
      </c>
      <c r="AW282">
        <v>4</v>
      </c>
      <c r="AX282">
        <v>3</v>
      </c>
      <c r="AY282">
        <v>27.8</v>
      </c>
      <c r="AZ282">
        <v>97</v>
      </c>
      <c r="BA282">
        <v>4926</v>
      </c>
      <c r="BB282">
        <v>78</v>
      </c>
      <c r="BC282">
        <v>76</v>
      </c>
      <c r="BD282">
        <v>75</v>
      </c>
      <c r="BE282">
        <v>4</v>
      </c>
      <c r="BF282" t="s">
        <v>29</v>
      </c>
      <c r="BG282">
        <v>-6</v>
      </c>
      <c r="BH282">
        <v>12</v>
      </c>
      <c r="BI282">
        <v>0.42899999999999999</v>
      </c>
      <c r="BJ282" t="s">
        <v>85</v>
      </c>
      <c r="BK282">
        <v>0.46810000000000002</v>
      </c>
      <c r="BL282">
        <v>0.42859999999999998</v>
      </c>
      <c r="BM282">
        <v>1.3</v>
      </c>
      <c r="BN282">
        <v>1.35</v>
      </c>
    </row>
    <row r="283" spans="1:66" x14ac:dyDescent="0.25">
      <c r="A283">
        <v>2</v>
      </c>
      <c r="B283">
        <v>0</v>
      </c>
      <c r="C283">
        <v>2</v>
      </c>
      <c r="D283">
        <v>2.0166666666666671</v>
      </c>
      <c r="E283">
        <v>3.3166666666666664</v>
      </c>
      <c r="F283">
        <v>3.5500000000000003</v>
      </c>
      <c r="G283" s="40">
        <v>0.26</v>
      </c>
      <c r="H283" s="40">
        <v>0.49</v>
      </c>
      <c r="I283" s="40">
        <f t="shared" si="2"/>
        <v>0.25</v>
      </c>
      <c r="J283">
        <v>1.95</v>
      </c>
      <c r="K283">
        <v>3.25</v>
      </c>
      <c r="L283">
        <v>3.6</v>
      </c>
      <c r="M283">
        <v>2.1</v>
      </c>
      <c r="N283">
        <v>3.4</v>
      </c>
      <c r="O283">
        <v>3.5</v>
      </c>
      <c r="P283">
        <v>2</v>
      </c>
      <c r="Q283">
        <v>3.3</v>
      </c>
      <c r="R283">
        <v>3.55</v>
      </c>
      <c r="S283">
        <v>0.48284023668639059</v>
      </c>
      <c r="T283">
        <v>0.25562130177514791</v>
      </c>
      <c r="U283">
        <v>0.26153846153846155</v>
      </c>
      <c r="V283">
        <v>0.45092838196286472</v>
      </c>
      <c r="W283">
        <v>0.27851458885941643</v>
      </c>
      <c r="X283">
        <v>0.27055702917771884</v>
      </c>
      <c r="Y283">
        <v>0.46094825890222313</v>
      </c>
      <c r="Z283">
        <v>0.2793625811528625</v>
      </c>
      <c r="AA283">
        <v>0.25968915994491448</v>
      </c>
      <c r="AB283">
        <v>0.46490562585049283</v>
      </c>
      <c r="AC283">
        <v>0.27116615726247556</v>
      </c>
      <c r="AD283">
        <v>0.26392821688703161</v>
      </c>
      <c r="AE283" t="s">
        <v>86</v>
      </c>
      <c r="AF283" t="s">
        <v>85</v>
      </c>
      <c r="AG283">
        <v>80.2</v>
      </c>
      <c r="AH283">
        <v>31</v>
      </c>
      <c r="AI283">
        <v>6</v>
      </c>
      <c r="AJ283">
        <v>4</v>
      </c>
      <c r="AK283">
        <v>26.9</v>
      </c>
      <c r="AL283">
        <v>10</v>
      </c>
      <c r="AM283">
        <v>9954</v>
      </c>
      <c r="AN283">
        <v>75</v>
      </c>
      <c r="AO283">
        <v>76</v>
      </c>
      <c r="AP283">
        <v>76</v>
      </c>
      <c r="AQ283">
        <v>4</v>
      </c>
      <c r="AR283" t="s">
        <v>46</v>
      </c>
      <c r="AS283" t="s">
        <v>84</v>
      </c>
      <c r="AT283" t="s">
        <v>85</v>
      </c>
      <c r="AU283">
        <v>115.65</v>
      </c>
      <c r="AV283">
        <v>32</v>
      </c>
      <c r="AW283">
        <v>7</v>
      </c>
      <c r="AX283">
        <v>7</v>
      </c>
      <c r="AY283">
        <v>27.6</v>
      </c>
      <c r="AZ283">
        <v>4</v>
      </c>
      <c r="BA283">
        <v>11425</v>
      </c>
      <c r="BB283">
        <v>78</v>
      </c>
      <c r="BC283">
        <v>78</v>
      </c>
      <c r="BD283">
        <v>77</v>
      </c>
      <c r="BE283">
        <v>4</v>
      </c>
      <c r="BF283" t="s">
        <v>29</v>
      </c>
      <c r="BG283">
        <v>12</v>
      </c>
      <c r="BH283">
        <v>43</v>
      </c>
      <c r="BI283">
        <v>0.377</v>
      </c>
      <c r="BJ283" t="s">
        <v>85</v>
      </c>
      <c r="BK283">
        <v>0.56000000000000005</v>
      </c>
      <c r="BL283">
        <v>0.65310000000000001</v>
      </c>
      <c r="BM283">
        <v>1.5</v>
      </c>
      <c r="BN283">
        <v>2.12</v>
      </c>
    </row>
    <row r="284" spans="1:66" x14ac:dyDescent="0.25">
      <c r="A284">
        <v>3</v>
      </c>
      <c r="B284">
        <v>-3</v>
      </c>
      <c r="C284">
        <v>4</v>
      </c>
      <c r="D284">
        <v>1.6833333333333333</v>
      </c>
      <c r="E284">
        <v>3.7666666666666671</v>
      </c>
      <c r="F284">
        <v>4.2110000000000003</v>
      </c>
      <c r="G284" s="40">
        <v>0.48</v>
      </c>
      <c r="H284" s="40">
        <v>0.34</v>
      </c>
      <c r="I284" s="40">
        <f t="shared" si="2"/>
        <v>0.18</v>
      </c>
      <c r="J284">
        <v>1.65</v>
      </c>
      <c r="K284">
        <v>3.75</v>
      </c>
      <c r="L284">
        <v>4</v>
      </c>
      <c r="M284">
        <v>1.7</v>
      </c>
      <c r="N284">
        <v>3.75</v>
      </c>
      <c r="O284">
        <v>4.3330000000000002</v>
      </c>
      <c r="P284">
        <v>1.7</v>
      </c>
      <c r="Q284">
        <v>3.8</v>
      </c>
      <c r="R284">
        <v>4.3</v>
      </c>
      <c r="S284">
        <v>0.55899465979436225</v>
      </c>
      <c r="T284">
        <v>0.21042004304046336</v>
      </c>
      <c r="U284">
        <v>0.2305852971651744</v>
      </c>
      <c r="V284">
        <v>0.54180831181216316</v>
      </c>
      <c r="W284">
        <v>0.24561976802151395</v>
      </c>
      <c r="X284">
        <v>0.21257192016632293</v>
      </c>
      <c r="Y284">
        <v>0.54267685154433742</v>
      </c>
      <c r="Z284">
        <v>0.2427764862172036</v>
      </c>
      <c r="AA284">
        <v>0.21454666223845895</v>
      </c>
      <c r="AB284">
        <v>0.54782660771695435</v>
      </c>
      <c r="AC284">
        <v>0.23293876575972697</v>
      </c>
      <c r="AD284">
        <v>0.21923462652331874</v>
      </c>
      <c r="AE284" t="s">
        <v>135</v>
      </c>
      <c r="AF284" t="s">
        <v>134</v>
      </c>
      <c r="AG284">
        <v>17.579999999999998</v>
      </c>
      <c r="AH284">
        <v>27</v>
      </c>
      <c r="AI284">
        <v>8</v>
      </c>
      <c r="AJ284">
        <v>4</v>
      </c>
      <c r="AK284">
        <v>27.3</v>
      </c>
      <c r="AL284">
        <v>314</v>
      </c>
      <c r="AM284">
        <v>2387</v>
      </c>
      <c r="AN284">
        <v>67</v>
      </c>
      <c r="AO284">
        <v>69</v>
      </c>
      <c r="AP284">
        <v>66</v>
      </c>
      <c r="AQ284">
        <v>2.5</v>
      </c>
      <c r="AR284" t="s">
        <v>28</v>
      </c>
      <c r="AS284" t="s">
        <v>138</v>
      </c>
      <c r="AT284" t="s">
        <v>134</v>
      </c>
      <c r="AU284">
        <v>11.98</v>
      </c>
      <c r="AV284">
        <v>29</v>
      </c>
      <c r="AW284">
        <v>10</v>
      </c>
      <c r="AX284">
        <v>4</v>
      </c>
      <c r="AY284">
        <v>27.3</v>
      </c>
      <c r="AZ284">
        <v>817</v>
      </c>
      <c r="BA284">
        <v>297</v>
      </c>
      <c r="BB284">
        <v>65</v>
      </c>
      <c r="BC284">
        <v>65</v>
      </c>
      <c r="BD284">
        <v>65</v>
      </c>
      <c r="BE284">
        <v>2</v>
      </c>
      <c r="BF284" t="s">
        <v>29</v>
      </c>
      <c r="BG284">
        <v>8</v>
      </c>
      <c r="BH284">
        <v>16</v>
      </c>
      <c r="BI284">
        <v>0.40899999999999997</v>
      </c>
      <c r="BJ284" t="s">
        <v>134</v>
      </c>
      <c r="BK284">
        <v>0.56100000000000005</v>
      </c>
      <c r="BL284">
        <v>0.375</v>
      </c>
      <c r="BM284">
        <v>1.85</v>
      </c>
      <c r="BN284">
        <v>1.91</v>
      </c>
    </row>
    <row r="285" spans="1:66" x14ac:dyDescent="0.25">
      <c r="A285">
        <v>1</v>
      </c>
      <c r="B285">
        <v>1</v>
      </c>
      <c r="C285">
        <v>1</v>
      </c>
      <c r="D285">
        <v>1.8109999999999999</v>
      </c>
      <c r="E285">
        <v>3.7333333333333329</v>
      </c>
      <c r="F285">
        <v>4.05</v>
      </c>
      <c r="G285" s="40">
        <v>0.44</v>
      </c>
      <c r="H285" s="40">
        <v>0.3</v>
      </c>
      <c r="I285" s="40">
        <f t="shared" si="2"/>
        <v>0.26000000000000006</v>
      </c>
      <c r="J285">
        <v>1.82</v>
      </c>
      <c r="K285">
        <v>3.5</v>
      </c>
      <c r="L285">
        <v>3.8</v>
      </c>
      <c r="M285">
        <v>1.833</v>
      </c>
      <c r="N285">
        <v>3.85</v>
      </c>
      <c r="O285">
        <v>4.2</v>
      </c>
      <c r="P285">
        <v>1.78</v>
      </c>
      <c r="Q285">
        <v>3.85</v>
      </c>
      <c r="R285">
        <v>4.1500000000000004</v>
      </c>
      <c r="S285">
        <v>0.51828444876573221</v>
      </c>
      <c r="T285">
        <v>0.23348457840436446</v>
      </c>
      <c r="U285">
        <v>0.24823097282990333</v>
      </c>
      <c r="V285">
        <v>0.5228669405493499</v>
      </c>
      <c r="W285">
        <v>0.24893898753946966</v>
      </c>
      <c r="X285">
        <v>0.22819407191118055</v>
      </c>
      <c r="Y285">
        <v>0.52874989658310589</v>
      </c>
      <c r="Z285">
        <v>0.24446099114751388</v>
      </c>
      <c r="AA285">
        <v>0.22678911226938031</v>
      </c>
      <c r="AB285">
        <v>0.5233004286327293</v>
      </c>
      <c r="AC285">
        <v>0.24229485236378268</v>
      </c>
      <c r="AD285">
        <v>0.23440471900348805</v>
      </c>
      <c r="AE285" t="s">
        <v>168</v>
      </c>
      <c r="AF285" t="s">
        <v>160</v>
      </c>
      <c r="AG285">
        <v>19.649999999999999</v>
      </c>
      <c r="AH285">
        <v>28</v>
      </c>
      <c r="AI285">
        <v>11</v>
      </c>
      <c r="AJ285">
        <v>1</v>
      </c>
      <c r="AK285">
        <v>26.8</v>
      </c>
      <c r="AL285">
        <v>302</v>
      </c>
      <c r="AM285">
        <v>2441</v>
      </c>
      <c r="AN285">
        <v>71</v>
      </c>
      <c r="AO285">
        <v>69</v>
      </c>
      <c r="AP285">
        <v>68</v>
      </c>
      <c r="AQ285">
        <v>3</v>
      </c>
      <c r="AR285" t="s">
        <v>29</v>
      </c>
      <c r="AS285" t="s">
        <v>175</v>
      </c>
      <c r="AT285" t="s">
        <v>160</v>
      </c>
      <c r="AU285">
        <v>24.6</v>
      </c>
      <c r="AV285">
        <v>28</v>
      </c>
      <c r="AW285">
        <v>17</v>
      </c>
      <c r="AX285">
        <v>4</v>
      </c>
      <c r="AY285">
        <v>27.1</v>
      </c>
      <c r="AZ285">
        <v>380</v>
      </c>
      <c r="BA285">
        <v>1959</v>
      </c>
      <c r="BB285">
        <v>69</v>
      </c>
      <c r="BC285">
        <v>72</v>
      </c>
      <c r="BD285">
        <v>70</v>
      </c>
      <c r="BE285">
        <v>3.5</v>
      </c>
      <c r="BF285" t="s">
        <v>29</v>
      </c>
      <c r="BG285">
        <v>-25</v>
      </c>
      <c r="BH285">
        <v>-20</v>
      </c>
      <c r="BI285">
        <v>0.32900000000000001</v>
      </c>
      <c r="BJ285" t="s">
        <v>234</v>
      </c>
      <c r="BK285">
        <v>0.39290000000000003</v>
      </c>
      <c r="BL285">
        <v>0.57140000000000002</v>
      </c>
      <c r="BM285">
        <v>1.18</v>
      </c>
      <c r="BN285">
        <v>1.64</v>
      </c>
    </row>
    <row r="286" spans="1:66" x14ac:dyDescent="0.25">
      <c r="A286">
        <v>3</v>
      </c>
      <c r="B286">
        <v>-3</v>
      </c>
      <c r="C286">
        <v>4</v>
      </c>
      <c r="D286">
        <v>8.1666666666666661</v>
      </c>
      <c r="E286">
        <v>4.7166666666666659</v>
      </c>
      <c r="F286">
        <v>1.39</v>
      </c>
      <c r="G286" s="40">
        <v>0.22</v>
      </c>
      <c r="H286" s="40">
        <v>0.34</v>
      </c>
      <c r="I286" s="40">
        <f t="shared" si="2"/>
        <v>0.44</v>
      </c>
      <c r="J286">
        <v>8</v>
      </c>
      <c r="K286">
        <v>4.3499999999999996</v>
      </c>
      <c r="L286">
        <v>1.38</v>
      </c>
      <c r="M286">
        <v>8</v>
      </c>
      <c r="N286">
        <v>4.75</v>
      </c>
      <c r="O286">
        <v>1.42</v>
      </c>
      <c r="P286">
        <v>8.5</v>
      </c>
      <c r="Q286">
        <v>5.05</v>
      </c>
      <c r="R286">
        <v>1.37</v>
      </c>
      <c r="S286">
        <v>0.12434849583859896</v>
      </c>
      <c r="T286">
        <v>0.15479065872024766</v>
      </c>
      <c r="U286">
        <v>0.72086084544115347</v>
      </c>
      <c r="V286">
        <v>0.12022101416986007</v>
      </c>
      <c r="W286">
        <v>0.20247749754923802</v>
      </c>
      <c r="X286">
        <v>0.67730148828090186</v>
      </c>
      <c r="Y286">
        <v>0.11251697471884987</v>
      </c>
      <c r="Z286">
        <v>0.18938500695251959</v>
      </c>
      <c r="AA286">
        <v>0.6980980183286305</v>
      </c>
      <c r="AB286">
        <v>0.11902882824243631</v>
      </c>
      <c r="AC286">
        <v>0.18221772107400178</v>
      </c>
      <c r="AD286">
        <v>0.69875345068356198</v>
      </c>
      <c r="AE286" t="s">
        <v>42</v>
      </c>
      <c r="AF286" t="s">
        <v>23</v>
      </c>
      <c r="AG286">
        <v>42.38</v>
      </c>
      <c r="AH286">
        <v>24</v>
      </c>
      <c r="AI286">
        <v>13</v>
      </c>
      <c r="AJ286">
        <v>9</v>
      </c>
      <c r="AK286">
        <v>26</v>
      </c>
      <c r="AL286">
        <v>273</v>
      </c>
      <c r="AM286">
        <v>2608</v>
      </c>
      <c r="AN286">
        <v>72</v>
      </c>
      <c r="AO286">
        <v>72</v>
      </c>
      <c r="AP286">
        <v>70</v>
      </c>
      <c r="AQ286">
        <v>3.5</v>
      </c>
      <c r="AR286" t="s">
        <v>43</v>
      </c>
      <c r="AS286" t="s">
        <v>39</v>
      </c>
      <c r="AT286" t="s">
        <v>23</v>
      </c>
      <c r="AU286">
        <v>86.83</v>
      </c>
      <c r="AV286">
        <v>30</v>
      </c>
      <c r="AW286">
        <v>14</v>
      </c>
      <c r="AX286">
        <v>6</v>
      </c>
      <c r="AY286">
        <v>25.1</v>
      </c>
      <c r="AZ286">
        <v>229</v>
      </c>
      <c r="BA286">
        <v>3029</v>
      </c>
      <c r="BB286">
        <v>75</v>
      </c>
      <c r="BC286">
        <v>73</v>
      </c>
      <c r="BD286">
        <v>74</v>
      </c>
      <c r="BE286">
        <v>3.5</v>
      </c>
      <c r="BF286" t="s">
        <v>29</v>
      </c>
      <c r="BG286">
        <v>-8</v>
      </c>
      <c r="BH286">
        <v>-6</v>
      </c>
      <c r="BI286">
        <v>0.222</v>
      </c>
      <c r="BJ286" t="s">
        <v>266</v>
      </c>
      <c r="BK286">
        <v>0.30299999999999999</v>
      </c>
      <c r="BL286">
        <v>0.40629999999999999</v>
      </c>
      <c r="BM286">
        <v>1.1200000000000001</v>
      </c>
      <c r="BN286">
        <v>1.28</v>
      </c>
    </row>
    <row r="287" spans="1:66" x14ac:dyDescent="0.25">
      <c r="A287">
        <v>2</v>
      </c>
      <c r="B287">
        <v>0</v>
      </c>
      <c r="C287">
        <v>0</v>
      </c>
      <c r="D287">
        <v>1.3666666666666665</v>
      </c>
      <c r="E287">
        <v>4.8833333333333329</v>
      </c>
      <c r="F287">
        <v>9</v>
      </c>
      <c r="G287" s="40">
        <v>0.53</v>
      </c>
      <c r="H287" s="40">
        <v>0.27</v>
      </c>
      <c r="I287" s="40">
        <f t="shared" si="2"/>
        <v>0.19999999999999996</v>
      </c>
      <c r="J287">
        <v>1.35</v>
      </c>
      <c r="K287">
        <v>4.5999999999999996</v>
      </c>
      <c r="L287">
        <v>8.5</v>
      </c>
      <c r="M287">
        <v>1.4</v>
      </c>
      <c r="N287">
        <v>5</v>
      </c>
      <c r="O287">
        <v>9</v>
      </c>
      <c r="P287">
        <v>1.35</v>
      </c>
      <c r="Q287">
        <v>5.05</v>
      </c>
      <c r="R287">
        <v>9.5</v>
      </c>
      <c r="S287">
        <v>0.73855011777021717</v>
      </c>
      <c r="T287">
        <v>0.14415074587804241</v>
      </c>
      <c r="U287">
        <v>0.11729913635174039</v>
      </c>
      <c r="V287">
        <v>0.69659442724458198</v>
      </c>
      <c r="W287">
        <v>0.19504643962848295</v>
      </c>
      <c r="X287">
        <v>0.10835913312693497</v>
      </c>
      <c r="Y287">
        <v>0.70950567530594899</v>
      </c>
      <c r="Z287">
        <v>0.18966983399267945</v>
      </c>
      <c r="AA287">
        <v>0.10082449070137171</v>
      </c>
      <c r="AB287">
        <v>0.71488340677358275</v>
      </c>
      <c r="AC287">
        <v>0.17628900649973492</v>
      </c>
      <c r="AD287">
        <v>0.10882758672668236</v>
      </c>
      <c r="AE287" t="s">
        <v>33</v>
      </c>
      <c r="AF287" t="s">
        <v>23</v>
      </c>
      <c r="AG287">
        <v>287.7</v>
      </c>
      <c r="AH287">
        <v>27</v>
      </c>
      <c r="AI287">
        <v>18</v>
      </c>
      <c r="AJ287">
        <v>10</v>
      </c>
      <c r="AK287">
        <v>23.7</v>
      </c>
      <c r="AL287">
        <v>131</v>
      </c>
      <c r="AM287">
        <v>4207</v>
      </c>
      <c r="AN287">
        <v>77</v>
      </c>
      <c r="AO287">
        <v>77</v>
      </c>
      <c r="AP287">
        <v>76</v>
      </c>
      <c r="AQ287">
        <v>4</v>
      </c>
      <c r="AR287" t="s">
        <v>29</v>
      </c>
      <c r="AS287" t="s">
        <v>35</v>
      </c>
      <c r="AT287" t="s">
        <v>23</v>
      </c>
      <c r="AU287">
        <v>87.33</v>
      </c>
      <c r="AV287">
        <v>31</v>
      </c>
      <c r="AW287">
        <v>10</v>
      </c>
      <c r="AX287">
        <v>4</v>
      </c>
      <c r="AY287">
        <v>25.4</v>
      </c>
      <c r="AZ287">
        <v>169</v>
      </c>
      <c r="BA287">
        <v>3749</v>
      </c>
      <c r="BB287">
        <v>73</v>
      </c>
      <c r="BC287">
        <v>76</v>
      </c>
      <c r="BD287">
        <v>74</v>
      </c>
      <c r="BE287">
        <v>4</v>
      </c>
      <c r="BF287" t="s">
        <v>29</v>
      </c>
      <c r="BG287">
        <v>10</v>
      </c>
      <c r="BH287">
        <v>29</v>
      </c>
      <c r="BI287">
        <v>0.35199999999999998</v>
      </c>
      <c r="BJ287" t="s">
        <v>266</v>
      </c>
      <c r="BK287">
        <v>0.47499999999999998</v>
      </c>
      <c r="BL287">
        <v>0.33329999999999999</v>
      </c>
      <c r="BM287">
        <v>1.3</v>
      </c>
      <c r="BN287">
        <v>1.17</v>
      </c>
    </row>
    <row r="288" spans="1:66" x14ac:dyDescent="0.25">
      <c r="A288">
        <v>1</v>
      </c>
      <c r="B288">
        <v>1</v>
      </c>
      <c r="C288">
        <v>5</v>
      </c>
      <c r="D288">
        <v>1.4733333333333334</v>
      </c>
      <c r="E288">
        <v>4.4333333333333336</v>
      </c>
      <c r="F288">
        <v>6.7333333333333334</v>
      </c>
      <c r="G288" s="40">
        <v>0.43</v>
      </c>
      <c r="H288" s="40">
        <v>0.37</v>
      </c>
      <c r="I288" s="40">
        <f t="shared" si="2"/>
        <v>0.20000000000000007</v>
      </c>
      <c r="J288">
        <v>1.44</v>
      </c>
      <c r="K288">
        <v>4.3499999999999996</v>
      </c>
      <c r="L288">
        <v>6.5</v>
      </c>
      <c r="M288">
        <v>1.5</v>
      </c>
      <c r="N288">
        <v>4.5</v>
      </c>
      <c r="O288">
        <v>7</v>
      </c>
      <c r="P288">
        <v>1.48</v>
      </c>
      <c r="Q288">
        <v>4.45</v>
      </c>
      <c r="R288">
        <v>6.7</v>
      </c>
      <c r="S288">
        <v>0.68320434385045392</v>
      </c>
      <c r="T288">
        <v>0.16543961689652251</v>
      </c>
      <c r="U288">
        <v>0.15135603925302363</v>
      </c>
      <c r="V288">
        <v>0.64615384615384608</v>
      </c>
      <c r="W288">
        <v>0.21538461538461537</v>
      </c>
      <c r="X288">
        <v>0.13846153846153847</v>
      </c>
      <c r="Y288">
        <v>0.64371613014659834</v>
      </c>
      <c r="Z288">
        <v>0.21408985901504848</v>
      </c>
      <c r="AA288">
        <v>0.14219401083835309</v>
      </c>
      <c r="AB288">
        <v>0.65769144005029945</v>
      </c>
      <c r="AC288">
        <v>0.19830469709872878</v>
      </c>
      <c r="AD288">
        <v>0.14400386285097175</v>
      </c>
      <c r="AE288" t="s">
        <v>34</v>
      </c>
      <c r="AF288" t="s">
        <v>23</v>
      </c>
      <c r="AG288">
        <v>224.6</v>
      </c>
      <c r="AH288">
        <v>35</v>
      </c>
      <c r="AI288">
        <v>11</v>
      </c>
      <c r="AJ288">
        <v>8</v>
      </c>
      <c r="AK288">
        <v>24.6</v>
      </c>
      <c r="AL288">
        <v>145</v>
      </c>
      <c r="AM288">
        <v>4008</v>
      </c>
      <c r="AN288">
        <v>80</v>
      </c>
      <c r="AO288">
        <v>78</v>
      </c>
      <c r="AP288">
        <v>77</v>
      </c>
      <c r="AQ288">
        <v>4</v>
      </c>
      <c r="AR288" t="s">
        <v>29</v>
      </c>
      <c r="AS288" t="s">
        <v>41</v>
      </c>
      <c r="AT288" t="s">
        <v>23</v>
      </c>
      <c r="AU288">
        <v>82.35</v>
      </c>
      <c r="AV288">
        <v>31</v>
      </c>
      <c r="AW288">
        <v>16</v>
      </c>
      <c r="AX288">
        <v>8</v>
      </c>
      <c r="AY288">
        <v>26.4</v>
      </c>
      <c r="AZ288">
        <v>266</v>
      </c>
      <c r="BA288">
        <v>2690</v>
      </c>
      <c r="BB288">
        <v>74</v>
      </c>
      <c r="BC288">
        <v>75</v>
      </c>
      <c r="BD288">
        <v>74</v>
      </c>
      <c r="BE288">
        <v>3.5</v>
      </c>
      <c r="BF288" t="s">
        <v>29</v>
      </c>
      <c r="BG288">
        <v>6</v>
      </c>
      <c r="BH288">
        <v>18</v>
      </c>
      <c r="BI288">
        <v>0.33300000000000002</v>
      </c>
      <c r="BJ288" t="s">
        <v>266</v>
      </c>
      <c r="BK288">
        <v>0.54549999999999998</v>
      </c>
      <c r="BL288">
        <v>0.40629999999999999</v>
      </c>
      <c r="BM288">
        <v>1.48</v>
      </c>
      <c r="BN288">
        <v>1.28</v>
      </c>
    </row>
    <row r="289" spans="1:66" x14ac:dyDescent="0.25">
      <c r="A289">
        <v>2</v>
      </c>
      <c r="B289">
        <v>0</v>
      </c>
      <c r="C289">
        <v>0</v>
      </c>
      <c r="D289">
        <v>2.41</v>
      </c>
      <c r="E289">
        <v>3.7333333333333329</v>
      </c>
      <c r="F289">
        <v>2.6999999999999997</v>
      </c>
      <c r="G289" s="40">
        <v>0.43</v>
      </c>
      <c r="H289" s="40">
        <v>0.36</v>
      </c>
      <c r="I289" s="40">
        <f t="shared" si="2"/>
        <v>0.21000000000000008</v>
      </c>
      <c r="J289">
        <v>2.35</v>
      </c>
      <c r="K289">
        <v>3.65</v>
      </c>
      <c r="L289">
        <v>2.65</v>
      </c>
      <c r="M289">
        <v>2.4500000000000002</v>
      </c>
      <c r="N289">
        <v>3.8</v>
      </c>
      <c r="O289">
        <v>2.75</v>
      </c>
      <c r="P289">
        <v>2.4300000000000002</v>
      </c>
      <c r="Q289">
        <v>3.75</v>
      </c>
      <c r="R289">
        <v>2.7</v>
      </c>
      <c r="S289">
        <v>0.4049505888296025</v>
      </c>
      <c r="T289">
        <v>0.23594228522716509</v>
      </c>
      <c r="U289">
        <v>0.35910712594323241</v>
      </c>
      <c r="V289">
        <v>0.39437682800264173</v>
      </c>
      <c r="W289">
        <v>0.25426927068591382</v>
      </c>
      <c r="X289">
        <v>0.35135390131144451</v>
      </c>
      <c r="Y289">
        <v>0.39246467817896391</v>
      </c>
      <c r="Z289">
        <v>0.25431711145996866</v>
      </c>
      <c r="AA289">
        <v>0.35321821036106754</v>
      </c>
      <c r="AB289">
        <v>0.39726403167040275</v>
      </c>
      <c r="AC289">
        <v>0.24817622245768253</v>
      </c>
      <c r="AD289">
        <v>0.3545597458719148</v>
      </c>
      <c r="AE289" t="s">
        <v>38</v>
      </c>
      <c r="AF289" t="s">
        <v>23</v>
      </c>
      <c r="AG289">
        <v>82.2</v>
      </c>
      <c r="AH289">
        <v>30</v>
      </c>
      <c r="AI289">
        <v>12</v>
      </c>
      <c r="AJ289">
        <v>5</v>
      </c>
      <c r="AK289">
        <v>25.7</v>
      </c>
      <c r="AL289">
        <v>228</v>
      </c>
      <c r="AM289">
        <v>3029</v>
      </c>
      <c r="AN289">
        <v>78</v>
      </c>
      <c r="AO289">
        <v>74</v>
      </c>
      <c r="AP289">
        <v>75</v>
      </c>
      <c r="AQ289">
        <v>4</v>
      </c>
      <c r="AR289" t="s">
        <v>29</v>
      </c>
      <c r="AS289" t="s">
        <v>45</v>
      </c>
      <c r="AT289" t="s">
        <v>23</v>
      </c>
      <c r="AU289">
        <v>59.28</v>
      </c>
      <c r="AV289">
        <v>25</v>
      </c>
      <c r="AW289">
        <v>5</v>
      </c>
      <c r="AX289">
        <v>1</v>
      </c>
      <c r="AY289">
        <v>25.2</v>
      </c>
      <c r="AZ289">
        <v>347</v>
      </c>
      <c r="BA289">
        <v>2156</v>
      </c>
      <c r="BB289">
        <v>72</v>
      </c>
      <c r="BC289">
        <v>72</v>
      </c>
      <c r="BD289">
        <v>72</v>
      </c>
      <c r="BE289">
        <v>3.5</v>
      </c>
      <c r="BF289" t="s">
        <v>29</v>
      </c>
      <c r="BG289">
        <v>16</v>
      </c>
      <c r="BH289">
        <v>41</v>
      </c>
      <c r="BI289">
        <v>0.48099999999999998</v>
      </c>
      <c r="BJ289" t="s">
        <v>266</v>
      </c>
      <c r="BK289">
        <v>0.42420000000000002</v>
      </c>
      <c r="BL289">
        <v>0.28129999999999999</v>
      </c>
      <c r="BM289">
        <v>1.33</v>
      </c>
      <c r="BN289">
        <v>1.22</v>
      </c>
    </row>
    <row r="290" spans="1:66" x14ac:dyDescent="0.25">
      <c r="A290">
        <v>3</v>
      </c>
      <c r="B290">
        <v>-2</v>
      </c>
      <c r="C290">
        <v>2</v>
      </c>
      <c r="D290">
        <v>3.4833333333333329</v>
      </c>
      <c r="E290">
        <v>3.5666666666666664</v>
      </c>
      <c r="F290">
        <v>2.0666666666666664</v>
      </c>
      <c r="G290" s="40">
        <v>0.41</v>
      </c>
      <c r="H290" s="40">
        <v>0.32</v>
      </c>
      <c r="I290" s="40">
        <f t="shared" si="2"/>
        <v>0.27000000000000007</v>
      </c>
      <c r="J290">
        <v>3.4</v>
      </c>
      <c r="K290">
        <v>3.5</v>
      </c>
      <c r="L290">
        <v>2.02</v>
      </c>
      <c r="M290">
        <v>3.5</v>
      </c>
      <c r="N290">
        <v>3.6</v>
      </c>
      <c r="O290">
        <v>2.1</v>
      </c>
      <c r="P290">
        <v>3.55</v>
      </c>
      <c r="Q290">
        <v>3.6</v>
      </c>
      <c r="R290">
        <v>2.08</v>
      </c>
      <c r="S290">
        <v>0.28257583581346873</v>
      </c>
      <c r="T290">
        <v>0.24180147024306889</v>
      </c>
      <c r="U290">
        <v>0.47562269394346229</v>
      </c>
      <c r="V290">
        <v>0.27480916030534358</v>
      </c>
      <c r="W290">
        <v>0.26717557251908403</v>
      </c>
      <c r="X290">
        <v>0.45801526717557256</v>
      </c>
      <c r="Y290">
        <v>0.27079415593808764</v>
      </c>
      <c r="Z290">
        <v>0.26703312599450313</v>
      </c>
      <c r="AA290">
        <v>0.46217271806740917</v>
      </c>
      <c r="AB290">
        <v>0.2760597173523</v>
      </c>
      <c r="AC290">
        <v>0.25867005625221867</v>
      </c>
      <c r="AD290">
        <v>0.46527022639548132</v>
      </c>
      <c r="AE290" t="s">
        <v>40</v>
      </c>
      <c r="AF290" t="s">
        <v>23</v>
      </c>
      <c r="AG290">
        <v>176.8</v>
      </c>
      <c r="AH290">
        <v>30</v>
      </c>
      <c r="AI290">
        <v>14</v>
      </c>
      <c r="AJ290">
        <v>4</v>
      </c>
      <c r="AK290">
        <v>23.5</v>
      </c>
      <c r="AL290">
        <v>255</v>
      </c>
      <c r="AM290">
        <v>2803</v>
      </c>
      <c r="AN290">
        <v>74</v>
      </c>
      <c r="AO290">
        <v>76</v>
      </c>
      <c r="AP290">
        <v>74</v>
      </c>
      <c r="AQ290">
        <v>4</v>
      </c>
      <c r="AR290" t="s">
        <v>28</v>
      </c>
      <c r="AS290" t="s">
        <v>36</v>
      </c>
      <c r="AT290" t="s">
        <v>23</v>
      </c>
      <c r="AU290">
        <v>80.930000000000007</v>
      </c>
      <c r="AV290">
        <v>23</v>
      </c>
      <c r="AW290">
        <v>9</v>
      </c>
      <c r="AX290">
        <v>4</v>
      </c>
      <c r="AY290">
        <v>26.6</v>
      </c>
      <c r="AZ290">
        <v>180</v>
      </c>
      <c r="BA290">
        <v>3627</v>
      </c>
      <c r="BB290">
        <v>75</v>
      </c>
      <c r="BC290">
        <v>74</v>
      </c>
      <c r="BD290">
        <v>74</v>
      </c>
      <c r="BE290">
        <v>3.5</v>
      </c>
      <c r="BF290" t="s">
        <v>29</v>
      </c>
      <c r="BG290">
        <v>1</v>
      </c>
      <c r="BH290">
        <v>2</v>
      </c>
      <c r="BI290">
        <v>0.29399999999999998</v>
      </c>
      <c r="BJ290" t="s">
        <v>266</v>
      </c>
      <c r="BK290">
        <v>0.40629999999999999</v>
      </c>
      <c r="BL290">
        <v>0.47370000000000001</v>
      </c>
      <c r="BM290">
        <v>1.5</v>
      </c>
      <c r="BN290">
        <v>1.32</v>
      </c>
    </row>
    <row r="291" spans="1:66" x14ac:dyDescent="0.25">
      <c r="A291">
        <v>3</v>
      </c>
      <c r="B291">
        <v>-3</v>
      </c>
      <c r="C291">
        <v>7</v>
      </c>
      <c r="D291">
        <v>7.5</v>
      </c>
      <c r="E291">
        <v>5.4666666666666659</v>
      </c>
      <c r="F291">
        <v>1.3566666666666667</v>
      </c>
      <c r="G291" s="40">
        <v>0.12</v>
      </c>
      <c r="H291" s="40">
        <v>0.26</v>
      </c>
      <c r="I291" s="40">
        <f t="shared" si="2"/>
        <v>0.62</v>
      </c>
      <c r="J291">
        <v>7</v>
      </c>
      <c r="K291">
        <v>5.25</v>
      </c>
      <c r="L291">
        <v>1.35</v>
      </c>
      <c r="M291">
        <v>8</v>
      </c>
      <c r="N291">
        <v>5.75</v>
      </c>
      <c r="O291">
        <v>1.35</v>
      </c>
      <c r="P291">
        <v>7.5</v>
      </c>
      <c r="Q291">
        <v>5.4</v>
      </c>
      <c r="R291">
        <v>1.37</v>
      </c>
      <c r="S291">
        <v>0.13993287396672163</v>
      </c>
      <c r="T291">
        <v>0.13448926102064779</v>
      </c>
      <c r="U291">
        <v>0.72557786501263055</v>
      </c>
      <c r="V291">
        <v>0.12023233301064862</v>
      </c>
      <c r="W291">
        <v>0.16727976766698938</v>
      </c>
      <c r="X291">
        <v>0.71248789932236201</v>
      </c>
      <c r="Y291">
        <v>0.12717239956680934</v>
      </c>
      <c r="Z291">
        <v>0.17662833273167963</v>
      </c>
      <c r="AA291">
        <v>0.69619926770151097</v>
      </c>
      <c r="AB291">
        <v>0.12911253551472654</v>
      </c>
      <c r="AC291">
        <v>0.15946578713977227</v>
      </c>
      <c r="AD291">
        <v>0.7114216773455011</v>
      </c>
      <c r="AE291" t="s">
        <v>47</v>
      </c>
      <c r="AF291" t="s">
        <v>23</v>
      </c>
      <c r="AG291">
        <v>46.88</v>
      </c>
      <c r="AH291">
        <v>27</v>
      </c>
      <c r="AI291">
        <v>10</v>
      </c>
      <c r="AJ291">
        <v>7</v>
      </c>
      <c r="AK291">
        <v>25.4</v>
      </c>
      <c r="AL291">
        <v>368</v>
      </c>
      <c r="AM291">
        <v>2020</v>
      </c>
      <c r="AN291">
        <v>72</v>
      </c>
      <c r="AO291">
        <v>70</v>
      </c>
      <c r="AP291">
        <v>72</v>
      </c>
      <c r="AQ291">
        <v>3.5</v>
      </c>
      <c r="AR291" t="s">
        <v>46</v>
      </c>
      <c r="AS291" t="s">
        <v>30</v>
      </c>
      <c r="AT291" t="s">
        <v>23</v>
      </c>
      <c r="AU291">
        <v>358.75</v>
      </c>
      <c r="AV291">
        <v>28</v>
      </c>
      <c r="AW291">
        <v>19</v>
      </c>
      <c r="AX291">
        <v>10</v>
      </c>
      <c r="AY291">
        <v>24.8</v>
      </c>
      <c r="AZ291">
        <v>60</v>
      </c>
      <c r="BA291">
        <v>6154</v>
      </c>
      <c r="BB291">
        <v>79</v>
      </c>
      <c r="BC291">
        <v>78</v>
      </c>
      <c r="BD291">
        <v>77</v>
      </c>
      <c r="BE291">
        <v>4.5</v>
      </c>
      <c r="BF291" t="s">
        <v>29</v>
      </c>
      <c r="BG291">
        <v>-10</v>
      </c>
      <c r="BH291">
        <v>-14</v>
      </c>
      <c r="BI291">
        <v>0.2</v>
      </c>
      <c r="BJ291" t="s">
        <v>266</v>
      </c>
      <c r="BK291">
        <v>0.25</v>
      </c>
      <c r="BL291">
        <v>0.44679999999999997</v>
      </c>
      <c r="BM291">
        <v>1.0900000000000001</v>
      </c>
      <c r="BN291">
        <v>1.7</v>
      </c>
    </row>
    <row r="292" spans="1:66" x14ac:dyDescent="0.25">
      <c r="A292">
        <v>1</v>
      </c>
      <c r="B292">
        <v>3</v>
      </c>
      <c r="C292">
        <v>4</v>
      </c>
      <c r="D292">
        <v>1.1136666666666668</v>
      </c>
      <c r="E292">
        <v>9.4666666666666668</v>
      </c>
      <c r="F292">
        <v>20</v>
      </c>
      <c r="G292" s="40">
        <v>0.56000000000000005</v>
      </c>
      <c r="H292" s="40">
        <v>0.28000000000000003</v>
      </c>
      <c r="I292" s="40">
        <f t="shared" si="2"/>
        <v>0.15999999999999992</v>
      </c>
      <c r="J292">
        <v>1.1100000000000001</v>
      </c>
      <c r="K292">
        <v>9</v>
      </c>
      <c r="L292">
        <v>17</v>
      </c>
      <c r="M292">
        <v>1.111</v>
      </c>
      <c r="N292">
        <v>10</v>
      </c>
      <c r="O292">
        <v>23</v>
      </c>
      <c r="P292">
        <v>1.1200000000000001</v>
      </c>
      <c r="Q292">
        <v>9.4</v>
      </c>
      <c r="R292">
        <v>20</v>
      </c>
      <c r="S292">
        <v>0.8797101775907219</v>
      </c>
      <c r="T292">
        <v>6.2849922578354506E-2</v>
      </c>
      <c r="U292">
        <v>5.743989983092361E-2</v>
      </c>
      <c r="V292">
        <v>0.86251185953806875</v>
      </c>
      <c r="W292">
        <v>9.5825067594679431E-2</v>
      </c>
      <c r="X292">
        <v>4.1663072867251925E-2</v>
      </c>
      <c r="Y292">
        <v>0.85095596755504044</v>
      </c>
      <c r="Z292">
        <v>0.10139049826187715</v>
      </c>
      <c r="AA292">
        <v>4.7653534183082269E-2</v>
      </c>
      <c r="AB292">
        <v>0.86439266822794369</v>
      </c>
      <c r="AC292">
        <v>8.6688496144970359E-2</v>
      </c>
      <c r="AD292">
        <v>4.8918835627085933E-2</v>
      </c>
      <c r="AE292" t="s">
        <v>10</v>
      </c>
      <c r="AF292" t="s">
        <v>23</v>
      </c>
      <c r="AG292">
        <v>801.45</v>
      </c>
      <c r="AH292">
        <v>31</v>
      </c>
      <c r="AI292">
        <v>21</v>
      </c>
      <c r="AJ292">
        <v>13</v>
      </c>
      <c r="AK292">
        <v>25.6</v>
      </c>
      <c r="AL292">
        <v>12</v>
      </c>
      <c r="AM292">
        <v>9495</v>
      </c>
      <c r="AN292">
        <v>88</v>
      </c>
      <c r="AO292">
        <v>84</v>
      </c>
      <c r="AP292">
        <v>83</v>
      </c>
      <c r="AQ292">
        <v>5</v>
      </c>
      <c r="AR292" t="s">
        <v>28</v>
      </c>
      <c r="AS292" t="s">
        <v>37</v>
      </c>
      <c r="AT292" t="s">
        <v>23</v>
      </c>
      <c r="AU292">
        <v>73.25</v>
      </c>
      <c r="AV292">
        <v>26</v>
      </c>
      <c r="AW292">
        <v>17</v>
      </c>
      <c r="AX292">
        <v>8</v>
      </c>
      <c r="AY292">
        <v>23.9</v>
      </c>
      <c r="AZ292">
        <v>223</v>
      </c>
      <c r="BA292">
        <v>3054</v>
      </c>
      <c r="BB292">
        <v>71</v>
      </c>
      <c r="BC292">
        <v>73</v>
      </c>
      <c r="BD292">
        <v>73</v>
      </c>
      <c r="BE292">
        <v>3.5</v>
      </c>
      <c r="BF292" t="s">
        <v>29</v>
      </c>
      <c r="BG292">
        <v>14</v>
      </c>
      <c r="BH292">
        <v>17</v>
      </c>
      <c r="BI292">
        <v>0.61499999999999999</v>
      </c>
      <c r="BJ292" t="s">
        <v>266</v>
      </c>
      <c r="BK292">
        <v>0.81630000000000003</v>
      </c>
      <c r="BL292">
        <v>0.35289999999999999</v>
      </c>
      <c r="BM292">
        <v>2.78</v>
      </c>
      <c r="BN292">
        <v>0.88</v>
      </c>
    </row>
    <row r="293" spans="1:66" x14ac:dyDescent="0.25">
      <c r="A293">
        <v>3</v>
      </c>
      <c r="B293">
        <v>-3</v>
      </c>
      <c r="C293">
        <v>7</v>
      </c>
      <c r="D293">
        <v>3.1833333333333336</v>
      </c>
      <c r="E293">
        <v>3.0999999999999996</v>
      </c>
      <c r="F293">
        <v>2.1733333333333333</v>
      </c>
      <c r="G293" s="40">
        <v>0.25</v>
      </c>
      <c r="H293" s="40">
        <v>0.24</v>
      </c>
      <c r="I293" s="40">
        <f t="shared" si="2"/>
        <v>0.51</v>
      </c>
      <c r="J293">
        <v>3.1</v>
      </c>
      <c r="K293">
        <v>3.05</v>
      </c>
      <c r="L293">
        <v>2.12</v>
      </c>
      <c r="M293">
        <v>3.2</v>
      </c>
      <c r="N293">
        <v>3.1</v>
      </c>
      <c r="O293">
        <v>2.2000000000000002</v>
      </c>
      <c r="P293">
        <v>3.25</v>
      </c>
      <c r="Q293">
        <v>3.15</v>
      </c>
      <c r="R293">
        <v>2.2000000000000002</v>
      </c>
      <c r="S293">
        <v>0.29413805064169268</v>
      </c>
      <c r="T293">
        <v>0.27575442247658694</v>
      </c>
      <c r="U293">
        <v>0.43010752688172044</v>
      </c>
      <c r="V293">
        <v>0.28679562657695545</v>
      </c>
      <c r="W293">
        <v>0.29604709840201848</v>
      </c>
      <c r="X293">
        <v>0.41715727502102606</v>
      </c>
      <c r="Y293">
        <v>0.28497995270895443</v>
      </c>
      <c r="Z293">
        <v>0.29402693533463559</v>
      </c>
      <c r="AA293">
        <v>0.42099311195640998</v>
      </c>
      <c r="AB293">
        <v>0.28863787664253415</v>
      </c>
      <c r="AC293">
        <v>0.28860948540441367</v>
      </c>
      <c r="AD293">
        <v>0.42275263795305218</v>
      </c>
      <c r="AE293" t="s">
        <v>240</v>
      </c>
      <c r="AF293" t="s">
        <v>238</v>
      </c>
      <c r="AG293">
        <v>18.55</v>
      </c>
      <c r="AH293">
        <v>30</v>
      </c>
      <c r="AI293">
        <v>9</v>
      </c>
      <c r="AJ293">
        <v>1</v>
      </c>
      <c r="AK293">
        <v>25.7</v>
      </c>
      <c r="AL293">
        <v>199</v>
      </c>
      <c r="AM293">
        <v>3306</v>
      </c>
      <c r="AN293">
        <v>69</v>
      </c>
      <c r="AO293">
        <v>67</v>
      </c>
      <c r="AP293">
        <v>64</v>
      </c>
      <c r="AQ293">
        <v>2.5</v>
      </c>
      <c r="AR293" t="s">
        <v>46</v>
      </c>
      <c r="AS293" t="s">
        <v>239</v>
      </c>
      <c r="AT293" t="s">
        <v>238</v>
      </c>
      <c r="AU293">
        <v>21.75</v>
      </c>
      <c r="AV293">
        <v>30</v>
      </c>
      <c r="AW293">
        <v>7</v>
      </c>
      <c r="AX293">
        <v>4</v>
      </c>
      <c r="AY293">
        <v>27.8</v>
      </c>
      <c r="AZ293">
        <v>129</v>
      </c>
      <c r="BA293">
        <v>4117</v>
      </c>
      <c r="BB293">
        <v>70</v>
      </c>
      <c r="BC293">
        <v>70</v>
      </c>
      <c r="BD293">
        <v>71</v>
      </c>
      <c r="BE293">
        <v>3</v>
      </c>
      <c r="BF293" t="s">
        <v>29</v>
      </c>
      <c r="BG293">
        <v>-1</v>
      </c>
      <c r="BH293">
        <v>5</v>
      </c>
      <c r="BI293">
        <v>0.28599999999999998</v>
      </c>
      <c r="BJ293" t="s">
        <v>238</v>
      </c>
      <c r="BK293">
        <v>0.54</v>
      </c>
      <c r="BL293">
        <v>0.5</v>
      </c>
      <c r="BM293">
        <v>1.4</v>
      </c>
      <c r="BN293">
        <v>1.77</v>
      </c>
    </row>
    <row r="294" spans="1:66" x14ac:dyDescent="0.25">
      <c r="A294">
        <v>1</v>
      </c>
      <c r="B294">
        <v>1</v>
      </c>
      <c r="C294">
        <v>1</v>
      </c>
      <c r="D294">
        <v>3</v>
      </c>
      <c r="E294">
        <v>3.3833333333333333</v>
      </c>
      <c r="F294">
        <v>2.2999999999999998</v>
      </c>
      <c r="G294" s="40">
        <v>0.32</v>
      </c>
      <c r="H294" s="40">
        <v>0.33</v>
      </c>
      <c r="I294" s="40">
        <f t="shared" si="2"/>
        <v>0.34999999999999992</v>
      </c>
      <c r="J294">
        <v>3</v>
      </c>
      <c r="K294">
        <v>3.4</v>
      </c>
      <c r="L294">
        <v>2.2999999999999998</v>
      </c>
      <c r="M294">
        <v>3</v>
      </c>
      <c r="N294">
        <v>3.35</v>
      </c>
      <c r="O294">
        <v>2.2999999999999998</v>
      </c>
      <c r="P294">
        <v>3</v>
      </c>
      <c r="Q294">
        <v>3.4</v>
      </c>
      <c r="R294">
        <v>2.2999999999999998</v>
      </c>
      <c r="S294">
        <v>0.32322485207100593</v>
      </c>
      <c r="T294">
        <v>0.25517751479289941</v>
      </c>
      <c r="U294">
        <v>0.42159763313609466</v>
      </c>
      <c r="V294">
        <v>0.31251267491381057</v>
      </c>
      <c r="W294">
        <v>0.27986209693774083</v>
      </c>
      <c r="X294">
        <v>0.40762522814844865</v>
      </c>
      <c r="Y294">
        <v>0.31380417335473515</v>
      </c>
      <c r="Z294">
        <v>0.2768860353130016</v>
      </c>
      <c r="AA294">
        <v>0.40930979133226325</v>
      </c>
      <c r="AB294">
        <v>0.31651390011318387</v>
      </c>
      <c r="AC294">
        <v>0.27064188234788061</v>
      </c>
      <c r="AD294">
        <v>0.41284421753893552</v>
      </c>
      <c r="AE294" t="s">
        <v>247</v>
      </c>
      <c r="AF294" t="s">
        <v>246</v>
      </c>
      <c r="AG294">
        <v>12.3</v>
      </c>
      <c r="AH294">
        <v>30</v>
      </c>
      <c r="AI294">
        <v>6</v>
      </c>
      <c r="AJ294">
        <v>2</v>
      </c>
      <c r="AK294">
        <v>24.6</v>
      </c>
      <c r="AL294">
        <v>215</v>
      </c>
      <c r="AM294">
        <v>3127</v>
      </c>
      <c r="AN294">
        <v>73</v>
      </c>
      <c r="AO294">
        <v>70</v>
      </c>
      <c r="AP294">
        <v>69</v>
      </c>
      <c r="AQ294">
        <v>3</v>
      </c>
      <c r="AR294" t="s">
        <v>46</v>
      </c>
      <c r="AS294" t="s">
        <v>125</v>
      </c>
      <c r="AT294" t="s">
        <v>126</v>
      </c>
      <c r="AU294">
        <v>13.2</v>
      </c>
      <c r="AV294">
        <v>33</v>
      </c>
      <c r="AW294">
        <v>6</v>
      </c>
      <c r="AX294">
        <v>2</v>
      </c>
      <c r="AY294">
        <v>25.8</v>
      </c>
      <c r="AZ294">
        <v>648</v>
      </c>
      <c r="BA294">
        <v>911</v>
      </c>
      <c r="BB294">
        <v>73</v>
      </c>
      <c r="BC294">
        <v>70</v>
      </c>
      <c r="BD294">
        <v>72</v>
      </c>
      <c r="BE294">
        <v>3.5</v>
      </c>
      <c r="BF294" t="s">
        <v>28</v>
      </c>
      <c r="BG294">
        <v>3</v>
      </c>
      <c r="BH294">
        <v>6</v>
      </c>
      <c r="BI294">
        <v>0.375</v>
      </c>
      <c r="BJ294" t="s">
        <v>271</v>
      </c>
      <c r="BK294">
        <v>0.5</v>
      </c>
      <c r="BL294">
        <v>0.51060000000000005</v>
      </c>
      <c r="BM294">
        <v>1.42</v>
      </c>
      <c r="BN294">
        <v>1.74</v>
      </c>
    </row>
    <row r="295" spans="1:66" x14ac:dyDescent="0.25">
      <c r="A295">
        <v>3</v>
      </c>
      <c r="B295">
        <v>-1</v>
      </c>
      <c r="C295">
        <v>7</v>
      </c>
      <c r="D295">
        <v>1.9799999999999998</v>
      </c>
      <c r="E295">
        <v>3.4500000000000006</v>
      </c>
      <c r="F295">
        <v>3.7166666666666668</v>
      </c>
      <c r="G295" s="40">
        <v>0.43</v>
      </c>
      <c r="H295" s="40">
        <v>0.12</v>
      </c>
      <c r="I295" s="40">
        <f t="shared" si="2"/>
        <v>0.45000000000000007</v>
      </c>
      <c r="J295">
        <v>1.96</v>
      </c>
      <c r="K295">
        <v>3.45</v>
      </c>
      <c r="L295">
        <v>3.75</v>
      </c>
      <c r="M295">
        <v>2</v>
      </c>
      <c r="N295">
        <v>3.45</v>
      </c>
      <c r="O295">
        <v>3.7</v>
      </c>
      <c r="P295">
        <v>1.98</v>
      </c>
      <c r="Q295">
        <v>3.45</v>
      </c>
      <c r="R295">
        <v>3.7</v>
      </c>
      <c r="S295">
        <v>0.49695400161761771</v>
      </c>
      <c r="T295">
        <v>0.24330470687024075</v>
      </c>
      <c r="U295">
        <v>0.25974129151214154</v>
      </c>
      <c r="V295">
        <v>0.47164234250877518</v>
      </c>
      <c r="W295">
        <v>0.27341585072972469</v>
      </c>
      <c r="X295">
        <v>0.25494180676150008</v>
      </c>
      <c r="Y295">
        <v>0.47414753733006471</v>
      </c>
      <c r="Z295">
        <v>0.27211945620681971</v>
      </c>
      <c r="AA295">
        <v>0.25373300646311564</v>
      </c>
      <c r="AB295">
        <v>0.48091462715215255</v>
      </c>
      <c r="AC295">
        <v>0.2629466712689284</v>
      </c>
      <c r="AD295">
        <v>0.2561387015789191</v>
      </c>
      <c r="AE295" t="s">
        <v>109</v>
      </c>
      <c r="AF295" t="s">
        <v>108</v>
      </c>
      <c r="AG295">
        <v>89.45</v>
      </c>
      <c r="AH295">
        <v>31</v>
      </c>
      <c r="AI295">
        <v>4</v>
      </c>
      <c r="AJ295">
        <v>4</v>
      </c>
      <c r="AK295">
        <v>27.3</v>
      </c>
      <c r="AL295">
        <v>5</v>
      </c>
      <c r="AM295">
        <v>11026</v>
      </c>
      <c r="AN295">
        <v>79</v>
      </c>
      <c r="AO295">
        <v>76</v>
      </c>
      <c r="AP295">
        <v>74</v>
      </c>
      <c r="AQ295">
        <v>4</v>
      </c>
      <c r="AR295" t="s">
        <v>29</v>
      </c>
      <c r="AS295" t="s">
        <v>94</v>
      </c>
      <c r="AT295" t="s">
        <v>85</v>
      </c>
      <c r="AU295">
        <v>13.9</v>
      </c>
      <c r="AV295">
        <v>22</v>
      </c>
      <c r="AW295">
        <v>3</v>
      </c>
      <c r="AX295">
        <v>0</v>
      </c>
      <c r="AY295">
        <v>27.1</v>
      </c>
      <c r="AZ295">
        <v>126</v>
      </c>
      <c r="BA295">
        <v>4236</v>
      </c>
      <c r="BB295">
        <v>72</v>
      </c>
      <c r="BC295">
        <v>72</v>
      </c>
      <c r="BD295">
        <v>71</v>
      </c>
      <c r="BE295">
        <v>3.5</v>
      </c>
      <c r="BF295" t="s">
        <v>28</v>
      </c>
      <c r="BG295">
        <v>0</v>
      </c>
      <c r="BH295">
        <v>3</v>
      </c>
      <c r="BI295">
        <v>0.66700000000000004</v>
      </c>
      <c r="BJ295" t="s">
        <v>271</v>
      </c>
      <c r="BK295">
        <v>0.50649999999999995</v>
      </c>
      <c r="BL295">
        <v>0.43140000000000001</v>
      </c>
      <c r="BM295">
        <v>1.56</v>
      </c>
      <c r="BN295">
        <v>1.31</v>
      </c>
    </row>
    <row r="296" spans="1:66" x14ac:dyDescent="0.25">
      <c r="A296">
        <v>3</v>
      </c>
      <c r="B296">
        <v>-1</v>
      </c>
      <c r="C296">
        <v>3</v>
      </c>
      <c r="D296">
        <v>1.6433333333333333</v>
      </c>
      <c r="E296">
        <v>3.9833333333333329</v>
      </c>
      <c r="F296">
        <v>5.2833333333333332</v>
      </c>
      <c r="G296" s="40">
        <v>0.28999999999999998</v>
      </c>
      <c r="H296" s="40">
        <v>0.39</v>
      </c>
      <c r="I296" s="40">
        <f t="shared" si="2"/>
        <v>0.31999999999999995</v>
      </c>
      <c r="J296">
        <v>1.62</v>
      </c>
      <c r="K296">
        <v>3.9</v>
      </c>
      <c r="L296">
        <v>5.25</v>
      </c>
      <c r="M296">
        <v>1.65</v>
      </c>
      <c r="N296">
        <v>3.85</v>
      </c>
      <c r="O296">
        <v>5</v>
      </c>
      <c r="P296">
        <v>1.66</v>
      </c>
      <c r="Q296">
        <v>4.2</v>
      </c>
      <c r="R296">
        <v>5.6</v>
      </c>
      <c r="S296">
        <v>0.61228711059381158</v>
      </c>
      <c r="T296">
        <v>0.19877858099438372</v>
      </c>
      <c r="U296">
        <v>0.18893430841180472</v>
      </c>
      <c r="V296">
        <v>0.56864337936636888</v>
      </c>
      <c r="W296">
        <v>0.24370430544272947</v>
      </c>
      <c r="X296">
        <v>0.1876523151909017</v>
      </c>
      <c r="Y296">
        <v>0.59113300492610843</v>
      </c>
      <c r="Z296">
        <v>0.23363828289936664</v>
      </c>
      <c r="AA296">
        <v>0.17522871217452499</v>
      </c>
      <c r="AB296">
        <v>0.59068783162876304</v>
      </c>
      <c r="AC296">
        <v>0.22537372311215995</v>
      </c>
      <c r="AD296">
        <v>0.18393844525907713</v>
      </c>
      <c r="AE296" t="s">
        <v>118</v>
      </c>
      <c r="AF296" t="s">
        <v>108</v>
      </c>
      <c r="AG296">
        <v>36.35</v>
      </c>
      <c r="AH296">
        <v>43</v>
      </c>
      <c r="AI296">
        <v>3</v>
      </c>
      <c r="AJ296">
        <v>0</v>
      </c>
      <c r="AK296">
        <v>25.3</v>
      </c>
      <c r="AL296">
        <v>89</v>
      </c>
      <c r="AM296">
        <v>5108</v>
      </c>
      <c r="AN296">
        <v>71</v>
      </c>
      <c r="AO296">
        <v>74</v>
      </c>
      <c r="AP296">
        <v>72</v>
      </c>
      <c r="AQ296">
        <v>3.5</v>
      </c>
      <c r="AR296" t="s">
        <v>29</v>
      </c>
      <c r="AS296" t="s">
        <v>66</v>
      </c>
      <c r="AT296" t="s">
        <v>63</v>
      </c>
      <c r="AU296">
        <v>23.33</v>
      </c>
      <c r="AV296">
        <v>27</v>
      </c>
      <c r="AW296">
        <v>2</v>
      </c>
      <c r="AX296">
        <v>1</v>
      </c>
      <c r="AY296">
        <v>29.3</v>
      </c>
      <c r="AZ296">
        <v>93</v>
      </c>
      <c r="BA296">
        <v>5011</v>
      </c>
      <c r="BB296">
        <v>74</v>
      </c>
      <c r="BC296">
        <v>69</v>
      </c>
      <c r="BD296">
        <v>68</v>
      </c>
      <c r="BE296">
        <v>3</v>
      </c>
      <c r="BF296" t="s">
        <v>28</v>
      </c>
      <c r="BG296">
        <v>0</v>
      </c>
      <c r="BH296">
        <v>1</v>
      </c>
      <c r="BI296">
        <v>0</v>
      </c>
      <c r="BJ296" t="s">
        <v>271</v>
      </c>
      <c r="BK296">
        <v>0.4839</v>
      </c>
      <c r="BL296">
        <v>0.4</v>
      </c>
      <c r="BM296">
        <v>1.52</v>
      </c>
      <c r="BN296">
        <v>1.28</v>
      </c>
    </row>
    <row r="297" spans="1:66" x14ac:dyDescent="0.25">
      <c r="A297">
        <v>3</v>
      </c>
      <c r="B297">
        <v>-1</v>
      </c>
      <c r="C297">
        <v>1</v>
      </c>
      <c r="D297">
        <v>1.96</v>
      </c>
      <c r="E297">
        <v>3.3166666666666664</v>
      </c>
      <c r="F297">
        <v>4.2</v>
      </c>
      <c r="G297" s="40">
        <v>0.28999999999999998</v>
      </c>
      <c r="H297" s="40">
        <v>0.23</v>
      </c>
      <c r="I297" s="40">
        <f t="shared" si="2"/>
        <v>0.48</v>
      </c>
      <c r="J297">
        <v>1.95</v>
      </c>
      <c r="K297">
        <v>3.25</v>
      </c>
      <c r="L297">
        <v>4.1500000000000004</v>
      </c>
      <c r="M297">
        <v>1.95</v>
      </c>
      <c r="N297">
        <v>3.25</v>
      </c>
      <c r="O297">
        <v>4</v>
      </c>
      <c r="P297">
        <v>1.98</v>
      </c>
      <c r="Q297">
        <v>3.45</v>
      </c>
      <c r="R297">
        <v>4.45</v>
      </c>
      <c r="S297">
        <v>0.5065368933315797</v>
      </c>
      <c r="T297">
        <v>0.25545179534394313</v>
      </c>
      <c r="U297">
        <v>0.23801131132447714</v>
      </c>
      <c r="V297">
        <v>0.47904191616766473</v>
      </c>
      <c r="W297">
        <v>0.28742514970059879</v>
      </c>
      <c r="X297">
        <v>0.23353293413173654</v>
      </c>
      <c r="Y297">
        <v>0.49532981658036107</v>
      </c>
      <c r="Z297">
        <v>0.28427624255916373</v>
      </c>
      <c r="AA297">
        <v>0.22039394086047523</v>
      </c>
      <c r="AB297">
        <v>0.49363620869320179</v>
      </c>
      <c r="AC297">
        <v>0.27571772920123522</v>
      </c>
      <c r="AD297">
        <v>0.23064606210556296</v>
      </c>
      <c r="AE297" t="s">
        <v>116</v>
      </c>
      <c r="AF297" t="s">
        <v>108</v>
      </c>
      <c r="AG297">
        <v>50.33</v>
      </c>
      <c r="AH297">
        <v>33</v>
      </c>
      <c r="AI297">
        <v>4</v>
      </c>
      <c r="AJ297">
        <v>1</v>
      </c>
      <c r="AK297">
        <v>25.3</v>
      </c>
      <c r="AL297">
        <v>75</v>
      </c>
      <c r="AM297">
        <v>5476</v>
      </c>
      <c r="AN297">
        <v>75</v>
      </c>
      <c r="AO297">
        <v>75</v>
      </c>
      <c r="AP297">
        <v>75</v>
      </c>
      <c r="AQ297">
        <v>4</v>
      </c>
      <c r="AR297" t="s">
        <v>29</v>
      </c>
      <c r="AS297" t="s">
        <v>91</v>
      </c>
      <c r="AT297" t="s">
        <v>85</v>
      </c>
      <c r="AU297">
        <v>59.6</v>
      </c>
      <c r="AV297">
        <v>34</v>
      </c>
      <c r="AW297">
        <v>4</v>
      </c>
      <c r="AX297">
        <v>3</v>
      </c>
      <c r="AY297">
        <v>27.8</v>
      </c>
      <c r="AZ297">
        <v>97</v>
      </c>
      <c r="BA297">
        <v>4926</v>
      </c>
      <c r="BB297">
        <v>78</v>
      </c>
      <c r="BC297">
        <v>76</v>
      </c>
      <c r="BD297">
        <v>75</v>
      </c>
      <c r="BE297">
        <v>4</v>
      </c>
      <c r="BF297" t="s">
        <v>29</v>
      </c>
      <c r="BG297">
        <v>0</v>
      </c>
      <c r="BH297">
        <v>1</v>
      </c>
      <c r="BI297">
        <v>0</v>
      </c>
      <c r="BJ297" t="s">
        <v>271</v>
      </c>
      <c r="BK297">
        <v>0.44619999999999999</v>
      </c>
      <c r="BL297">
        <v>0.42859999999999998</v>
      </c>
      <c r="BM297">
        <v>1.69</v>
      </c>
      <c r="BN297">
        <v>1.35</v>
      </c>
    </row>
    <row r="298" spans="1:66" x14ac:dyDescent="0.25">
      <c r="A298">
        <v>1</v>
      </c>
      <c r="B298">
        <v>1</v>
      </c>
      <c r="C298">
        <v>3</v>
      </c>
      <c r="D298">
        <v>1.71</v>
      </c>
      <c r="E298">
        <v>3.5833333333333335</v>
      </c>
      <c r="F298">
        <v>5.166666666666667</v>
      </c>
      <c r="G298" s="40">
        <v>0.32</v>
      </c>
      <c r="H298" s="40">
        <v>0.37</v>
      </c>
      <c r="I298" s="40">
        <f t="shared" si="2"/>
        <v>0.30999999999999994</v>
      </c>
      <c r="J298">
        <v>1.7</v>
      </c>
      <c r="K298">
        <v>3.75</v>
      </c>
      <c r="L298">
        <v>5.3</v>
      </c>
      <c r="M298">
        <v>1.77</v>
      </c>
      <c r="N298">
        <v>3.4</v>
      </c>
      <c r="O298">
        <v>5</v>
      </c>
      <c r="P298">
        <v>1.66</v>
      </c>
      <c r="Q298">
        <v>3.6</v>
      </c>
      <c r="R298">
        <v>5.2</v>
      </c>
      <c r="S298">
        <v>0.59791488368474277</v>
      </c>
      <c r="T298">
        <v>0.2103010970201509</v>
      </c>
      <c r="U298">
        <v>0.19178401929510616</v>
      </c>
      <c r="V298">
        <v>0.53345048324337907</v>
      </c>
      <c r="W298">
        <v>0.27770804568846497</v>
      </c>
      <c r="X298">
        <v>0.18884147106815616</v>
      </c>
      <c r="Y298">
        <v>0.56168987037926077</v>
      </c>
      <c r="Z298">
        <v>0.25900144023043686</v>
      </c>
      <c r="AA298">
        <v>0.17930868939030245</v>
      </c>
      <c r="AB298">
        <v>0.5643517457691275</v>
      </c>
      <c r="AC298">
        <v>0.24900352764635092</v>
      </c>
      <c r="AD298">
        <v>0.18664472658452158</v>
      </c>
      <c r="AE298" t="s">
        <v>255</v>
      </c>
      <c r="AF298" t="s">
        <v>253</v>
      </c>
      <c r="AG298">
        <v>808.5</v>
      </c>
      <c r="AH298">
        <v>31</v>
      </c>
      <c r="AI298">
        <v>22</v>
      </c>
      <c r="AJ298">
        <v>19</v>
      </c>
      <c r="AK298">
        <v>25.8</v>
      </c>
      <c r="AL298">
        <v>19</v>
      </c>
      <c r="AM298">
        <v>8832</v>
      </c>
      <c r="AN298">
        <v>80</v>
      </c>
      <c r="AO298">
        <v>84</v>
      </c>
      <c r="AP298">
        <v>81</v>
      </c>
      <c r="AQ298">
        <v>4.5</v>
      </c>
      <c r="AR298" t="s">
        <v>28</v>
      </c>
      <c r="AS298" t="s">
        <v>260</v>
      </c>
      <c r="AT298" t="s">
        <v>253</v>
      </c>
      <c r="AU298">
        <v>454.8</v>
      </c>
      <c r="AV298">
        <v>29</v>
      </c>
      <c r="AW298">
        <v>19</v>
      </c>
      <c r="AX298">
        <v>12</v>
      </c>
      <c r="AY298">
        <v>27.4</v>
      </c>
      <c r="AZ298">
        <v>85</v>
      </c>
      <c r="BA298">
        <v>5188</v>
      </c>
      <c r="BB298">
        <v>80</v>
      </c>
      <c r="BC298">
        <v>79</v>
      </c>
      <c r="BD298">
        <v>79</v>
      </c>
      <c r="BE298">
        <v>4.5</v>
      </c>
      <c r="BF298" t="s">
        <v>29</v>
      </c>
      <c r="BG298">
        <v>49</v>
      </c>
      <c r="BH298">
        <v>93</v>
      </c>
      <c r="BI298">
        <v>0.49299999999999999</v>
      </c>
      <c r="BJ298" t="s">
        <v>267</v>
      </c>
      <c r="BK298">
        <v>0.58179999999999998</v>
      </c>
      <c r="BL298">
        <v>0.57999999999999996</v>
      </c>
      <c r="BM298">
        <v>1.73</v>
      </c>
      <c r="BN298">
        <v>1.82</v>
      </c>
    </row>
    <row r="299" spans="1:66" x14ac:dyDescent="0.25">
      <c r="A299">
        <v>1</v>
      </c>
      <c r="B299">
        <v>1</v>
      </c>
      <c r="C299">
        <v>1</v>
      </c>
      <c r="D299">
        <v>2.0766666666666667</v>
      </c>
      <c r="E299">
        <v>3.2999999999999994</v>
      </c>
      <c r="F299">
        <v>3.4</v>
      </c>
      <c r="G299" s="40">
        <v>0.3</v>
      </c>
      <c r="H299" s="40">
        <v>0.39</v>
      </c>
      <c r="I299" s="40">
        <f t="shared" si="2"/>
        <v>0.30999999999999994</v>
      </c>
      <c r="J299">
        <v>2.0499999999999998</v>
      </c>
      <c r="K299">
        <v>3.3</v>
      </c>
      <c r="L299">
        <v>3.3</v>
      </c>
      <c r="M299">
        <v>2.1</v>
      </c>
      <c r="N299">
        <v>3.3</v>
      </c>
      <c r="O299">
        <v>3.45</v>
      </c>
      <c r="P299">
        <v>2.08</v>
      </c>
      <c r="Q299">
        <v>3.3</v>
      </c>
      <c r="R299">
        <v>3.45</v>
      </c>
      <c r="S299">
        <v>0.45918463717928532</v>
      </c>
      <c r="T299">
        <v>0.2555643003305525</v>
      </c>
      <c r="U299">
        <v>0.28525106249016213</v>
      </c>
      <c r="V299">
        <v>0.44542253521126757</v>
      </c>
      <c r="W299">
        <v>0.28345070422535218</v>
      </c>
      <c r="X299">
        <v>0.27112676056338031</v>
      </c>
      <c r="Y299">
        <v>0.44778761061946903</v>
      </c>
      <c r="Z299">
        <v>0.28224188790560473</v>
      </c>
      <c r="AA299">
        <v>0.26997050147492624</v>
      </c>
      <c r="AB299">
        <v>0.45079826100334069</v>
      </c>
      <c r="AC299">
        <v>0.27375229748716978</v>
      </c>
      <c r="AD299">
        <v>0.27544944150948952</v>
      </c>
      <c r="AE299" t="s">
        <v>87</v>
      </c>
      <c r="AF299" t="s">
        <v>85</v>
      </c>
      <c r="AG299">
        <v>42.88</v>
      </c>
      <c r="AH299">
        <v>27</v>
      </c>
      <c r="AI299">
        <v>4</v>
      </c>
      <c r="AJ299">
        <v>1</v>
      </c>
      <c r="AK299">
        <v>25.7</v>
      </c>
      <c r="AL299">
        <v>67</v>
      </c>
      <c r="AM299">
        <v>5744</v>
      </c>
      <c r="AN299">
        <v>74</v>
      </c>
      <c r="AO299">
        <v>73</v>
      </c>
      <c r="AP299">
        <v>74</v>
      </c>
      <c r="AQ299">
        <v>3.5</v>
      </c>
      <c r="AR299" t="s">
        <v>29</v>
      </c>
      <c r="AS299" t="s">
        <v>117</v>
      </c>
      <c r="AT299" t="s">
        <v>108</v>
      </c>
      <c r="AU299">
        <v>24.2</v>
      </c>
      <c r="AV299">
        <v>32</v>
      </c>
      <c r="AW299">
        <v>0</v>
      </c>
      <c r="AX299">
        <v>0</v>
      </c>
      <c r="AY299">
        <v>26.9</v>
      </c>
      <c r="AZ299">
        <v>84</v>
      </c>
      <c r="BA299">
        <v>5249</v>
      </c>
      <c r="BB299">
        <v>70</v>
      </c>
      <c r="BC299">
        <v>72</v>
      </c>
      <c r="BD299">
        <v>71</v>
      </c>
      <c r="BE299">
        <v>3.5</v>
      </c>
      <c r="BF299" t="s">
        <v>28</v>
      </c>
      <c r="BG299">
        <v>0</v>
      </c>
      <c r="BH299">
        <v>1</v>
      </c>
      <c r="BI299">
        <v>0</v>
      </c>
      <c r="BJ299" t="s">
        <v>286</v>
      </c>
      <c r="BK299">
        <v>0.43180000000000002</v>
      </c>
      <c r="BL299">
        <v>0.40279999999999999</v>
      </c>
      <c r="BM299">
        <v>1.23</v>
      </c>
      <c r="BN299">
        <v>1.33</v>
      </c>
    </row>
    <row r="300" spans="1:66" x14ac:dyDescent="0.25">
      <c r="A300">
        <v>1</v>
      </c>
      <c r="B300">
        <v>1</v>
      </c>
      <c r="C300">
        <v>3</v>
      </c>
      <c r="D300">
        <v>3.2166666666666663</v>
      </c>
      <c r="E300">
        <v>3.0666666666666664</v>
      </c>
      <c r="F300">
        <v>2.273333333333333</v>
      </c>
      <c r="G300" s="40">
        <v>0.25</v>
      </c>
      <c r="H300" s="40">
        <v>0.35</v>
      </c>
      <c r="I300" s="40">
        <f t="shared" si="2"/>
        <v>0.4</v>
      </c>
      <c r="J300">
        <v>3.3</v>
      </c>
      <c r="K300">
        <v>3</v>
      </c>
      <c r="L300">
        <v>2.2000000000000002</v>
      </c>
      <c r="M300">
        <v>3.2</v>
      </c>
      <c r="N300">
        <v>3.1</v>
      </c>
      <c r="O300">
        <v>2.2999999999999998</v>
      </c>
      <c r="P300">
        <v>3.15</v>
      </c>
      <c r="Q300">
        <v>3.1</v>
      </c>
      <c r="R300">
        <v>2.3199999999999998</v>
      </c>
      <c r="S300">
        <v>0.28653295128939832</v>
      </c>
      <c r="T300">
        <v>0.28366762177650429</v>
      </c>
      <c r="U300">
        <v>0.42979942693409745</v>
      </c>
      <c r="V300">
        <v>0.2920934043424826</v>
      </c>
      <c r="W300">
        <v>0.3015157722244981</v>
      </c>
      <c r="X300">
        <v>0.4063908234330193</v>
      </c>
      <c r="Y300">
        <v>0.29639398310323511</v>
      </c>
      <c r="Z300">
        <v>0.30117453121780341</v>
      </c>
      <c r="AA300">
        <v>0.40243148567896153</v>
      </c>
      <c r="AB300">
        <v>0.29167344624503871</v>
      </c>
      <c r="AC300">
        <v>0.2954526417396019</v>
      </c>
      <c r="AD300">
        <v>0.41287391201535945</v>
      </c>
      <c r="AE300" t="s">
        <v>244</v>
      </c>
      <c r="AF300" t="s">
        <v>238</v>
      </c>
      <c r="AG300">
        <v>3.43</v>
      </c>
      <c r="AH300">
        <v>31</v>
      </c>
      <c r="AI300">
        <v>6</v>
      </c>
      <c r="AJ300">
        <v>0</v>
      </c>
      <c r="AK300">
        <v>28.8</v>
      </c>
      <c r="AL300">
        <v>491</v>
      </c>
      <c r="AM300">
        <v>1407</v>
      </c>
      <c r="AN300">
        <v>66</v>
      </c>
      <c r="AO300">
        <v>59</v>
      </c>
      <c r="AP300">
        <v>65</v>
      </c>
      <c r="AQ300">
        <v>2</v>
      </c>
      <c r="AR300" t="s">
        <v>29</v>
      </c>
      <c r="AS300" t="s">
        <v>245</v>
      </c>
      <c r="AT300" t="s">
        <v>246</v>
      </c>
      <c r="AU300">
        <v>14.18</v>
      </c>
      <c r="AV300">
        <v>33</v>
      </c>
      <c r="AW300">
        <v>4</v>
      </c>
      <c r="AX300">
        <v>2</v>
      </c>
      <c r="AY300">
        <v>26.6</v>
      </c>
      <c r="AZ300">
        <v>203</v>
      </c>
      <c r="BA300">
        <v>3267</v>
      </c>
      <c r="BB300">
        <v>72</v>
      </c>
      <c r="BC300">
        <v>69</v>
      </c>
      <c r="BD300">
        <v>69</v>
      </c>
      <c r="BE300">
        <v>3.5</v>
      </c>
      <c r="BF300" t="s">
        <v>29</v>
      </c>
      <c r="BG300">
        <v>-3</v>
      </c>
      <c r="BH300">
        <v>-3</v>
      </c>
      <c r="BI300">
        <v>0</v>
      </c>
      <c r="BJ300" t="s">
        <v>286</v>
      </c>
      <c r="BK300">
        <v>0.28570000000000001</v>
      </c>
      <c r="BL300">
        <v>0.4667</v>
      </c>
      <c r="BM300">
        <v>1</v>
      </c>
      <c r="BN300">
        <v>1.42</v>
      </c>
    </row>
    <row r="301" spans="1:66" x14ac:dyDescent="0.25">
      <c r="A301">
        <v>1</v>
      </c>
      <c r="B301">
        <v>1</v>
      </c>
      <c r="C301">
        <v>3</v>
      </c>
      <c r="D301">
        <v>1.3966666666666665</v>
      </c>
      <c r="E301">
        <v>4.7</v>
      </c>
      <c r="F301">
        <v>7.5333333333333341</v>
      </c>
      <c r="G301" s="40">
        <v>0.64</v>
      </c>
      <c r="H301" s="40">
        <v>0.19</v>
      </c>
      <c r="I301" s="40">
        <f t="shared" si="2"/>
        <v>0.16999999999999998</v>
      </c>
      <c r="J301">
        <v>1.39</v>
      </c>
      <c r="K301">
        <v>4.5999999999999996</v>
      </c>
      <c r="L301">
        <v>7.5</v>
      </c>
      <c r="M301">
        <v>1.4</v>
      </c>
      <c r="N301">
        <v>4.75</v>
      </c>
      <c r="O301">
        <v>7.5</v>
      </c>
      <c r="P301">
        <v>1.4</v>
      </c>
      <c r="Q301">
        <v>4.75</v>
      </c>
      <c r="R301">
        <v>7.6</v>
      </c>
      <c r="S301">
        <v>0.7163088701648247</v>
      </c>
      <c r="T301">
        <v>0.15093521923129455</v>
      </c>
      <c r="U301">
        <v>0.13275591060388084</v>
      </c>
      <c r="V301">
        <v>0.67503552818569401</v>
      </c>
      <c r="W301">
        <v>0.1989578398863098</v>
      </c>
      <c r="X301">
        <v>0.12600663192799622</v>
      </c>
      <c r="Y301">
        <v>0.67615658362989317</v>
      </c>
      <c r="Z301">
        <v>0.199288256227758</v>
      </c>
      <c r="AA301">
        <v>0.12455516014234876</v>
      </c>
      <c r="AB301">
        <v>0.6891669939934707</v>
      </c>
      <c r="AC301">
        <v>0.18306043844845413</v>
      </c>
      <c r="AD301">
        <v>0.12777256755807528</v>
      </c>
      <c r="AE301" t="s">
        <v>92</v>
      </c>
      <c r="AF301" t="s">
        <v>85</v>
      </c>
      <c r="AG301">
        <v>65.13</v>
      </c>
      <c r="AH301">
        <v>32</v>
      </c>
      <c r="AI301">
        <v>5</v>
      </c>
      <c r="AJ301">
        <v>1</v>
      </c>
      <c r="AK301">
        <v>25.7</v>
      </c>
      <c r="AL301">
        <v>98</v>
      </c>
      <c r="AM301">
        <v>4872</v>
      </c>
      <c r="AN301">
        <v>73</v>
      </c>
      <c r="AO301">
        <v>73</v>
      </c>
      <c r="AP301">
        <v>73</v>
      </c>
      <c r="AQ301">
        <v>3.5</v>
      </c>
      <c r="AR301" t="s">
        <v>28</v>
      </c>
      <c r="AS301" t="s">
        <v>293</v>
      </c>
      <c r="AT301" t="s">
        <v>126</v>
      </c>
      <c r="AU301">
        <v>9.0299999999999994</v>
      </c>
      <c r="AV301">
        <v>30</v>
      </c>
      <c r="AW301">
        <v>8</v>
      </c>
      <c r="AX301">
        <v>0</v>
      </c>
      <c r="AY301">
        <v>26.1</v>
      </c>
      <c r="AZ301">
        <v>769</v>
      </c>
      <c r="BA301">
        <v>445</v>
      </c>
      <c r="BB301">
        <v>69</v>
      </c>
      <c r="BC301">
        <v>66</v>
      </c>
      <c r="BD301">
        <v>68</v>
      </c>
      <c r="BE301">
        <v>2.5</v>
      </c>
      <c r="BF301" t="s">
        <v>29</v>
      </c>
      <c r="BG301">
        <v>2</v>
      </c>
      <c r="BH301">
        <v>3</v>
      </c>
      <c r="BI301">
        <v>1</v>
      </c>
      <c r="BJ301" t="s">
        <v>271</v>
      </c>
      <c r="BK301">
        <v>0.46810000000000002</v>
      </c>
      <c r="BL301">
        <v>0.45</v>
      </c>
      <c r="BM301">
        <v>1.3</v>
      </c>
      <c r="BN301">
        <v>1.6</v>
      </c>
    </row>
    <row r="302" spans="1:66" x14ac:dyDescent="0.25">
      <c r="A302">
        <v>2</v>
      </c>
      <c r="B302">
        <v>0</v>
      </c>
      <c r="C302">
        <v>4</v>
      </c>
      <c r="D302">
        <v>1.1870000000000001</v>
      </c>
      <c r="E302">
        <v>7.5666666666666664</v>
      </c>
      <c r="F302">
        <v>13.666666666666666</v>
      </c>
      <c r="G302" s="40">
        <v>0.44</v>
      </c>
      <c r="H302" s="40">
        <v>0.26</v>
      </c>
      <c r="I302" s="40">
        <f t="shared" si="2"/>
        <v>0.30000000000000004</v>
      </c>
      <c r="J302">
        <v>1.19</v>
      </c>
      <c r="K302">
        <v>7</v>
      </c>
      <c r="L302">
        <v>13</v>
      </c>
      <c r="M302">
        <v>1.181</v>
      </c>
      <c r="N302">
        <v>7</v>
      </c>
      <c r="O302">
        <v>13</v>
      </c>
      <c r="P302">
        <v>1.19</v>
      </c>
      <c r="Q302">
        <v>8.6999999999999993</v>
      </c>
      <c r="R302">
        <v>15</v>
      </c>
      <c r="S302">
        <v>0.83720543399179925</v>
      </c>
      <c r="T302">
        <v>8.6158068588951392E-2</v>
      </c>
      <c r="U302">
        <v>7.6636497419249328E-2</v>
      </c>
      <c r="V302">
        <v>0.79392776129820286</v>
      </c>
      <c r="W302">
        <v>0.13394695515616822</v>
      </c>
      <c r="X302">
        <v>7.212528354562904E-2</v>
      </c>
      <c r="Y302">
        <v>0.82229069393773269</v>
      </c>
      <c r="Z302">
        <v>0.11247424434320713</v>
      </c>
      <c r="AA302">
        <v>6.5235061719060128E-2</v>
      </c>
      <c r="AB302">
        <v>0.81780796307591164</v>
      </c>
      <c r="AC302">
        <v>0.11085975602944224</v>
      </c>
      <c r="AD302">
        <v>7.1332280894646161E-2</v>
      </c>
      <c r="AE302" t="s">
        <v>107</v>
      </c>
      <c r="AF302" t="s">
        <v>108</v>
      </c>
      <c r="AG302">
        <v>118.25</v>
      </c>
      <c r="AH302">
        <v>29</v>
      </c>
      <c r="AI302">
        <v>3</v>
      </c>
      <c r="AJ302">
        <v>6</v>
      </c>
      <c r="AK302">
        <v>26.1</v>
      </c>
      <c r="AL302">
        <v>2</v>
      </c>
      <c r="AM302">
        <v>13486</v>
      </c>
      <c r="AN302">
        <v>78</v>
      </c>
      <c r="AO302">
        <v>76</v>
      </c>
      <c r="AP302">
        <v>74</v>
      </c>
      <c r="AQ302">
        <v>4</v>
      </c>
      <c r="AR302" t="s">
        <v>29</v>
      </c>
      <c r="AS302" t="s">
        <v>135</v>
      </c>
      <c r="AT302" t="s">
        <v>134</v>
      </c>
      <c r="AU302">
        <v>17.579999999999998</v>
      </c>
      <c r="AV302">
        <v>27</v>
      </c>
      <c r="AW302">
        <v>8</v>
      </c>
      <c r="AX302">
        <v>4</v>
      </c>
      <c r="AY302">
        <v>27.3</v>
      </c>
      <c r="AZ302">
        <v>314</v>
      </c>
      <c r="BA302">
        <v>2387</v>
      </c>
      <c r="BB302">
        <v>67</v>
      </c>
      <c r="BC302">
        <v>69</v>
      </c>
      <c r="BD302">
        <v>66</v>
      </c>
      <c r="BE302">
        <v>2.5</v>
      </c>
      <c r="BF302" t="s">
        <v>28</v>
      </c>
      <c r="BG302">
        <v>2</v>
      </c>
      <c r="BH302">
        <v>3</v>
      </c>
      <c r="BI302">
        <v>0.66700000000000004</v>
      </c>
      <c r="BJ302" t="s">
        <v>271</v>
      </c>
      <c r="BK302">
        <v>0.62860000000000005</v>
      </c>
      <c r="BL302">
        <v>0.56100000000000005</v>
      </c>
      <c r="BM302">
        <v>1.87</v>
      </c>
      <c r="BN302">
        <v>1.85</v>
      </c>
    </row>
    <row r="303" spans="1:66" x14ac:dyDescent="0.25">
      <c r="A303">
        <v>1</v>
      </c>
      <c r="B303">
        <v>1</v>
      </c>
      <c r="C303">
        <v>2</v>
      </c>
      <c r="D303">
        <v>1.8933333333333333</v>
      </c>
      <c r="E303">
        <v>3.4166666666666665</v>
      </c>
      <c r="F303">
        <v>3.8833333333333333</v>
      </c>
      <c r="G303" s="40">
        <v>0.33</v>
      </c>
      <c r="H303" s="40">
        <v>0.43</v>
      </c>
      <c r="I303" s="40">
        <f t="shared" si="2"/>
        <v>0.23999999999999994</v>
      </c>
      <c r="J303">
        <v>1.9</v>
      </c>
      <c r="K303">
        <v>3.35</v>
      </c>
      <c r="L303">
        <v>3.65</v>
      </c>
      <c r="M303">
        <v>1.9</v>
      </c>
      <c r="N303">
        <v>3.45</v>
      </c>
      <c r="O303">
        <v>4</v>
      </c>
      <c r="P303">
        <v>1.88</v>
      </c>
      <c r="Q303">
        <v>3.45</v>
      </c>
      <c r="R303">
        <v>4</v>
      </c>
      <c r="S303">
        <v>0.49545063868883554</v>
      </c>
      <c r="T303">
        <v>0.24664354939094871</v>
      </c>
      <c r="U303">
        <v>0.25790581192021572</v>
      </c>
      <c r="V303">
        <v>0.493650509747809</v>
      </c>
      <c r="W303">
        <v>0.27186549812198169</v>
      </c>
      <c r="X303">
        <v>0.23448399213020923</v>
      </c>
      <c r="Y303">
        <v>0.49629576350427967</v>
      </c>
      <c r="Z303">
        <v>0.27044522764870887</v>
      </c>
      <c r="AA303">
        <v>0.23325900884701142</v>
      </c>
      <c r="AB303">
        <v>0.49513230398030811</v>
      </c>
      <c r="AC303">
        <v>0.26298475838721308</v>
      </c>
      <c r="AD303">
        <v>0.24188293763247878</v>
      </c>
      <c r="AE303" t="s">
        <v>136</v>
      </c>
      <c r="AF303" t="s">
        <v>134</v>
      </c>
      <c r="AG303">
        <v>13.58</v>
      </c>
      <c r="AH303">
        <v>24</v>
      </c>
      <c r="AI303">
        <v>6</v>
      </c>
      <c r="AJ303">
        <v>3</v>
      </c>
      <c r="AK303">
        <v>27</v>
      </c>
      <c r="AL303">
        <v>359</v>
      </c>
      <c r="AM303">
        <v>2085</v>
      </c>
      <c r="AN303">
        <v>67</v>
      </c>
      <c r="AO303">
        <v>67</v>
      </c>
      <c r="AP303">
        <v>64</v>
      </c>
      <c r="AQ303">
        <v>2.5</v>
      </c>
      <c r="AR303" t="s">
        <v>46</v>
      </c>
      <c r="AS303" t="s">
        <v>62</v>
      </c>
      <c r="AT303" t="s">
        <v>63</v>
      </c>
      <c r="AU303">
        <v>20.65</v>
      </c>
      <c r="AV303">
        <v>29</v>
      </c>
      <c r="AW303">
        <v>2</v>
      </c>
      <c r="AX303">
        <v>2</v>
      </c>
      <c r="AY303">
        <v>26</v>
      </c>
      <c r="AZ303">
        <v>66</v>
      </c>
      <c r="BA303">
        <v>5865</v>
      </c>
      <c r="BB303">
        <v>67</v>
      </c>
      <c r="BC303">
        <v>69</v>
      </c>
      <c r="BD303">
        <v>69</v>
      </c>
      <c r="BE303">
        <v>3</v>
      </c>
      <c r="BF303" t="s">
        <v>29</v>
      </c>
      <c r="BG303">
        <v>0</v>
      </c>
      <c r="BH303">
        <v>1</v>
      </c>
      <c r="BI303">
        <v>0</v>
      </c>
      <c r="BJ303" t="s">
        <v>286</v>
      </c>
      <c r="BK303">
        <v>0.44119999999999998</v>
      </c>
      <c r="BL303">
        <v>0.4375</v>
      </c>
      <c r="BM303">
        <v>1.62</v>
      </c>
      <c r="BN303">
        <v>1.25</v>
      </c>
    </row>
    <row r="304" spans="1:66" x14ac:dyDescent="0.25">
      <c r="A304">
        <v>1</v>
      </c>
      <c r="B304">
        <v>3</v>
      </c>
      <c r="C304">
        <v>5</v>
      </c>
      <c r="D304">
        <v>1.5703333333333334</v>
      </c>
      <c r="E304">
        <v>130.91666666666666</v>
      </c>
      <c r="F304">
        <v>5.45</v>
      </c>
      <c r="G304" s="40">
        <v>0.45</v>
      </c>
      <c r="H304" s="40">
        <v>0.31</v>
      </c>
      <c r="I304" s="40">
        <f t="shared" si="2"/>
        <v>0.24000000000000005</v>
      </c>
      <c r="J304">
        <v>1.57</v>
      </c>
      <c r="K304">
        <v>3.85</v>
      </c>
      <c r="L304">
        <v>5</v>
      </c>
      <c r="M304">
        <v>1.571</v>
      </c>
      <c r="N304">
        <v>385</v>
      </c>
      <c r="O304">
        <v>5.75</v>
      </c>
      <c r="P304">
        <v>1.57</v>
      </c>
      <c r="Q304">
        <v>3.9</v>
      </c>
      <c r="R304">
        <v>5.6</v>
      </c>
      <c r="S304">
        <v>0.60994166984915432</v>
      </c>
      <c r="T304">
        <v>0.19853664581821126</v>
      </c>
      <c r="U304">
        <v>0.19152168433263447</v>
      </c>
      <c r="V304">
        <v>0.78290271326406946</v>
      </c>
      <c r="W304">
        <v>3.1946497728255916E-3</v>
      </c>
      <c r="X304">
        <v>0.21390263696310488</v>
      </c>
      <c r="Y304">
        <v>0.59420487008570255</v>
      </c>
      <c r="Z304">
        <v>0.23920555026527002</v>
      </c>
      <c r="AA304">
        <v>0.16658957964902735</v>
      </c>
      <c r="AB304">
        <v>0.66234975106630889</v>
      </c>
      <c r="AC304">
        <v>0.14697894861876895</v>
      </c>
      <c r="AD304">
        <v>0.19067130031492222</v>
      </c>
      <c r="AE304" t="s">
        <v>93</v>
      </c>
      <c r="AF304" t="s">
        <v>85</v>
      </c>
      <c r="AG304">
        <v>15.08</v>
      </c>
      <c r="AH304">
        <v>25</v>
      </c>
      <c r="AI304">
        <v>3</v>
      </c>
      <c r="AJ304">
        <v>0</v>
      </c>
      <c r="AK304">
        <v>26.2</v>
      </c>
      <c r="AL304">
        <v>100</v>
      </c>
      <c r="AM304">
        <v>4829</v>
      </c>
      <c r="AN304">
        <v>73</v>
      </c>
      <c r="AO304">
        <v>71</v>
      </c>
      <c r="AP304">
        <v>72</v>
      </c>
      <c r="AQ304">
        <v>3.5</v>
      </c>
      <c r="AR304" t="s">
        <v>29</v>
      </c>
      <c r="AS304" t="s">
        <v>128</v>
      </c>
      <c r="AT304" t="s">
        <v>126</v>
      </c>
      <c r="AU304">
        <v>6.88</v>
      </c>
      <c r="AV304">
        <v>28</v>
      </c>
      <c r="AW304">
        <v>7</v>
      </c>
      <c r="AX304">
        <v>1</v>
      </c>
      <c r="AY304">
        <v>23.4</v>
      </c>
      <c r="AZ304">
        <v>759</v>
      </c>
      <c r="BA304">
        <v>476</v>
      </c>
      <c r="BB304">
        <v>65</v>
      </c>
      <c r="BC304">
        <v>66</v>
      </c>
      <c r="BD304">
        <v>64</v>
      </c>
      <c r="BE304">
        <v>2</v>
      </c>
      <c r="BF304" t="s">
        <v>29</v>
      </c>
      <c r="BG304">
        <v>0</v>
      </c>
      <c r="BH304">
        <v>1</v>
      </c>
      <c r="BI304">
        <v>0</v>
      </c>
      <c r="BJ304" t="s">
        <v>286</v>
      </c>
      <c r="BK304">
        <v>0.38890000000000002</v>
      </c>
      <c r="BL304">
        <v>0.3947</v>
      </c>
      <c r="BM304">
        <v>1.36</v>
      </c>
      <c r="BN304">
        <v>1.29</v>
      </c>
    </row>
    <row r="305" spans="1:66" x14ac:dyDescent="0.25">
      <c r="A305">
        <v>1</v>
      </c>
      <c r="B305">
        <v>1</v>
      </c>
      <c r="C305">
        <v>1</v>
      </c>
      <c r="D305">
        <v>1.86</v>
      </c>
      <c r="E305">
        <v>3.5500000000000003</v>
      </c>
      <c r="F305">
        <v>4.2</v>
      </c>
      <c r="G305" s="40">
        <v>0.35</v>
      </c>
      <c r="H305" s="40">
        <v>0.37</v>
      </c>
      <c r="I305" s="40">
        <f t="shared" si="2"/>
        <v>0.28000000000000003</v>
      </c>
      <c r="J305">
        <v>1.85</v>
      </c>
      <c r="K305">
        <v>3.6</v>
      </c>
      <c r="L305">
        <v>4.4000000000000004</v>
      </c>
      <c r="M305">
        <v>1.9</v>
      </c>
      <c r="N305">
        <v>3.5</v>
      </c>
      <c r="O305">
        <v>4</v>
      </c>
      <c r="P305">
        <v>1.83</v>
      </c>
      <c r="Q305">
        <v>3.55</v>
      </c>
      <c r="R305">
        <v>4.2</v>
      </c>
      <c r="S305">
        <v>0.54273855028961371</v>
      </c>
      <c r="T305">
        <v>0.22906455924770769</v>
      </c>
      <c r="U305">
        <v>0.22819689046267852</v>
      </c>
      <c r="V305">
        <v>0.49557522123893805</v>
      </c>
      <c r="W305">
        <v>0.26902654867256637</v>
      </c>
      <c r="X305">
        <v>0.23539823008849556</v>
      </c>
      <c r="Y305">
        <v>0.51250322248002067</v>
      </c>
      <c r="Z305">
        <v>0.26419180201082754</v>
      </c>
      <c r="AA305">
        <v>0.22330497550915185</v>
      </c>
      <c r="AB305">
        <v>0.51693899800285747</v>
      </c>
      <c r="AC305">
        <v>0.25409430331036714</v>
      </c>
      <c r="AD305">
        <v>0.22896669868677533</v>
      </c>
      <c r="AE305" t="s">
        <v>262</v>
      </c>
      <c r="AF305" t="s">
        <v>253</v>
      </c>
      <c r="AG305">
        <v>411.05</v>
      </c>
      <c r="AH305">
        <v>29</v>
      </c>
      <c r="AI305">
        <v>18</v>
      </c>
      <c r="AJ305">
        <v>12</v>
      </c>
      <c r="AK305">
        <v>25.7</v>
      </c>
      <c r="AL305">
        <v>149</v>
      </c>
      <c r="AM305">
        <v>3982</v>
      </c>
      <c r="AN305">
        <v>80</v>
      </c>
      <c r="AO305">
        <v>78</v>
      </c>
      <c r="AP305">
        <v>79</v>
      </c>
      <c r="AQ305">
        <v>4</v>
      </c>
      <c r="AR305" t="s">
        <v>29</v>
      </c>
      <c r="AS305" t="s">
        <v>257</v>
      </c>
      <c r="AT305" t="s">
        <v>253</v>
      </c>
      <c r="AU305">
        <v>334.8</v>
      </c>
      <c r="AV305">
        <v>25</v>
      </c>
      <c r="AW305">
        <v>20</v>
      </c>
      <c r="AX305">
        <v>12</v>
      </c>
      <c r="AY305">
        <v>26.1</v>
      </c>
      <c r="AZ305">
        <v>35</v>
      </c>
      <c r="BA305">
        <v>7311</v>
      </c>
      <c r="BB305">
        <v>79</v>
      </c>
      <c r="BC305">
        <v>79</v>
      </c>
      <c r="BD305">
        <v>78</v>
      </c>
      <c r="BE305">
        <v>4</v>
      </c>
      <c r="BF305" t="s">
        <v>29</v>
      </c>
      <c r="BG305">
        <v>25</v>
      </c>
      <c r="BH305">
        <v>49</v>
      </c>
      <c r="BI305">
        <v>0.45100000000000001</v>
      </c>
      <c r="BJ305" t="s">
        <v>267</v>
      </c>
      <c r="BK305">
        <v>0.52380000000000004</v>
      </c>
      <c r="BL305">
        <v>0.35899999999999999</v>
      </c>
      <c r="BM305">
        <v>1.62</v>
      </c>
      <c r="BN305">
        <v>0.9</v>
      </c>
    </row>
    <row r="306" spans="1:66" x14ac:dyDescent="0.25">
      <c r="A306">
        <v>1</v>
      </c>
      <c r="B306">
        <v>1</v>
      </c>
      <c r="C306">
        <v>1</v>
      </c>
      <c r="D306">
        <v>1.7433333333333332</v>
      </c>
      <c r="E306">
        <v>3.7166666666666668</v>
      </c>
      <c r="F306">
        <v>4.666666666666667</v>
      </c>
      <c r="G306" s="40">
        <v>0.5</v>
      </c>
      <c r="H306" s="40">
        <v>0.23</v>
      </c>
      <c r="I306" s="40">
        <f t="shared" si="2"/>
        <v>0.27</v>
      </c>
      <c r="J306">
        <v>1.73</v>
      </c>
      <c r="K306">
        <v>3.85</v>
      </c>
      <c r="L306">
        <v>5</v>
      </c>
      <c r="M306">
        <v>1.8</v>
      </c>
      <c r="N306">
        <v>3.5</v>
      </c>
      <c r="O306">
        <v>4.5</v>
      </c>
      <c r="P306">
        <v>1.7</v>
      </c>
      <c r="Q306">
        <v>3.8</v>
      </c>
      <c r="R306">
        <v>4.5</v>
      </c>
      <c r="S306">
        <v>0.58797571575895491</v>
      </c>
      <c r="T306">
        <v>0.20858468658844673</v>
      </c>
      <c r="U306">
        <v>0.20343959765259839</v>
      </c>
      <c r="V306">
        <v>0.52238805970149249</v>
      </c>
      <c r="W306">
        <v>0.26865671641791045</v>
      </c>
      <c r="X306">
        <v>0.20895522388059701</v>
      </c>
      <c r="Y306">
        <v>0.5479013136815124</v>
      </c>
      <c r="Z306">
        <v>0.2451137455943608</v>
      </c>
      <c r="AA306">
        <v>0.2069849407241269</v>
      </c>
      <c r="AB306">
        <v>0.5527550297139866</v>
      </c>
      <c r="AC306">
        <v>0.24078504953357269</v>
      </c>
      <c r="AD306">
        <v>0.20645992075244077</v>
      </c>
      <c r="AE306" t="s">
        <v>263</v>
      </c>
      <c r="AF306" t="s">
        <v>253</v>
      </c>
      <c r="AG306">
        <v>228.1</v>
      </c>
      <c r="AH306">
        <v>29</v>
      </c>
      <c r="AI306">
        <v>17</v>
      </c>
      <c r="AJ306">
        <v>7</v>
      </c>
      <c r="AK306">
        <v>27.5</v>
      </c>
      <c r="AL306">
        <v>156</v>
      </c>
      <c r="AM306">
        <v>3890</v>
      </c>
      <c r="AN306">
        <v>75</v>
      </c>
      <c r="AO306">
        <v>78</v>
      </c>
      <c r="AP306">
        <v>77</v>
      </c>
      <c r="AQ306">
        <v>4</v>
      </c>
      <c r="AR306" t="s">
        <v>46</v>
      </c>
      <c r="AS306" t="s">
        <v>264</v>
      </c>
      <c r="AT306" t="s">
        <v>253</v>
      </c>
      <c r="AU306">
        <v>140.75</v>
      </c>
      <c r="AV306">
        <v>24</v>
      </c>
      <c r="AW306">
        <v>10</v>
      </c>
      <c r="AX306">
        <v>7</v>
      </c>
      <c r="AY306">
        <v>28</v>
      </c>
      <c r="AZ306">
        <v>157</v>
      </c>
      <c r="BA306">
        <v>3883</v>
      </c>
      <c r="BB306">
        <v>73</v>
      </c>
      <c r="BC306">
        <v>77</v>
      </c>
      <c r="BD306">
        <v>75</v>
      </c>
      <c r="BE306">
        <v>4</v>
      </c>
      <c r="BF306" t="s">
        <v>46</v>
      </c>
      <c r="BG306">
        <v>11</v>
      </c>
      <c r="BH306">
        <v>15</v>
      </c>
      <c r="BI306">
        <v>0.51700000000000002</v>
      </c>
      <c r="BJ306" t="s">
        <v>267</v>
      </c>
      <c r="BK306">
        <v>0.3</v>
      </c>
      <c r="BL306">
        <v>0.2</v>
      </c>
      <c r="BM306">
        <v>1.23</v>
      </c>
      <c r="BN306">
        <v>0.63</v>
      </c>
    </row>
    <row r="307" spans="1:66" x14ac:dyDescent="0.25">
      <c r="A307">
        <v>3</v>
      </c>
      <c r="B307">
        <v>-2</v>
      </c>
      <c r="C307">
        <v>4</v>
      </c>
      <c r="D307">
        <v>5.7833333333333341</v>
      </c>
      <c r="E307">
        <v>4.2333333333333334</v>
      </c>
      <c r="F307">
        <v>1.5433333333333337</v>
      </c>
      <c r="G307" s="40">
        <v>0.23</v>
      </c>
      <c r="H307" s="40">
        <v>0.32</v>
      </c>
      <c r="I307" s="40">
        <f t="shared" si="2"/>
        <v>0.45</v>
      </c>
      <c r="J307">
        <v>6</v>
      </c>
      <c r="K307">
        <v>4.5</v>
      </c>
      <c r="L307">
        <v>1.53</v>
      </c>
      <c r="M307">
        <v>5.85</v>
      </c>
      <c r="N307">
        <v>4</v>
      </c>
      <c r="O307">
        <v>1.56</v>
      </c>
      <c r="P307">
        <v>5.5</v>
      </c>
      <c r="Q307">
        <v>4.2</v>
      </c>
      <c r="R307">
        <v>1.54</v>
      </c>
      <c r="S307">
        <v>0.16892163724641912</v>
      </c>
      <c r="T307">
        <v>0.16864056963036853</v>
      </c>
      <c r="U307">
        <v>0.66243779312321227</v>
      </c>
      <c r="V307">
        <v>0.16096579476861167</v>
      </c>
      <c r="W307">
        <v>0.23541247484909456</v>
      </c>
      <c r="X307">
        <v>0.60362173038229372</v>
      </c>
      <c r="Y307">
        <v>0.17004048582995954</v>
      </c>
      <c r="Z307">
        <v>0.22267206477732793</v>
      </c>
      <c r="AA307">
        <v>0.60728744939271262</v>
      </c>
      <c r="AB307">
        <v>0.16664263928166342</v>
      </c>
      <c r="AC307">
        <v>0.20890836975226368</v>
      </c>
      <c r="AD307">
        <v>0.62444899096607287</v>
      </c>
      <c r="AE307" t="s">
        <v>261</v>
      </c>
      <c r="AF307" t="s">
        <v>253</v>
      </c>
      <c r="AG307">
        <v>179.43</v>
      </c>
      <c r="AH307">
        <v>24</v>
      </c>
      <c r="AI307">
        <v>15</v>
      </c>
      <c r="AJ307">
        <v>8</v>
      </c>
      <c r="AK307">
        <v>29</v>
      </c>
      <c r="AL307">
        <v>135</v>
      </c>
      <c r="AM307">
        <v>4146</v>
      </c>
      <c r="AN307">
        <v>73</v>
      </c>
      <c r="AO307">
        <v>77</v>
      </c>
      <c r="AP307">
        <v>76</v>
      </c>
      <c r="AQ307">
        <v>4</v>
      </c>
      <c r="AR307" t="s">
        <v>29</v>
      </c>
      <c r="AS307" t="s">
        <v>256</v>
      </c>
      <c r="AT307" t="s">
        <v>253</v>
      </c>
      <c r="AU307">
        <v>599.35</v>
      </c>
      <c r="AV307">
        <v>30</v>
      </c>
      <c r="AW307">
        <v>22</v>
      </c>
      <c r="AX307">
        <v>13</v>
      </c>
      <c r="AY307">
        <v>26</v>
      </c>
      <c r="AZ307">
        <v>25</v>
      </c>
      <c r="BA307">
        <v>7938</v>
      </c>
      <c r="BB307">
        <v>84</v>
      </c>
      <c r="BC307">
        <v>82</v>
      </c>
      <c r="BD307">
        <v>78</v>
      </c>
      <c r="BE307">
        <v>4.5</v>
      </c>
      <c r="BF307" t="s">
        <v>29</v>
      </c>
      <c r="BG307">
        <v>-49</v>
      </c>
      <c r="BH307">
        <v>-55</v>
      </c>
      <c r="BI307">
        <v>8.8999999999999996E-2</v>
      </c>
      <c r="BJ307" t="s">
        <v>267</v>
      </c>
      <c r="BK307">
        <v>0.29730000000000001</v>
      </c>
      <c r="BL307">
        <v>0.48209999999999997</v>
      </c>
      <c r="BM307">
        <v>1</v>
      </c>
      <c r="BN307">
        <v>1.59</v>
      </c>
    </row>
    <row r="308" spans="1:66" x14ac:dyDescent="0.25">
      <c r="A308">
        <v>3</v>
      </c>
      <c r="B308">
        <v>-3</v>
      </c>
      <c r="C308">
        <v>3</v>
      </c>
      <c r="D308">
        <v>10.433333333333334</v>
      </c>
      <c r="E308">
        <v>6.2666666666666666</v>
      </c>
      <c r="F308">
        <v>1.25</v>
      </c>
      <c r="G308" s="40">
        <v>0.17</v>
      </c>
      <c r="H308" s="40">
        <v>0.27</v>
      </c>
      <c r="I308" s="40">
        <f t="shared" si="2"/>
        <v>0.55999999999999994</v>
      </c>
      <c r="J308">
        <v>12</v>
      </c>
      <c r="K308">
        <v>6.75</v>
      </c>
      <c r="L308">
        <v>1.24</v>
      </c>
      <c r="M308">
        <v>9.5</v>
      </c>
      <c r="N308">
        <v>5.75</v>
      </c>
      <c r="O308">
        <v>1.28</v>
      </c>
      <c r="P308">
        <v>9.8000000000000007</v>
      </c>
      <c r="Q308">
        <v>6.3</v>
      </c>
      <c r="R308">
        <v>1.23</v>
      </c>
      <c r="S308">
        <v>8.4911327255051891E-2</v>
      </c>
      <c r="T308">
        <v>9.3366150921865232E-2</v>
      </c>
      <c r="U308">
        <v>0.82172252182308292</v>
      </c>
      <c r="V308">
        <v>9.9264953806730075E-2</v>
      </c>
      <c r="W308">
        <v>0.16400296715894533</v>
      </c>
      <c r="X308">
        <v>0.73673207903432469</v>
      </c>
      <c r="Y308">
        <v>9.5029616276075188E-2</v>
      </c>
      <c r="Z308">
        <v>0.14782384754056144</v>
      </c>
      <c r="AA308">
        <v>0.75714653618336347</v>
      </c>
      <c r="AB308">
        <v>9.3068632445952384E-2</v>
      </c>
      <c r="AC308">
        <v>0.13506432187379067</v>
      </c>
      <c r="AD308">
        <v>0.7718670456802571</v>
      </c>
      <c r="AE308" t="s">
        <v>265</v>
      </c>
      <c r="AF308" t="s">
        <v>253</v>
      </c>
      <c r="AG308">
        <v>154.28</v>
      </c>
      <c r="AH308">
        <v>25</v>
      </c>
      <c r="AI308">
        <v>10</v>
      </c>
      <c r="AJ308">
        <v>6</v>
      </c>
      <c r="AK308">
        <v>27.6</v>
      </c>
      <c r="AL308">
        <v>163</v>
      </c>
      <c r="AM308">
        <v>3781</v>
      </c>
      <c r="AN308">
        <v>77</v>
      </c>
      <c r="AO308">
        <v>76</v>
      </c>
      <c r="AP308">
        <v>76</v>
      </c>
      <c r="AQ308">
        <v>4</v>
      </c>
      <c r="AR308" t="s">
        <v>46</v>
      </c>
      <c r="AS308" t="s">
        <v>252</v>
      </c>
      <c r="AT308" t="s">
        <v>253</v>
      </c>
      <c r="AU308">
        <v>1020</v>
      </c>
      <c r="AV308">
        <v>31</v>
      </c>
      <c r="AW308">
        <v>23</v>
      </c>
      <c r="AX308">
        <v>20</v>
      </c>
      <c r="AY308">
        <v>25.8</v>
      </c>
      <c r="AZ308">
        <v>1</v>
      </c>
      <c r="BA308">
        <v>14695</v>
      </c>
      <c r="BB308">
        <v>87</v>
      </c>
      <c r="BC308">
        <v>83</v>
      </c>
      <c r="BD308">
        <v>85</v>
      </c>
      <c r="BE308">
        <v>5</v>
      </c>
      <c r="BF308" t="s">
        <v>29</v>
      </c>
      <c r="BG308">
        <v>-52</v>
      </c>
      <c r="BH308">
        <v>-53</v>
      </c>
      <c r="BI308">
        <v>0.17</v>
      </c>
      <c r="BJ308" t="s">
        <v>267</v>
      </c>
      <c r="BK308">
        <v>0.29270000000000002</v>
      </c>
      <c r="BL308">
        <v>0.70909999999999995</v>
      </c>
      <c r="BM308">
        <v>0.98</v>
      </c>
      <c r="BN308">
        <v>2.0699999999999998</v>
      </c>
    </row>
    <row r="309" spans="1:66" x14ac:dyDescent="0.25">
      <c r="A309">
        <v>1</v>
      </c>
      <c r="B309">
        <v>1</v>
      </c>
      <c r="C309">
        <v>1</v>
      </c>
      <c r="D309">
        <v>1.8233333333333335</v>
      </c>
      <c r="E309">
        <v>3.5833333333333335</v>
      </c>
      <c r="F309">
        <v>4.2833333333333341</v>
      </c>
      <c r="G309" s="40">
        <v>0.35</v>
      </c>
      <c r="H309" s="40">
        <v>0.38</v>
      </c>
      <c r="I309" s="40">
        <f t="shared" si="2"/>
        <v>0.27</v>
      </c>
      <c r="J309">
        <v>1.75</v>
      </c>
      <c r="K309">
        <v>3.5</v>
      </c>
      <c r="L309">
        <v>4.4000000000000004</v>
      </c>
      <c r="M309">
        <v>1.9</v>
      </c>
      <c r="N309">
        <v>3.55</v>
      </c>
      <c r="O309">
        <v>4</v>
      </c>
      <c r="P309">
        <v>1.82</v>
      </c>
      <c r="Q309">
        <v>3.7</v>
      </c>
      <c r="R309">
        <v>4.45</v>
      </c>
      <c r="S309">
        <v>0.55164895066775688</v>
      </c>
      <c r="T309">
        <v>0.22894521668029436</v>
      </c>
      <c r="U309">
        <v>0.21940583265194871</v>
      </c>
      <c r="V309">
        <v>0.4974601506393414</v>
      </c>
      <c r="W309">
        <v>0.26624627780697147</v>
      </c>
      <c r="X309">
        <v>0.23629357155368713</v>
      </c>
      <c r="Y309">
        <v>0.52607195347945557</v>
      </c>
      <c r="Z309">
        <v>0.25877052846827275</v>
      </c>
      <c r="AA309">
        <v>0.21515751805227171</v>
      </c>
      <c r="AB309">
        <v>0.525060351595518</v>
      </c>
      <c r="AC309">
        <v>0.25132067431851285</v>
      </c>
      <c r="AD309">
        <v>0.22361897408596917</v>
      </c>
      <c r="AE309" t="s">
        <v>89</v>
      </c>
      <c r="AF309" t="s">
        <v>85</v>
      </c>
      <c r="AG309">
        <v>27.63</v>
      </c>
      <c r="AH309">
        <v>32</v>
      </c>
      <c r="AI309">
        <v>5</v>
      </c>
      <c r="AJ309">
        <v>1</v>
      </c>
      <c r="AK309">
        <v>26</v>
      </c>
      <c r="AL309">
        <v>78</v>
      </c>
      <c r="AM309">
        <v>5364</v>
      </c>
      <c r="AN309">
        <v>72</v>
      </c>
      <c r="AO309">
        <v>67</v>
      </c>
      <c r="AP309">
        <v>71</v>
      </c>
      <c r="AQ309">
        <v>3</v>
      </c>
      <c r="AR309" t="s">
        <v>29</v>
      </c>
      <c r="AS309" t="s">
        <v>67</v>
      </c>
      <c r="AT309" t="s">
        <v>63</v>
      </c>
      <c r="AU309">
        <v>19.75</v>
      </c>
      <c r="AV309">
        <v>33</v>
      </c>
      <c r="AW309">
        <v>2</v>
      </c>
      <c r="AX309">
        <v>1</v>
      </c>
      <c r="AY309">
        <v>24.9</v>
      </c>
      <c r="AZ309">
        <v>104</v>
      </c>
      <c r="BA309">
        <v>4793</v>
      </c>
      <c r="BB309">
        <v>68</v>
      </c>
      <c r="BC309">
        <v>70</v>
      </c>
      <c r="BD309">
        <v>71</v>
      </c>
      <c r="BE309">
        <v>3</v>
      </c>
      <c r="BF309" t="s">
        <v>29</v>
      </c>
      <c r="BG309">
        <v>2</v>
      </c>
      <c r="BH309">
        <v>3</v>
      </c>
      <c r="BI309">
        <v>1</v>
      </c>
      <c r="BJ309" t="s">
        <v>271</v>
      </c>
      <c r="BK309">
        <v>0.46150000000000002</v>
      </c>
      <c r="BL309">
        <v>0.42859999999999998</v>
      </c>
      <c r="BM309">
        <v>0.95</v>
      </c>
      <c r="BN309">
        <v>1.75</v>
      </c>
    </row>
    <row r="310" spans="1:66" x14ac:dyDescent="0.25">
      <c r="A310">
        <v>2</v>
      </c>
      <c r="B310">
        <v>0</v>
      </c>
      <c r="C310">
        <v>0</v>
      </c>
      <c r="D310">
        <v>1.45</v>
      </c>
      <c r="E310">
        <v>4.3666666666666671</v>
      </c>
      <c r="F310">
        <v>7.0166666666666666</v>
      </c>
      <c r="G310" s="40">
        <v>0.54</v>
      </c>
      <c r="H310" s="40">
        <v>0.24</v>
      </c>
      <c r="I310" s="40">
        <f t="shared" si="2"/>
        <v>0.21999999999999997</v>
      </c>
      <c r="J310">
        <v>1.4</v>
      </c>
      <c r="K310">
        <v>4.5</v>
      </c>
      <c r="L310">
        <v>7.8</v>
      </c>
      <c r="M310">
        <v>1.5</v>
      </c>
      <c r="N310">
        <v>4.2</v>
      </c>
      <c r="O310">
        <v>6.25</v>
      </c>
      <c r="P310">
        <v>1.45</v>
      </c>
      <c r="Q310">
        <v>4.4000000000000004</v>
      </c>
      <c r="R310">
        <v>7</v>
      </c>
      <c r="S310">
        <v>0.71803738317757015</v>
      </c>
      <c r="T310">
        <v>0.15308411214953271</v>
      </c>
      <c r="U310">
        <v>0.12887850467289719</v>
      </c>
      <c r="V310">
        <v>0.6261180679785332</v>
      </c>
      <c r="W310">
        <v>0.22361359570661898</v>
      </c>
      <c r="X310">
        <v>0.15026833631484798</v>
      </c>
      <c r="Y310">
        <v>0.65075005282062126</v>
      </c>
      <c r="Z310">
        <v>0.21445172195225015</v>
      </c>
      <c r="AA310">
        <v>0.13479822522712867</v>
      </c>
      <c r="AB310">
        <v>0.66496850132557495</v>
      </c>
      <c r="AC310">
        <v>0.19704980993613397</v>
      </c>
      <c r="AD310">
        <v>0.13798168873829128</v>
      </c>
      <c r="AE310" t="s">
        <v>86</v>
      </c>
      <c r="AF310" t="s">
        <v>85</v>
      </c>
      <c r="AG310">
        <v>80.2</v>
      </c>
      <c r="AH310">
        <v>31</v>
      </c>
      <c r="AI310">
        <v>6</v>
      </c>
      <c r="AJ310">
        <v>4</v>
      </c>
      <c r="AK310">
        <v>26.9</v>
      </c>
      <c r="AL310">
        <v>10</v>
      </c>
      <c r="AM310">
        <v>9954</v>
      </c>
      <c r="AN310">
        <v>75</v>
      </c>
      <c r="AO310">
        <v>76</v>
      </c>
      <c r="AP310">
        <v>76</v>
      </c>
      <c r="AQ310">
        <v>4</v>
      </c>
      <c r="AR310" t="s">
        <v>46</v>
      </c>
      <c r="AS310" t="s">
        <v>272</v>
      </c>
      <c r="AT310" t="s">
        <v>134</v>
      </c>
      <c r="AU310">
        <v>16.5</v>
      </c>
      <c r="AV310">
        <v>31</v>
      </c>
      <c r="AW310">
        <v>8</v>
      </c>
      <c r="AX310">
        <v>2</v>
      </c>
      <c r="AY310">
        <v>27.5</v>
      </c>
      <c r="AZ310">
        <v>546</v>
      </c>
      <c r="BA310">
        <v>1204</v>
      </c>
      <c r="BB310">
        <v>69</v>
      </c>
      <c r="BC310">
        <v>66</v>
      </c>
      <c r="BD310">
        <v>68</v>
      </c>
      <c r="BE310">
        <v>2.5</v>
      </c>
      <c r="BF310" t="s">
        <v>29</v>
      </c>
      <c r="BG310">
        <v>2</v>
      </c>
      <c r="BH310">
        <v>7</v>
      </c>
      <c r="BI310">
        <v>0.6</v>
      </c>
      <c r="BJ310" t="s">
        <v>271</v>
      </c>
      <c r="BK310">
        <v>0.56000000000000005</v>
      </c>
      <c r="BL310">
        <v>0.5</v>
      </c>
      <c r="BM310">
        <v>1.5</v>
      </c>
      <c r="BN310">
        <v>1.48</v>
      </c>
    </row>
    <row r="311" spans="1:66" x14ac:dyDescent="0.25">
      <c r="A311">
        <v>3</v>
      </c>
      <c r="B311">
        <v>-1</v>
      </c>
      <c r="C311">
        <v>1</v>
      </c>
      <c r="D311">
        <v>3.6333333333333333</v>
      </c>
      <c r="E311">
        <v>3.4833333333333329</v>
      </c>
      <c r="F311">
        <v>2</v>
      </c>
      <c r="G311" s="40">
        <v>0.4</v>
      </c>
      <c r="H311" s="40">
        <v>0.24</v>
      </c>
      <c r="I311" s="40">
        <f t="shared" si="2"/>
        <v>0.36</v>
      </c>
      <c r="J311">
        <v>3.5</v>
      </c>
      <c r="K311">
        <v>3.4</v>
      </c>
      <c r="L311">
        <v>2.0499999999999998</v>
      </c>
      <c r="M311">
        <v>3.65</v>
      </c>
      <c r="N311">
        <v>3.45</v>
      </c>
      <c r="O311">
        <v>2</v>
      </c>
      <c r="P311">
        <v>3.75</v>
      </c>
      <c r="Q311">
        <v>3.6</v>
      </c>
      <c r="R311">
        <v>1.95</v>
      </c>
      <c r="S311">
        <v>0.27711542366489716</v>
      </c>
      <c r="T311">
        <v>0.24976068227308332</v>
      </c>
      <c r="U311">
        <v>0.47312389406201966</v>
      </c>
      <c r="V311">
        <v>0.25753475786134178</v>
      </c>
      <c r="W311">
        <v>0.27246430904170937</v>
      </c>
      <c r="X311">
        <v>0.47000093309694874</v>
      </c>
      <c r="Y311">
        <v>0.25222312045270812</v>
      </c>
      <c r="Z311">
        <v>0.26273241713823764</v>
      </c>
      <c r="AA311">
        <v>0.48504446240905413</v>
      </c>
      <c r="AB311">
        <v>0.26229110065964906</v>
      </c>
      <c r="AC311">
        <v>0.26165246948434345</v>
      </c>
      <c r="AD311">
        <v>0.47605642985600749</v>
      </c>
      <c r="AE311" t="s">
        <v>237</v>
      </c>
      <c r="AF311" t="s">
        <v>238</v>
      </c>
      <c r="AG311">
        <v>18.579999999999998</v>
      </c>
      <c r="AH311">
        <v>32</v>
      </c>
      <c r="AI311">
        <v>7</v>
      </c>
      <c r="AJ311">
        <v>3</v>
      </c>
      <c r="AK311">
        <v>29.5</v>
      </c>
      <c r="AL311">
        <v>109</v>
      </c>
      <c r="AM311">
        <v>4640</v>
      </c>
      <c r="AN311">
        <v>74</v>
      </c>
      <c r="AO311">
        <v>72</v>
      </c>
      <c r="AP311">
        <v>71</v>
      </c>
      <c r="AQ311">
        <v>3.5</v>
      </c>
      <c r="AR311" t="s">
        <v>29</v>
      </c>
      <c r="AS311" t="s">
        <v>112</v>
      </c>
      <c r="AT311" t="s">
        <v>108</v>
      </c>
      <c r="AU311">
        <v>55.08</v>
      </c>
      <c r="AV311">
        <v>36</v>
      </c>
      <c r="AW311">
        <v>7</v>
      </c>
      <c r="AX311">
        <v>2</v>
      </c>
      <c r="AY311">
        <v>26.4</v>
      </c>
      <c r="AZ311">
        <v>17</v>
      </c>
      <c r="BA311">
        <v>9035</v>
      </c>
      <c r="BB311">
        <v>73</v>
      </c>
      <c r="BC311">
        <v>74</v>
      </c>
      <c r="BD311">
        <v>74</v>
      </c>
      <c r="BE311">
        <v>3.5</v>
      </c>
      <c r="BF311" t="s">
        <v>29</v>
      </c>
      <c r="BG311">
        <v>-4</v>
      </c>
      <c r="BH311">
        <v>-5</v>
      </c>
      <c r="BI311">
        <v>0.2</v>
      </c>
      <c r="BJ311" t="s">
        <v>271</v>
      </c>
      <c r="BK311">
        <v>0.47620000000000001</v>
      </c>
      <c r="BL311">
        <v>0.52939999999999998</v>
      </c>
      <c r="BM311">
        <v>1.17</v>
      </c>
      <c r="BN311">
        <v>1.5</v>
      </c>
    </row>
    <row r="312" spans="1:66" x14ac:dyDescent="0.25">
      <c r="A312">
        <v>1</v>
      </c>
      <c r="B312">
        <v>2</v>
      </c>
      <c r="C312">
        <v>4</v>
      </c>
      <c r="D312">
        <v>1.7596666666666667</v>
      </c>
      <c r="E312">
        <v>3.4666666666666668</v>
      </c>
      <c r="F312">
        <v>4.5</v>
      </c>
      <c r="G312" s="40">
        <v>0.54</v>
      </c>
      <c r="H312" s="40">
        <v>0.25</v>
      </c>
      <c r="I312" s="40">
        <f t="shared" si="2"/>
        <v>0.20999999999999996</v>
      </c>
      <c r="J312">
        <v>1.73</v>
      </c>
      <c r="K312">
        <v>3.4</v>
      </c>
      <c r="L312">
        <v>4.5</v>
      </c>
      <c r="M312">
        <v>1.7689999999999999</v>
      </c>
      <c r="N312">
        <v>3.5</v>
      </c>
      <c r="O312">
        <v>4.5</v>
      </c>
      <c r="P312">
        <v>1.78</v>
      </c>
      <c r="Q312">
        <v>3.5</v>
      </c>
      <c r="R312">
        <v>4.5</v>
      </c>
      <c r="S312">
        <v>0.55390337912507526</v>
      </c>
      <c r="T312">
        <v>0.23315154401128474</v>
      </c>
      <c r="U312">
        <v>0.21294507686364003</v>
      </c>
      <c r="V312">
        <v>0.52672062069426795</v>
      </c>
      <c r="W312">
        <v>0.2662196508594743</v>
      </c>
      <c r="X312">
        <v>0.20705972844625775</v>
      </c>
      <c r="Y312">
        <v>0.52517505835278433</v>
      </c>
      <c r="Z312">
        <v>0.26708902967655884</v>
      </c>
      <c r="AA312">
        <v>0.20773591197065694</v>
      </c>
      <c r="AB312">
        <v>0.53526635272404255</v>
      </c>
      <c r="AC312">
        <v>0.25548674151577266</v>
      </c>
      <c r="AD312">
        <v>0.2092469057601849</v>
      </c>
      <c r="AE312" t="s">
        <v>96</v>
      </c>
      <c r="AF312" t="s">
        <v>85</v>
      </c>
      <c r="AG312">
        <v>21.78</v>
      </c>
      <c r="AH312">
        <v>29</v>
      </c>
      <c r="AI312">
        <v>2</v>
      </c>
      <c r="AJ312">
        <v>1</v>
      </c>
      <c r="AK312">
        <v>27.3</v>
      </c>
      <c r="AL312">
        <v>146</v>
      </c>
      <c r="AM312">
        <v>4001</v>
      </c>
      <c r="AN312">
        <v>69</v>
      </c>
      <c r="AO312">
        <v>71</v>
      </c>
      <c r="AP312">
        <v>71</v>
      </c>
      <c r="AQ312">
        <v>3.5</v>
      </c>
      <c r="AR312" t="s">
        <v>29</v>
      </c>
      <c r="AS312" t="s">
        <v>127</v>
      </c>
      <c r="AT312" t="s">
        <v>126</v>
      </c>
      <c r="AU312">
        <v>8.4</v>
      </c>
      <c r="AV312">
        <v>27</v>
      </c>
      <c r="AW312">
        <v>7</v>
      </c>
      <c r="AX312">
        <v>1</v>
      </c>
      <c r="AY312">
        <v>26.6</v>
      </c>
      <c r="AZ312">
        <v>705</v>
      </c>
      <c r="BA312">
        <v>653</v>
      </c>
      <c r="BB312">
        <v>68</v>
      </c>
      <c r="BC312">
        <v>69</v>
      </c>
      <c r="BD312">
        <v>64</v>
      </c>
      <c r="BE312">
        <v>2.5</v>
      </c>
      <c r="BF312" t="s">
        <v>46</v>
      </c>
      <c r="BG312">
        <v>1</v>
      </c>
      <c r="BH312">
        <v>3</v>
      </c>
      <c r="BI312">
        <v>1</v>
      </c>
      <c r="BJ312" t="s">
        <v>286</v>
      </c>
      <c r="BK312">
        <v>0.44440000000000002</v>
      </c>
      <c r="BL312">
        <v>0.3947</v>
      </c>
      <c r="BM312">
        <v>1.5</v>
      </c>
      <c r="BN312">
        <v>1.47</v>
      </c>
    </row>
    <row r="313" spans="1:66" x14ac:dyDescent="0.25">
      <c r="A313">
        <v>1</v>
      </c>
      <c r="B313">
        <v>3</v>
      </c>
      <c r="C313">
        <v>5</v>
      </c>
      <c r="D313">
        <v>1.74</v>
      </c>
      <c r="E313">
        <v>3.4666666666666668</v>
      </c>
      <c r="F313">
        <v>4.7166666666666668</v>
      </c>
      <c r="G313" s="40">
        <v>0.35</v>
      </c>
      <c r="H313" s="40">
        <v>0.4</v>
      </c>
      <c r="I313" s="40">
        <f t="shared" si="2"/>
        <v>0.25</v>
      </c>
      <c r="J313">
        <v>1.71</v>
      </c>
      <c r="K313">
        <v>3.4</v>
      </c>
      <c r="L313">
        <v>4.7</v>
      </c>
      <c r="M313">
        <v>1.75</v>
      </c>
      <c r="N313">
        <v>3.5</v>
      </c>
      <c r="O313">
        <v>4.75</v>
      </c>
      <c r="P313">
        <v>1.76</v>
      </c>
      <c r="Q313">
        <v>3.5</v>
      </c>
      <c r="R313">
        <v>4.7</v>
      </c>
      <c r="S313">
        <v>0.56372908559052204</v>
      </c>
      <c r="T313">
        <v>0.23116948114143707</v>
      </c>
      <c r="U313">
        <v>0.20510143326804098</v>
      </c>
      <c r="V313">
        <v>0.53521126760563387</v>
      </c>
      <c r="W313">
        <v>0.26760563380281693</v>
      </c>
      <c r="X313">
        <v>0.19718309859154931</v>
      </c>
      <c r="Y313">
        <v>0.53267275435528783</v>
      </c>
      <c r="Z313">
        <v>0.2678582993329448</v>
      </c>
      <c r="AA313">
        <v>0.1994689463117674</v>
      </c>
      <c r="AB313">
        <v>0.54387103585048135</v>
      </c>
      <c r="AC313">
        <v>0.25554447142573294</v>
      </c>
      <c r="AD313">
        <v>0.2005844927237859</v>
      </c>
      <c r="AE313" t="s">
        <v>88</v>
      </c>
      <c r="AF313" t="s">
        <v>85</v>
      </c>
      <c r="AG313">
        <v>39.6</v>
      </c>
      <c r="AH313">
        <v>29</v>
      </c>
      <c r="AI313">
        <v>0</v>
      </c>
      <c r="AJ313">
        <v>0</v>
      </c>
      <c r="AK313">
        <v>25.8</v>
      </c>
      <c r="AL313">
        <v>69</v>
      </c>
      <c r="AM313">
        <v>5669</v>
      </c>
      <c r="AN313">
        <v>75</v>
      </c>
      <c r="AO313">
        <v>72</v>
      </c>
      <c r="AP313">
        <v>71</v>
      </c>
      <c r="AQ313">
        <v>3.5</v>
      </c>
      <c r="AR313" t="s">
        <v>29</v>
      </c>
      <c r="AS313" t="s">
        <v>71</v>
      </c>
      <c r="AT313" t="s">
        <v>63</v>
      </c>
      <c r="AU313">
        <v>12.88</v>
      </c>
      <c r="AV313">
        <v>35</v>
      </c>
      <c r="AW313">
        <v>4</v>
      </c>
      <c r="AX313">
        <v>0</v>
      </c>
      <c r="AY313">
        <v>26.7</v>
      </c>
      <c r="AZ313">
        <v>205</v>
      </c>
      <c r="BA313">
        <v>3223</v>
      </c>
      <c r="BB313">
        <v>73</v>
      </c>
      <c r="BC313">
        <v>66</v>
      </c>
      <c r="BD313">
        <v>65</v>
      </c>
      <c r="BE313">
        <v>2.5</v>
      </c>
      <c r="BF313" t="s">
        <v>29</v>
      </c>
      <c r="BG313">
        <v>1</v>
      </c>
      <c r="BH313">
        <v>3</v>
      </c>
      <c r="BI313">
        <v>1</v>
      </c>
      <c r="BJ313" t="s">
        <v>286</v>
      </c>
      <c r="BK313">
        <v>0.41670000000000001</v>
      </c>
      <c r="BL313">
        <v>0.3846</v>
      </c>
      <c r="BM313">
        <v>1.54</v>
      </c>
      <c r="BN313">
        <v>1.42</v>
      </c>
    </row>
    <row r="314" spans="1:66" x14ac:dyDescent="0.25">
      <c r="A314">
        <v>3</v>
      </c>
      <c r="B314">
        <v>-1</v>
      </c>
      <c r="C314">
        <v>5</v>
      </c>
      <c r="D314">
        <v>3.1999999999999997</v>
      </c>
      <c r="E314">
        <v>3.7333333333333329</v>
      </c>
      <c r="F314">
        <v>2.1366666666666667</v>
      </c>
      <c r="G314" s="40">
        <v>0.32</v>
      </c>
      <c r="H314" s="40">
        <v>0.39</v>
      </c>
      <c r="I314" s="40">
        <f t="shared" si="2"/>
        <v>0.28999999999999992</v>
      </c>
      <c r="J314">
        <v>3.25</v>
      </c>
      <c r="K314">
        <v>3.8</v>
      </c>
      <c r="L314">
        <v>2.12</v>
      </c>
      <c r="M314">
        <v>3.15</v>
      </c>
      <c r="N314">
        <v>3.6</v>
      </c>
      <c r="O314">
        <v>2.15</v>
      </c>
      <c r="P314">
        <v>3.2</v>
      </c>
      <c r="Q314">
        <v>3.8</v>
      </c>
      <c r="R314">
        <v>2.14</v>
      </c>
      <c r="S314">
        <v>0.30497083843756984</v>
      </c>
      <c r="T314">
        <v>0.22750311207087268</v>
      </c>
      <c r="U314">
        <v>0.46752604949155757</v>
      </c>
      <c r="V314">
        <v>0.29939077458659707</v>
      </c>
      <c r="W314">
        <v>0.26196692776327241</v>
      </c>
      <c r="X314">
        <v>0.43864229765013057</v>
      </c>
      <c r="Y314">
        <v>0.29963154016212235</v>
      </c>
      <c r="Z314">
        <v>0.25232129697862932</v>
      </c>
      <c r="AA314">
        <v>0.44804716285924834</v>
      </c>
      <c r="AB314">
        <v>0.3013310510620964</v>
      </c>
      <c r="AC314">
        <v>0.24726377893759147</v>
      </c>
      <c r="AD314">
        <v>0.45140517000031216</v>
      </c>
      <c r="AE314" t="s">
        <v>153</v>
      </c>
      <c r="AF314" t="s">
        <v>141</v>
      </c>
      <c r="AG314">
        <v>128.25</v>
      </c>
      <c r="AH314">
        <v>26</v>
      </c>
      <c r="AI314">
        <v>8</v>
      </c>
      <c r="AJ314">
        <v>4</v>
      </c>
      <c r="AK314">
        <v>26.4</v>
      </c>
      <c r="AL314">
        <v>138</v>
      </c>
      <c r="AM314">
        <v>4059</v>
      </c>
      <c r="AN314">
        <v>80</v>
      </c>
      <c r="AO314">
        <v>77</v>
      </c>
      <c r="AP314">
        <v>76</v>
      </c>
      <c r="AQ314">
        <v>4</v>
      </c>
      <c r="AR314" t="s">
        <v>29</v>
      </c>
      <c r="AS314" t="s">
        <v>152</v>
      </c>
      <c r="AT314" t="s">
        <v>141</v>
      </c>
      <c r="AU314">
        <v>214.25</v>
      </c>
      <c r="AV314">
        <v>24</v>
      </c>
      <c r="AW314">
        <v>10</v>
      </c>
      <c r="AX314">
        <v>7</v>
      </c>
      <c r="AY314">
        <v>27.3</v>
      </c>
      <c r="AZ314">
        <v>125</v>
      </c>
      <c r="BA314">
        <v>4257</v>
      </c>
      <c r="BB314">
        <v>81</v>
      </c>
      <c r="BC314">
        <v>81</v>
      </c>
      <c r="BD314">
        <v>78</v>
      </c>
      <c r="BE314">
        <v>4.5</v>
      </c>
      <c r="BF314" t="s">
        <v>29</v>
      </c>
      <c r="BG314">
        <v>6</v>
      </c>
      <c r="BH314">
        <v>3</v>
      </c>
      <c r="BI314">
        <v>0.31</v>
      </c>
      <c r="BJ314" t="s">
        <v>270</v>
      </c>
      <c r="BK314">
        <v>0.2195</v>
      </c>
      <c r="BL314">
        <v>0.29970000000000002</v>
      </c>
      <c r="BM314">
        <v>1.07</v>
      </c>
      <c r="BN314">
        <v>1.39</v>
      </c>
    </row>
    <row r="315" spans="1:66" x14ac:dyDescent="0.25">
      <c r="A315">
        <v>3</v>
      </c>
      <c r="B315">
        <v>-1</v>
      </c>
      <c r="C315">
        <v>1</v>
      </c>
      <c r="D315">
        <v>4.4933333333333332</v>
      </c>
      <c r="E315">
        <v>4.3666666666666671</v>
      </c>
      <c r="F315">
        <v>1.67</v>
      </c>
      <c r="G315" s="40">
        <v>0.16</v>
      </c>
      <c r="H315" s="40">
        <v>0.21</v>
      </c>
      <c r="I315" s="40">
        <f t="shared" si="2"/>
        <v>0.63</v>
      </c>
      <c r="J315">
        <v>4.7</v>
      </c>
      <c r="K315">
        <v>4.5</v>
      </c>
      <c r="L315">
        <v>1.64</v>
      </c>
      <c r="M315">
        <v>4.33</v>
      </c>
      <c r="N315">
        <v>4.2</v>
      </c>
      <c r="O315">
        <v>1.69</v>
      </c>
      <c r="P315">
        <v>4.45</v>
      </c>
      <c r="Q315">
        <v>4.4000000000000004</v>
      </c>
      <c r="R315">
        <v>1.68</v>
      </c>
      <c r="S315">
        <v>0.21262364346337195</v>
      </c>
      <c r="T315">
        <v>0.17802811002574492</v>
      </c>
      <c r="U315">
        <v>0.60934824651088315</v>
      </c>
      <c r="V315">
        <v>0.21771870792013914</v>
      </c>
      <c r="W315">
        <v>0.22445762030814345</v>
      </c>
      <c r="X315">
        <v>0.55782367177171743</v>
      </c>
      <c r="Y315">
        <v>0.21458430097538317</v>
      </c>
      <c r="Z315">
        <v>0.2170227589410125</v>
      </c>
      <c r="AA315">
        <v>0.5683929400836043</v>
      </c>
      <c r="AB315">
        <v>0.21497555078629807</v>
      </c>
      <c r="AC315">
        <v>0.20650282975830028</v>
      </c>
      <c r="AD315">
        <v>0.57852161945540159</v>
      </c>
      <c r="AE315" t="s">
        <v>155</v>
      </c>
      <c r="AF315" t="s">
        <v>141</v>
      </c>
      <c r="AG315">
        <v>46.75</v>
      </c>
      <c r="AH315">
        <v>22</v>
      </c>
      <c r="AI315">
        <v>6</v>
      </c>
      <c r="AJ315">
        <v>1</v>
      </c>
      <c r="AK315">
        <v>29</v>
      </c>
      <c r="AL315">
        <v>159</v>
      </c>
      <c r="AM315">
        <v>3861</v>
      </c>
      <c r="AN315">
        <v>77</v>
      </c>
      <c r="AO315">
        <v>78</v>
      </c>
      <c r="AP315">
        <v>75</v>
      </c>
      <c r="AQ315">
        <v>4</v>
      </c>
      <c r="AR315" t="s">
        <v>46</v>
      </c>
      <c r="AS315" t="s">
        <v>137</v>
      </c>
      <c r="AT315" t="s">
        <v>141</v>
      </c>
      <c r="AU315">
        <v>992.2</v>
      </c>
      <c r="AV315">
        <v>32</v>
      </c>
      <c r="AW315">
        <v>20</v>
      </c>
      <c r="AX315">
        <v>17</v>
      </c>
      <c r="AY315">
        <v>25.9</v>
      </c>
      <c r="AZ315">
        <v>3</v>
      </c>
      <c r="BA315">
        <v>13105</v>
      </c>
      <c r="BB315">
        <v>88</v>
      </c>
      <c r="BC315">
        <v>85</v>
      </c>
      <c r="BD315">
        <v>85</v>
      </c>
      <c r="BE315">
        <v>5</v>
      </c>
      <c r="BF315" t="s">
        <v>28</v>
      </c>
      <c r="BG315">
        <v>-35</v>
      </c>
      <c r="BH315">
        <v>-31</v>
      </c>
      <c r="BI315">
        <v>0</v>
      </c>
      <c r="BJ315" t="s">
        <v>270</v>
      </c>
      <c r="BK315">
        <v>0.31709999999999999</v>
      </c>
      <c r="BL315">
        <v>0.62749999999999995</v>
      </c>
      <c r="BM315">
        <v>1.1499999999999999</v>
      </c>
      <c r="BN315">
        <v>2.16</v>
      </c>
    </row>
    <row r="316" spans="1:66" x14ac:dyDescent="0.25">
      <c r="A316">
        <v>2</v>
      </c>
      <c r="B316">
        <v>0</v>
      </c>
      <c r="C316">
        <v>0</v>
      </c>
      <c r="D316">
        <v>1.7300000000000002</v>
      </c>
      <c r="E316">
        <v>4</v>
      </c>
      <c r="F316">
        <v>4.6333333333333337</v>
      </c>
      <c r="G316" s="40">
        <v>0.27</v>
      </c>
      <c r="H316" s="40">
        <v>0.35</v>
      </c>
      <c r="I316" s="40">
        <f t="shared" si="2"/>
        <v>0.38</v>
      </c>
      <c r="J316">
        <v>1.71</v>
      </c>
      <c r="K316">
        <v>4.0999999999999996</v>
      </c>
      <c r="L316">
        <v>4.7</v>
      </c>
      <c r="M316">
        <v>1.74</v>
      </c>
      <c r="N316">
        <v>3.95</v>
      </c>
      <c r="O316">
        <v>4.5999999999999996</v>
      </c>
      <c r="P316">
        <v>1.74</v>
      </c>
      <c r="Q316">
        <v>3.95</v>
      </c>
      <c r="R316">
        <v>4.5999999999999996</v>
      </c>
      <c r="S316">
        <v>0.58861446517369187</v>
      </c>
      <c r="T316">
        <v>0.19723005919928405</v>
      </c>
      <c r="U316">
        <v>0.21415547562702406</v>
      </c>
      <c r="V316">
        <v>0.54982297939298574</v>
      </c>
      <c r="W316">
        <v>0.24220050231488482</v>
      </c>
      <c r="X316">
        <v>0.20797651829212938</v>
      </c>
      <c r="Y316">
        <v>0.54982297939298574</v>
      </c>
      <c r="Z316">
        <v>0.24220050231488482</v>
      </c>
      <c r="AA316">
        <v>0.20797651829212938</v>
      </c>
      <c r="AB316">
        <v>0.56275347465322112</v>
      </c>
      <c r="AC316">
        <v>0.22721035460968456</v>
      </c>
      <c r="AD316">
        <v>0.21003617073709427</v>
      </c>
      <c r="AE316" t="s">
        <v>158</v>
      </c>
      <c r="AF316" t="s">
        <v>141</v>
      </c>
      <c r="AG316">
        <v>23.13</v>
      </c>
      <c r="AH316">
        <v>21</v>
      </c>
      <c r="AI316">
        <v>5</v>
      </c>
      <c r="AJ316">
        <v>1</v>
      </c>
      <c r="AK316">
        <v>27.5</v>
      </c>
      <c r="AL316">
        <v>581</v>
      </c>
      <c r="AM316">
        <v>1089</v>
      </c>
      <c r="AN316">
        <v>73</v>
      </c>
      <c r="AO316">
        <v>72</v>
      </c>
      <c r="AP316">
        <v>72</v>
      </c>
      <c r="AQ316">
        <v>3.5</v>
      </c>
      <c r="AR316" t="s">
        <v>29</v>
      </c>
      <c r="AS316" t="s">
        <v>142</v>
      </c>
      <c r="AT316" t="s">
        <v>141</v>
      </c>
      <c r="AU316">
        <v>328.38</v>
      </c>
      <c r="AV316">
        <v>26</v>
      </c>
      <c r="AW316">
        <v>14</v>
      </c>
      <c r="AX316">
        <v>8</v>
      </c>
      <c r="AY316">
        <v>25.8</v>
      </c>
      <c r="AZ316">
        <v>11</v>
      </c>
      <c r="BA316">
        <v>9770</v>
      </c>
      <c r="BB316">
        <v>81</v>
      </c>
      <c r="BC316">
        <v>81</v>
      </c>
      <c r="BD316">
        <v>81</v>
      </c>
      <c r="BE316">
        <v>4.5</v>
      </c>
      <c r="BF316" t="s">
        <v>29</v>
      </c>
      <c r="BG316">
        <v>-5</v>
      </c>
      <c r="BH316">
        <v>-5</v>
      </c>
      <c r="BI316">
        <v>0</v>
      </c>
      <c r="BJ316" t="s">
        <v>270</v>
      </c>
      <c r="BK316">
        <v>0.5</v>
      </c>
      <c r="BL316">
        <v>0.36</v>
      </c>
      <c r="BM316">
        <v>1.3</v>
      </c>
      <c r="BN316">
        <v>1.24</v>
      </c>
    </row>
    <row r="317" spans="1:66" x14ac:dyDescent="0.25">
      <c r="A317">
        <v>3</v>
      </c>
      <c r="B317">
        <v>-1</v>
      </c>
      <c r="C317">
        <v>1</v>
      </c>
      <c r="D317">
        <v>5.1333333333333337</v>
      </c>
      <c r="E317">
        <v>4.4333333333333336</v>
      </c>
      <c r="F317">
        <v>1.6033333333333335</v>
      </c>
      <c r="G317" s="40">
        <v>0.26</v>
      </c>
      <c r="H317" s="40">
        <v>0.32</v>
      </c>
      <c r="I317" s="40">
        <f t="shared" si="2"/>
        <v>0.42</v>
      </c>
      <c r="J317">
        <v>5.2</v>
      </c>
      <c r="K317">
        <v>4.7</v>
      </c>
      <c r="L317">
        <v>1.57</v>
      </c>
      <c r="M317">
        <v>5.0999999999999996</v>
      </c>
      <c r="N317">
        <v>4.3</v>
      </c>
      <c r="O317">
        <v>1.62</v>
      </c>
      <c r="P317">
        <v>5.0999999999999996</v>
      </c>
      <c r="Q317">
        <v>4.3</v>
      </c>
      <c r="R317">
        <v>1.62</v>
      </c>
      <c r="S317">
        <v>0.19322135944680058</v>
      </c>
      <c r="T317">
        <v>0.16680980671666237</v>
      </c>
      <c r="U317">
        <v>0.63996883383653691</v>
      </c>
      <c r="V317">
        <v>0.18746972388180203</v>
      </c>
      <c r="W317">
        <v>0.22234781204585827</v>
      </c>
      <c r="X317">
        <v>0.59018246407233965</v>
      </c>
      <c r="Y317">
        <v>0.18746972388180203</v>
      </c>
      <c r="Z317">
        <v>0.22234781204585827</v>
      </c>
      <c r="AA317">
        <v>0.59018246407233965</v>
      </c>
      <c r="AB317">
        <v>0.18938693573680154</v>
      </c>
      <c r="AC317">
        <v>0.20383514360279298</v>
      </c>
      <c r="AD317">
        <v>0.60677792066040537</v>
      </c>
      <c r="AE317" t="s">
        <v>157</v>
      </c>
      <c r="AF317" t="s">
        <v>141</v>
      </c>
      <c r="AG317">
        <v>70.53</v>
      </c>
      <c r="AH317">
        <v>26</v>
      </c>
      <c r="AI317">
        <v>3</v>
      </c>
      <c r="AJ317">
        <v>0</v>
      </c>
      <c r="AK317">
        <v>28.5</v>
      </c>
      <c r="AL317">
        <v>202</v>
      </c>
      <c r="AM317">
        <v>3267</v>
      </c>
      <c r="AN317">
        <v>76</v>
      </c>
      <c r="AO317">
        <v>74</v>
      </c>
      <c r="AP317">
        <v>74</v>
      </c>
      <c r="AQ317">
        <v>3.5</v>
      </c>
      <c r="AR317" t="s">
        <v>46</v>
      </c>
      <c r="AS317" t="s">
        <v>147</v>
      </c>
      <c r="AT317" t="s">
        <v>141</v>
      </c>
      <c r="AU317">
        <v>327.10000000000002</v>
      </c>
      <c r="AV317">
        <v>29</v>
      </c>
      <c r="AW317">
        <v>7</v>
      </c>
      <c r="AX317">
        <v>5</v>
      </c>
      <c r="AY317">
        <v>25.9</v>
      </c>
      <c r="AZ317">
        <v>32</v>
      </c>
      <c r="BA317">
        <v>7427</v>
      </c>
      <c r="BB317">
        <v>81</v>
      </c>
      <c r="BC317">
        <v>80</v>
      </c>
      <c r="BD317">
        <v>77</v>
      </c>
      <c r="BE317">
        <v>4.5</v>
      </c>
      <c r="BF317" t="s">
        <v>28</v>
      </c>
      <c r="BG317">
        <v>-25</v>
      </c>
      <c r="BH317">
        <v>-36</v>
      </c>
      <c r="BI317">
        <v>0.27500000000000002</v>
      </c>
      <c r="BJ317" t="s">
        <v>270</v>
      </c>
      <c r="BK317">
        <v>0.38100000000000001</v>
      </c>
      <c r="BL317">
        <v>0.52170000000000005</v>
      </c>
      <c r="BM317">
        <v>1.31</v>
      </c>
      <c r="BN317">
        <v>1.76</v>
      </c>
    </row>
    <row r="318" spans="1:66" x14ac:dyDescent="0.25">
      <c r="A318">
        <v>1</v>
      </c>
      <c r="B318">
        <v>1</v>
      </c>
      <c r="C318">
        <v>3</v>
      </c>
      <c r="D318">
        <v>1.4400000000000002</v>
      </c>
      <c r="E318">
        <v>4.9833333333333334</v>
      </c>
      <c r="F318">
        <v>6.5</v>
      </c>
      <c r="G318" s="40">
        <v>0.43</v>
      </c>
      <c r="H318" s="40">
        <v>0.36</v>
      </c>
      <c r="I318" s="40">
        <f t="shared" si="2"/>
        <v>0.21000000000000008</v>
      </c>
      <c r="J318">
        <v>1.43</v>
      </c>
      <c r="K318">
        <v>5.0999999999999996</v>
      </c>
      <c r="L318">
        <v>6.75</v>
      </c>
      <c r="M318">
        <v>1.45</v>
      </c>
      <c r="N318">
        <v>4.75</v>
      </c>
      <c r="O318">
        <v>6.25</v>
      </c>
      <c r="P318">
        <v>1.44</v>
      </c>
      <c r="Q318">
        <v>5.0999999999999996</v>
      </c>
      <c r="R318">
        <v>6.5</v>
      </c>
      <c r="S318">
        <v>0.70653288439108031</v>
      </c>
      <c r="T318">
        <v>0.143786815656439</v>
      </c>
      <c r="U318">
        <v>0.14968029995248069</v>
      </c>
      <c r="V318">
        <v>0.65050671049027664</v>
      </c>
      <c r="W318">
        <v>0.19857573267597917</v>
      </c>
      <c r="X318">
        <v>0.15091755683374419</v>
      </c>
      <c r="Y318">
        <v>0.66494162955831027</v>
      </c>
      <c r="Z318">
        <v>0.18774822481646405</v>
      </c>
      <c r="AA318">
        <v>0.14731014562522565</v>
      </c>
      <c r="AB318">
        <v>0.673993741479889</v>
      </c>
      <c r="AC318">
        <v>0.17670359104962741</v>
      </c>
      <c r="AD318">
        <v>0.14930266747048351</v>
      </c>
      <c r="AE318" t="s">
        <v>144</v>
      </c>
      <c r="AF318" t="s">
        <v>141</v>
      </c>
      <c r="AG318">
        <v>1080</v>
      </c>
      <c r="AH318">
        <v>34</v>
      </c>
      <c r="AI318">
        <v>20</v>
      </c>
      <c r="AJ318">
        <v>21</v>
      </c>
      <c r="AK318">
        <v>26.1</v>
      </c>
      <c r="AL318">
        <v>18</v>
      </c>
      <c r="AM318">
        <v>8949</v>
      </c>
      <c r="AN318">
        <v>85</v>
      </c>
      <c r="AO318">
        <v>87</v>
      </c>
      <c r="AP318">
        <v>85</v>
      </c>
      <c r="AQ318">
        <v>5</v>
      </c>
      <c r="AR318" t="s">
        <v>28</v>
      </c>
      <c r="AS318" t="s">
        <v>149</v>
      </c>
      <c r="AT318" t="s">
        <v>141</v>
      </c>
      <c r="AU318">
        <v>271.52999999999997</v>
      </c>
      <c r="AV318">
        <v>27</v>
      </c>
      <c r="AW318">
        <v>6</v>
      </c>
      <c r="AX318">
        <v>7</v>
      </c>
      <c r="AY318">
        <v>27.4</v>
      </c>
      <c r="AZ318">
        <v>77</v>
      </c>
      <c r="BA318">
        <v>5396</v>
      </c>
      <c r="BB318">
        <v>80</v>
      </c>
      <c r="BC318">
        <v>79</v>
      </c>
      <c r="BD318">
        <v>78</v>
      </c>
      <c r="BE318">
        <v>4.5</v>
      </c>
      <c r="BF318" t="s">
        <v>29</v>
      </c>
      <c r="BG318">
        <v>47</v>
      </c>
      <c r="BH318">
        <v>77</v>
      </c>
      <c r="BI318">
        <v>0.58099999999999996</v>
      </c>
      <c r="BJ318" t="s">
        <v>270</v>
      </c>
      <c r="BK318">
        <v>0.62749999999999995</v>
      </c>
      <c r="BL318">
        <v>0.51160000000000005</v>
      </c>
      <c r="BM318">
        <v>1.94</v>
      </c>
      <c r="BN318">
        <v>1.79</v>
      </c>
    </row>
    <row r="319" spans="1:66" x14ac:dyDescent="0.25">
      <c r="A319">
        <v>3</v>
      </c>
      <c r="B319">
        <v>-1</v>
      </c>
      <c r="C319">
        <v>3</v>
      </c>
      <c r="D319">
        <v>8.3666666666666671</v>
      </c>
      <c r="E319">
        <v>5.166666666666667</v>
      </c>
      <c r="F319">
        <v>1.3566666666666667</v>
      </c>
      <c r="G319" s="40">
        <v>0.14000000000000001</v>
      </c>
      <c r="H319" s="40">
        <v>0.25</v>
      </c>
      <c r="I319" s="40">
        <f t="shared" si="2"/>
        <v>0.61</v>
      </c>
      <c r="J319">
        <v>9</v>
      </c>
      <c r="K319">
        <v>5.4</v>
      </c>
      <c r="L319">
        <v>1.34</v>
      </c>
      <c r="M319">
        <v>7.5</v>
      </c>
      <c r="N319">
        <v>5</v>
      </c>
      <c r="O319">
        <v>1.37</v>
      </c>
      <c r="P319">
        <v>8.6</v>
      </c>
      <c r="Q319">
        <v>5.0999999999999996</v>
      </c>
      <c r="R319">
        <v>1.36</v>
      </c>
      <c r="S319">
        <v>0.11336372095084075</v>
      </c>
      <c r="T319">
        <v>0.12523815325993043</v>
      </c>
      <c r="U319">
        <v>0.76139812578922883</v>
      </c>
      <c r="V319">
        <v>0.12540045766590391</v>
      </c>
      <c r="W319">
        <v>0.18810068649885583</v>
      </c>
      <c r="X319">
        <v>0.68649885583524028</v>
      </c>
      <c r="Y319">
        <v>0.11099020674646354</v>
      </c>
      <c r="Z319">
        <v>0.18715995647442873</v>
      </c>
      <c r="AA319">
        <v>0.70184983677910762</v>
      </c>
      <c r="AB319">
        <v>0.1165847951210694</v>
      </c>
      <c r="AC319">
        <v>0.16683293207773833</v>
      </c>
      <c r="AD319">
        <v>0.71658227280119213</v>
      </c>
      <c r="AE319" t="s">
        <v>154</v>
      </c>
      <c r="AF319" t="s">
        <v>141</v>
      </c>
      <c r="AG319">
        <v>61.55</v>
      </c>
      <c r="AH319">
        <v>28</v>
      </c>
      <c r="AI319">
        <v>5</v>
      </c>
      <c r="AJ319">
        <v>3</v>
      </c>
      <c r="AK319">
        <v>27.8</v>
      </c>
      <c r="AL319">
        <v>139</v>
      </c>
      <c r="AM319">
        <v>4059</v>
      </c>
      <c r="AN319">
        <v>76</v>
      </c>
      <c r="AO319">
        <v>76</v>
      </c>
      <c r="AP319">
        <v>73</v>
      </c>
      <c r="AQ319">
        <v>4</v>
      </c>
      <c r="AR319" t="s">
        <v>43</v>
      </c>
      <c r="AS319" t="s">
        <v>143</v>
      </c>
      <c r="AT319" t="s">
        <v>141</v>
      </c>
      <c r="AU319">
        <v>764.3</v>
      </c>
      <c r="AV319">
        <v>31</v>
      </c>
      <c r="AW319">
        <v>17</v>
      </c>
      <c r="AX319">
        <v>18</v>
      </c>
      <c r="AY319">
        <v>25.2</v>
      </c>
      <c r="AZ319">
        <v>13</v>
      </c>
      <c r="BA319">
        <v>9329</v>
      </c>
      <c r="BB319">
        <v>81</v>
      </c>
      <c r="BC319">
        <v>83</v>
      </c>
      <c r="BD319">
        <v>82</v>
      </c>
      <c r="BE319">
        <v>5</v>
      </c>
      <c r="BF319" t="s">
        <v>29</v>
      </c>
      <c r="BG319">
        <v>-88</v>
      </c>
      <c r="BH319">
        <v>-83</v>
      </c>
      <c r="BI319">
        <v>0.221</v>
      </c>
      <c r="BJ319" t="s">
        <v>270</v>
      </c>
      <c r="BK319">
        <v>0.24390000000000001</v>
      </c>
      <c r="BL319">
        <v>0.48</v>
      </c>
      <c r="BM319">
        <v>0.9</v>
      </c>
      <c r="BN319">
        <v>1.36</v>
      </c>
    </row>
    <row r="320" spans="1:66" x14ac:dyDescent="0.25">
      <c r="A320">
        <v>1</v>
      </c>
      <c r="B320">
        <v>1</v>
      </c>
      <c r="C320">
        <v>1</v>
      </c>
      <c r="D320">
        <v>1.3399999999999999</v>
      </c>
      <c r="E320">
        <v>5.7166666666666659</v>
      </c>
      <c r="F320">
        <v>8.0333333333333332</v>
      </c>
      <c r="G320" s="40">
        <v>0.39</v>
      </c>
      <c r="H320" s="40">
        <v>0.35</v>
      </c>
      <c r="I320" s="40">
        <f t="shared" si="2"/>
        <v>0.26</v>
      </c>
      <c r="J320">
        <v>1.32</v>
      </c>
      <c r="K320">
        <v>5.75</v>
      </c>
      <c r="L320">
        <v>8.5</v>
      </c>
      <c r="M320">
        <v>1.35</v>
      </c>
      <c r="N320">
        <v>5.7</v>
      </c>
      <c r="O320">
        <v>7.8</v>
      </c>
      <c r="P320">
        <v>1.35</v>
      </c>
      <c r="Q320">
        <v>5.7</v>
      </c>
      <c r="R320">
        <v>7.8</v>
      </c>
      <c r="S320">
        <v>0.7623739649397242</v>
      </c>
      <c r="T320">
        <v>0.11923384285787154</v>
      </c>
      <c r="U320">
        <v>0.11839219220240424</v>
      </c>
      <c r="V320">
        <v>0.70926058865757369</v>
      </c>
      <c r="W320">
        <v>0.16798277099784642</v>
      </c>
      <c r="X320">
        <v>0.12275664034458006</v>
      </c>
      <c r="Y320">
        <v>0.70926058865757369</v>
      </c>
      <c r="Z320">
        <v>0.16798277099784642</v>
      </c>
      <c r="AA320">
        <v>0.12275664034458006</v>
      </c>
      <c r="AB320">
        <v>0.72696504741829049</v>
      </c>
      <c r="AC320">
        <v>0.15173312828452146</v>
      </c>
      <c r="AD320">
        <v>0.12130182429718812</v>
      </c>
      <c r="AE320" t="s">
        <v>60</v>
      </c>
      <c r="AF320" t="s">
        <v>26</v>
      </c>
      <c r="AG320">
        <v>94.35</v>
      </c>
      <c r="AH320">
        <v>32</v>
      </c>
      <c r="AI320">
        <v>11</v>
      </c>
      <c r="AJ320">
        <v>5</v>
      </c>
      <c r="AK320">
        <v>25.3</v>
      </c>
      <c r="AL320">
        <v>299</v>
      </c>
      <c r="AM320">
        <v>2454</v>
      </c>
      <c r="AN320">
        <v>76</v>
      </c>
      <c r="AO320">
        <v>75</v>
      </c>
      <c r="AP320">
        <v>73</v>
      </c>
      <c r="AQ320">
        <v>4</v>
      </c>
      <c r="AR320" t="s">
        <v>46</v>
      </c>
      <c r="AS320" t="s">
        <v>53</v>
      </c>
      <c r="AT320" t="s">
        <v>26</v>
      </c>
      <c r="AU320">
        <v>195.83</v>
      </c>
      <c r="AV320">
        <v>29</v>
      </c>
      <c r="AW320">
        <v>18</v>
      </c>
      <c r="AX320">
        <v>11</v>
      </c>
      <c r="AY320">
        <v>25.3</v>
      </c>
      <c r="AZ320">
        <v>152</v>
      </c>
      <c r="BA320">
        <v>3938</v>
      </c>
      <c r="BB320">
        <v>76</v>
      </c>
      <c r="BC320">
        <v>77</v>
      </c>
      <c r="BD320">
        <v>76</v>
      </c>
      <c r="BE320">
        <v>4</v>
      </c>
      <c r="BF320" t="s">
        <v>29</v>
      </c>
      <c r="BG320">
        <v>31</v>
      </c>
      <c r="BH320">
        <v>58</v>
      </c>
      <c r="BI320">
        <v>0.438</v>
      </c>
      <c r="BJ320" t="s">
        <v>273</v>
      </c>
      <c r="BK320">
        <v>0.27779999999999999</v>
      </c>
      <c r="BL320">
        <v>0.31580000000000003</v>
      </c>
      <c r="BM320">
        <v>1.56</v>
      </c>
      <c r="BN320">
        <v>1.29</v>
      </c>
    </row>
    <row r="321" spans="1:66" x14ac:dyDescent="0.25">
      <c r="A321">
        <v>1</v>
      </c>
      <c r="B321">
        <v>1</v>
      </c>
      <c r="C321">
        <v>3</v>
      </c>
      <c r="D321">
        <v>2.9299999999999997</v>
      </c>
      <c r="E321">
        <v>3.9</v>
      </c>
      <c r="F321">
        <v>2.2333333333333334</v>
      </c>
      <c r="G321" s="40">
        <v>0.26</v>
      </c>
      <c r="H321" s="40">
        <v>0.35</v>
      </c>
      <c r="I321" s="40">
        <f t="shared" si="2"/>
        <v>0.39</v>
      </c>
      <c r="J321">
        <v>2.95</v>
      </c>
      <c r="K321">
        <v>3.9</v>
      </c>
      <c r="L321">
        <v>2.2000000000000002</v>
      </c>
      <c r="M321">
        <v>2.92</v>
      </c>
      <c r="N321">
        <v>3.9</v>
      </c>
      <c r="O321">
        <v>2.25</v>
      </c>
      <c r="P321">
        <v>2.92</v>
      </c>
      <c r="Q321">
        <v>3.9</v>
      </c>
      <c r="R321">
        <v>2.25</v>
      </c>
      <c r="S321">
        <v>0.33235470170737963</v>
      </c>
      <c r="T321">
        <v>0.22198785736681584</v>
      </c>
      <c r="U321">
        <v>0.44565744092580445</v>
      </c>
      <c r="V321">
        <v>0.32824598810458983</v>
      </c>
      <c r="W321">
        <v>0.24576366288856469</v>
      </c>
      <c r="X321">
        <v>0.42599034900684546</v>
      </c>
      <c r="Y321">
        <v>0.32824598810458983</v>
      </c>
      <c r="Z321">
        <v>0.24576366288856469</v>
      </c>
      <c r="AA321">
        <v>0.42599034900684546</v>
      </c>
      <c r="AB321">
        <v>0.32961555930551972</v>
      </c>
      <c r="AC321">
        <v>0.23783839438131507</v>
      </c>
      <c r="AD321">
        <v>0.43254604631316512</v>
      </c>
      <c r="AE321" t="s">
        <v>58</v>
      </c>
      <c r="AF321" t="s">
        <v>26</v>
      </c>
      <c r="AG321">
        <v>59.55</v>
      </c>
      <c r="AH321">
        <v>28</v>
      </c>
      <c r="AI321">
        <v>8</v>
      </c>
      <c r="AJ321">
        <v>3</v>
      </c>
      <c r="AK321">
        <v>26.6</v>
      </c>
      <c r="AL321">
        <v>243</v>
      </c>
      <c r="AM321">
        <v>2873</v>
      </c>
      <c r="AN321">
        <v>73</v>
      </c>
      <c r="AO321">
        <v>71</v>
      </c>
      <c r="AP321">
        <v>73</v>
      </c>
      <c r="AQ321">
        <v>3.5</v>
      </c>
      <c r="AR321" t="s">
        <v>46</v>
      </c>
      <c r="AS321" t="s">
        <v>25</v>
      </c>
      <c r="AT321" t="s">
        <v>26</v>
      </c>
      <c r="AU321">
        <v>507.83</v>
      </c>
      <c r="AV321">
        <v>29</v>
      </c>
      <c r="AW321">
        <v>21</v>
      </c>
      <c r="AX321">
        <v>13</v>
      </c>
      <c r="AY321">
        <v>24.2</v>
      </c>
      <c r="AZ321">
        <v>16</v>
      </c>
      <c r="BA321">
        <v>9221</v>
      </c>
      <c r="BB321">
        <v>81</v>
      </c>
      <c r="BC321">
        <v>81</v>
      </c>
      <c r="BD321">
        <v>79</v>
      </c>
      <c r="BE321">
        <v>4.5</v>
      </c>
      <c r="BF321" t="s">
        <v>29</v>
      </c>
      <c r="BG321">
        <v>-10</v>
      </c>
      <c r="BH321">
        <v>-11</v>
      </c>
      <c r="BI321">
        <v>0.14299999999999999</v>
      </c>
      <c r="BJ321" t="s">
        <v>273</v>
      </c>
      <c r="BK321">
        <v>0.3947</v>
      </c>
      <c r="BL321">
        <v>0.55320000000000003</v>
      </c>
      <c r="BM321">
        <v>1.37</v>
      </c>
      <c r="BN321">
        <v>2.2799999999999998</v>
      </c>
    </row>
    <row r="322" spans="1:66" x14ac:dyDescent="0.25">
      <c r="A322">
        <v>1</v>
      </c>
      <c r="B322">
        <v>3</v>
      </c>
      <c r="C322">
        <v>7</v>
      </c>
      <c r="D322">
        <v>1.1136666666666668</v>
      </c>
      <c r="E322">
        <v>10.583333333333334</v>
      </c>
      <c r="F322">
        <v>18.666666666666668</v>
      </c>
      <c r="G322" s="40">
        <v>0.66</v>
      </c>
      <c r="H322" s="40">
        <v>0.21</v>
      </c>
      <c r="I322" s="40">
        <f t="shared" si="2"/>
        <v>0.12999999999999998</v>
      </c>
      <c r="J322">
        <v>1.1100000000000001</v>
      </c>
      <c r="K322">
        <v>10.5</v>
      </c>
      <c r="L322">
        <v>18</v>
      </c>
      <c r="M322">
        <v>1.111</v>
      </c>
      <c r="N322">
        <v>11</v>
      </c>
      <c r="O322">
        <v>21</v>
      </c>
      <c r="P322">
        <v>1.1200000000000001</v>
      </c>
      <c r="Q322">
        <v>10.25</v>
      </c>
      <c r="R322">
        <v>17</v>
      </c>
      <c r="S322">
        <v>0.88985234692124526</v>
      </c>
      <c r="T322">
        <v>5.5273425018611218E-2</v>
      </c>
      <c r="U322">
        <v>5.4874228060143464E-2</v>
      </c>
      <c r="V322">
        <v>0.86662264773852749</v>
      </c>
      <c r="W322">
        <v>8.7528887421591289E-2</v>
      </c>
      <c r="X322">
        <v>4.5848464839881149E-2</v>
      </c>
      <c r="Y322">
        <v>0.85095472969673291</v>
      </c>
      <c r="Z322">
        <v>9.2982370464423508E-2</v>
      </c>
      <c r="AA322">
        <v>5.6062899838843584E-2</v>
      </c>
      <c r="AB322">
        <v>0.86914324145216859</v>
      </c>
      <c r="AC322">
        <v>7.8594894301541998E-2</v>
      </c>
      <c r="AD322">
        <v>5.2261864246289397E-2</v>
      </c>
      <c r="AE322" t="s">
        <v>31</v>
      </c>
      <c r="AF322" t="s">
        <v>26</v>
      </c>
      <c r="AG322">
        <v>925.24</v>
      </c>
      <c r="AH322">
        <v>31</v>
      </c>
      <c r="AI322">
        <v>15</v>
      </c>
      <c r="AJ322">
        <v>15</v>
      </c>
      <c r="AK322">
        <v>25.3</v>
      </c>
      <c r="AL322">
        <v>6</v>
      </c>
      <c r="AM322">
        <v>10885</v>
      </c>
      <c r="AN322">
        <v>87</v>
      </c>
      <c r="AO322">
        <v>85</v>
      </c>
      <c r="AP322">
        <v>81</v>
      </c>
      <c r="AQ322">
        <v>5</v>
      </c>
      <c r="AR322" t="s">
        <v>29</v>
      </c>
      <c r="AS322" t="s">
        <v>275</v>
      </c>
      <c r="AT322" t="s">
        <v>26</v>
      </c>
      <c r="AU322">
        <v>119.98</v>
      </c>
      <c r="AV322">
        <v>33</v>
      </c>
      <c r="AW322">
        <v>18</v>
      </c>
      <c r="AX322">
        <v>6</v>
      </c>
      <c r="AY322">
        <v>26</v>
      </c>
      <c r="AZ322">
        <v>276</v>
      </c>
      <c r="BA322">
        <v>2599</v>
      </c>
      <c r="BB322">
        <v>78</v>
      </c>
      <c r="BC322">
        <v>74</v>
      </c>
      <c r="BD322">
        <v>75</v>
      </c>
      <c r="BE322">
        <v>4</v>
      </c>
      <c r="BF322" t="s">
        <v>46</v>
      </c>
      <c r="BG322">
        <v>54</v>
      </c>
      <c r="BH322">
        <v>65</v>
      </c>
      <c r="BI322">
        <v>0.82799999999999996</v>
      </c>
      <c r="BJ322" t="s">
        <v>273</v>
      </c>
      <c r="BK322">
        <v>0.83330000000000004</v>
      </c>
      <c r="BL322">
        <v>0.2571</v>
      </c>
      <c r="BM322">
        <v>3</v>
      </c>
      <c r="BN322">
        <v>1.31</v>
      </c>
    </row>
    <row r="323" spans="1:66" x14ac:dyDescent="0.25">
      <c r="A323">
        <v>1</v>
      </c>
      <c r="B323">
        <v>2</v>
      </c>
      <c r="C323">
        <v>4</v>
      </c>
      <c r="D323">
        <v>1.5066666666666666</v>
      </c>
      <c r="E323">
        <v>4.8666666666666663</v>
      </c>
      <c r="F323">
        <v>5.55</v>
      </c>
      <c r="G323" s="40">
        <v>0.41</v>
      </c>
      <c r="H323" s="40">
        <v>0.33</v>
      </c>
      <c r="I323" s="40">
        <f t="shared" si="2"/>
        <v>0.26000000000000006</v>
      </c>
      <c r="J323">
        <v>1.52</v>
      </c>
      <c r="K323">
        <v>4.5999999999999996</v>
      </c>
      <c r="L323">
        <v>5.75</v>
      </c>
      <c r="M323">
        <v>1.5</v>
      </c>
      <c r="N323">
        <v>5</v>
      </c>
      <c r="O323">
        <v>5.5</v>
      </c>
      <c r="P323">
        <v>1.5</v>
      </c>
      <c r="Q323">
        <v>5</v>
      </c>
      <c r="R323">
        <v>5.4</v>
      </c>
      <c r="S323">
        <v>0.65993055656443855</v>
      </c>
      <c r="T323">
        <v>0.1656182354393968</v>
      </c>
      <c r="U323">
        <v>0.17445120799616462</v>
      </c>
      <c r="V323">
        <v>0.63583815028901736</v>
      </c>
      <c r="W323">
        <v>0.19075144508670519</v>
      </c>
      <c r="X323">
        <v>0.17341040462427745</v>
      </c>
      <c r="Y323">
        <v>0.63380281690140849</v>
      </c>
      <c r="Z323">
        <v>0.19014084507042253</v>
      </c>
      <c r="AA323">
        <v>0.17605633802816903</v>
      </c>
      <c r="AB323">
        <v>0.64319050791828813</v>
      </c>
      <c r="AC323">
        <v>0.18217017519884152</v>
      </c>
      <c r="AD323">
        <v>0.17463931688287038</v>
      </c>
      <c r="AE323" t="s">
        <v>50</v>
      </c>
      <c r="AF323" t="s">
        <v>26</v>
      </c>
      <c r="AG323">
        <v>559.54999999999995</v>
      </c>
      <c r="AH323">
        <v>29</v>
      </c>
      <c r="AI323">
        <v>17</v>
      </c>
      <c r="AJ323">
        <v>13</v>
      </c>
      <c r="AK323">
        <v>25</v>
      </c>
      <c r="AL323">
        <v>36</v>
      </c>
      <c r="AM323">
        <v>7276</v>
      </c>
      <c r="AN323">
        <v>83</v>
      </c>
      <c r="AO323">
        <v>83</v>
      </c>
      <c r="AP323">
        <v>82</v>
      </c>
      <c r="AQ323">
        <v>4.5</v>
      </c>
      <c r="AR323" t="s">
        <v>29</v>
      </c>
      <c r="AS323" t="s">
        <v>49</v>
      </c>
      <c r="AT323" t="s">
        <v>26</v>
      </c>
      <c r="AU323">
        <v>406.85</v>
      </c>
      <c r="AV323">
        <v>28</v>
      </c>
      <c r="AW323">
        <v>16</v>
      </c>
      <c r="AX323">
        <v>13</v>
      </c>
      <c r="AY323">
        <v>25.6</v>
      </c>
      <c r="AZ323">
        <v>22</v>
      </c>
      <c r="BA323">
        <v>8083</v>
      </c>
      <c r="BB323">
        <v>80</v>
      </c>
      <c r="BC323">
        <v>80</v>
      </c>
      <c r="BD323">
        <v>79</v>
      </c>
      <c r="BE323">
        <v>4.5</v>
      </c>
      <c r="BF323" t="s">
        <v>46</v>
      </c>
      <c r="BG323">
        <v>29</v>
      </c>
      <c r="BH323">
        <v>46</v>
      </c>
      <c r="BI323">
        <v>0.42399999999999999</v>
      </c>
      <c r="BJ323" t="s">
        <v>273</v>
      </c>
      <c r="BK323">
        <v>0.60870000000000002</v>
      </c>
      <c r="BL323">
        <v>0.58850000000000002</v>
      </c>
      <c r="BM323">
        <v>2.2200000000000002</v>
      </c>
      <c r="BN323">
        <v>1.78</v>
      </c>
    </row>
    <row r="324" spans="1:66" x14ac:dyDescent="0.25">
      <c r="A324">
        <v>1</v>
      </c>
      <c r="B324">
        <v>2</v>
      </c>
      <c r="C324">
        <v>4</v>
      </c>
      <c r="D324">
        <v>2.0699999999999998</v>
      </c>
      <c r="E324">
        <v>4.2</v>
      </c>
      <c r="F324">
        <v>3.0499999999999994</v>
      </c>
      <c r="G324" s="40">
        <v>0.36</v>
      </c>
      <c r="H324" s="40">
        <v>0.38</v>
      </c>
      <c r="I324" s="40">
        <f t="shared" si="2"/>
        <v>0.26</v>
      </c>
      <c r="J324">
        <v>2.0499999999999998</v>
      </c>
      <c r="K324">
        <v>4.2</v>
      </c>
      <c r="L324">
        <v>3.05</v>
      </c>
      <c r="M324">
        <v>2.08</v>
      </c>
      <c r="N324">
        <v>4.2</v>
      </c>
      <c r="O324">
        <v>3.05</v>
      </c>
      <c r="P324">
        <v>2.08</v>
      </c>
      <c r="Q324">
        <v>4.2</v>
      </c>
      <c r="R324">
        <v>3.05</v>
      </c>
      <c r="S324">
        <v>0.47636866509395598</v>
      </c>
      <c r="T324">
        <v>0.20344911738387697</v>
      </c>
      <c r="U324">
        <v>0.32018221752216713</v>
      </c>
      <c r="V324">
        <v>0.45930441018286128</v>
      </c>
      <c r="W324">
        <v>0.22746504123341701</v>
      </c>
      <c r="X324">
        <v>0.31323054858372179</v>
      </c>
      <c r="Y324">
        <v>0.45930441018286128</v>
      </c>
      <c r="Z324">
        <v>0.22746504123341701</v>
      </c>
      <c r="AA324">
        <v>0.31323054858372179</v>
      </c>
      <c r="AB324">
        <v>0.46499249515322622</v>
      </c>
      <c r="AC324">
        <v>0.21945973328357035</v>
      </c>
      <c r="AD324">
        <v>0.31554777156320357</v>
      </c>
      <c r="AE324" t="s">
        <v>51</v>
      </c>
      <c r="AF324" t="s">
        <v>26</v>
      </c>
      <c r="AG324">
        <v>199.33</v>
      </c>
      <c r="AH324">
        <v>33</v>
      </c>
      <c r="AI324">
        <v>22</v>
      </c>
      <c r="AJ324">
        <v>9</v>
      </c>
      <c r="AK324">
        <v>25.9</v>
      </c>
      <c r="AL324">
        <v>45</v>
      </c>
      <c r="AM324">
        <v>6714</v>
      </c>
      <c r="AN324">
        <v>78</v>
      </c>
      <c r="AO324">
        <v>77</v>
      </c>
      <c r="AP324">
        <v>77</v>
      </c>
      <c r="AQ324">
        <v>4</v>
      </c>
      <c r="AR324" t="s">
        <v>46</v>
      </c>
      <c r="AS324" t="s">
        <v>55</v>
      </c>
      <c r="AT324" t="s">
        <v>26</v>
      </c>
      <c r="AU324">
        <v>108.3</v>
      </c>
      <c r="AV324">
        <v>28</v>
      </c>
      <c r="AW324">
        <v>11</v>
      </c>
      <c r="AX324">
        <v>8</v>
      </c>
      <c r="AY324">
        <v>25.8</v>
      </c>
      <c r="AZ324">
        <v>213</v>
      </c>
      <c r="BA324">
        <v>3138</v>
      </c>
      <c r="BB324">
        <v>76</v>
      </c>
      <c r="BC324">
        <v>73</v>
      </c>
      <c r="BD324">
        <v>75</v>
      </c>
      <c r="BE324">
        <v>3.5</v>
      </c>
      <c r="BF324" t="s">
        <v>29</v>
      </c>
      <c r="BG324">
        <v>5</v>
      </c>
      <c r="BH324">
        <v>12</v>
      </c>
      <c r="BI324">
        <v>0.39500000000000002</v>
      </c>
      <c r="BJ324" t="s">
        <v>273</v>
      </c>
      <c r="BK324">
        <v>0.47270000000000001</v>
      </c>
      <c r="BL324">
        <v>0.38890000000000002</v>
      </c>
      <c r="BM324">
        <v>1.8</v>
      </c>
      <c r="BN324">
        <v>1.39</v>
      </c>
    </row>
    <row r="325" spans="1:66" x14ac:dyDescent="0.25">
      <c r="A325">
        <v>1</v>
      </c>
      <c r="B325">
        <v>1</v>
      </c>
      <c r="C325">
        <v>3</v>
      </c>
      <c r="D325">
        <v>1.93</v>
      </c>
      <c r="E325">
        <v>4</v>
      </c>
      <c r="F325">
        <v>3.6</v>
      </c>
      <c r="G325" s="40">
        <v>0.34</v>
      </c>
      <c r="H325" s="40">
        <v>0.42</v>
      </c>
      <c r="I325" s="40">
        <f t="shared" si="2"/>
        <v>0.23999999999999994</v>
      </c>
      <c r="J325">
        <v>1.91</v>
      </c>
      <c r="K325">
        <v>4</v>
      </c>
      <c r="L325">
        <v>3.6</v>
      </c>
      <c r="M325">
        <v>1.95</v>
      </c>
      <c r="N325">
        <v>4</v>
      </c>
      <c r="O325">
        <v>3.6</v>
      </c>
      <c r="P325">
        <v>1.93</v>
      </c>
      <c r="Q325">
        <v>4</v>
      </c>
      <c r="R325">
        <v>3.6</v>
      </c>
      <c r="S325">
        <v>0.51558374249027072</v>
      </c>
      <c r="T325">
        <v>0.21087043857739118</v>
      </c>
      <c r="U325">
        <v>0.27354581893233804</v>
      </c>
      <c r="V325">
        <v>0.49281314168377827</v>
      </c>
      <c r="W325">
        <v>0.2402464065708419</v>
      </c>
      <c r="X325">
        <v>0.26694045174537989</v>
      </c>
      <c r="Y325">
        <v>0.49539011971927893</v>
      </c>
      <c r="Z325">
        <v>0.23902573276455208</v>
      </c>
      <c r="AA325">
        <v>0.26558414751616899</v>
      </c>
      <c r="AB325">
        <v>0.50126233463110925</v>
      </c>
      <c r="AC325">
        <v>0.2300475259709284</v>
      </c>
      <c r="AD325">
        <v>0.26869013939796232</v>
      </c>
      <c r="AE325" t="s">
        <v>54</v>
      </c>
      <c r="AF325" t="s">
        <v>26</v>
      </c>
      <c r="AG325">
        <v>214.6</v>
      </c>
      <c r="AH325">
        <v>30</v>
      </c>
      <c r="AI325">
        <v>22</v>
      </c>
      <c r="AJ325">
        <v>15</v>
      </c>
      <c r="AK325">
        <v>25.7</v>
      </c>
      <c r="AL325">
        <v>194</v>
      </c>
      <c r="AM325">
        <v>3438</v>
      </c>
      <c r="AN325">
        <v>79</v>
      </c>
      <c r="AO325">
        <v>77</v>
      </c>
      <c r="AP325">
        <v>75</v>
      </c>
      <c r="AQ325">
        <v>4</v>
      </c>
      <c r="AR325" t="s">
        <v>29</v>
      </c>
      <c r="AS325" t="s">
        <v>59</v>
      </c>
      <c r="AT325" t="s">
        <v>26</v>
      </c>
      <c r="AU325">
        <v>221.15</v>
      </c>
      <c r="AV325">
        <v>35</v>
      </c>
      <c r="AW325">
        <v>17</v>
      </c>
      <c r="AX325">
        <v>8</v>
      </c>
      <c r="AY325">
        <v>23.8</v>
      </c>
      <c r="AZ325">
        <v>258</v>
      </c>
      <c r="BA325">
        <v>2751</v>
      </c>
      <c r="BB325">
        <v>77</v>
      </c>
      <c r="BC325">
        <v>75</v>
      </c>
      <c r="BD325">
        <v>75</v>
      </c>
      <c r="BE325">
        <v>4</v>
      </c>
      <c r="BF325" t="s">
        <v>29</v>
      </c>
      <c r="BG325">
        <v>13</v>
      </c>
      <c r="BH325">
        <v>17</v>
      </c>
      <c r="BI325">
        <v>0.47599999999999998</v>
      </c>
      <c r="BJ325" t="s">
        <v>273</v>
      </c>
      <c r="BK325">
        <v>0.43240000000000001</v>
      </c>
      <c r="BL325">
        <v>0.32429999999999998</v>
      </c>
      <c r="BM325">
        <v>1.65</v>
      </c>
      <c r="BN325">
        <v>1.57</v>
      </c>
    </row>
    <row r="326" spans="1:66" x14ac:dyDescent="0.25">
      <c r="A326">
        <v>3</v>
      </c>
      <c r="B326">
        <v>-1</v>
      </c>
      <c r="C326">
        <v>5</v>
      </c>
      <c r="D326">
        <v>1.6566666666666665</v>
      </c>
      <c r="E326">
        <v>4.2833333333333341</v>
      </c>
      <c r="F326">
        <v>4.7833333333333341</v>
      </c>
      <c r="G326" s="40">
        <v>0.45</v>
      </c>
      <c r="H326" s="40">
        <v>0.33</v>
      </c>
      <c r="I326" s="40">
        <f t="shared" si="2"/>
        <v>0.22000000000000003</v>
      </c>
      <c r="J326">
        <v>1.65</v>
      </c>
      <c r="K326">
        <v>4.25</v>
      </c>
      <c r="L326">
        <v>4.75</v>
      </c>
      <c r="M326">
        <v>1.66</v>
      </c>
      <c r="N326">
        <v>4.3</v>
      </c>
      <c r="O326">
        <v>4.8</v>
      </c>
      <c r="P326">
        <v>1.66</v>
      </c>
      <c r="Q326">
        <v>4.3</v>
      </c>
      <c r="R326">
        <v>4.8</v>
      </c>
      <c r="S326">
        <v>0.60288570915404427</v>
      </c>
      <c r="T326">
        <v>0.18769083398191938</v>
      </c>
      <c r="U326">
        <v>0.20942345686403641</v>
      </c>
      <c r="V326">
        <v>0.57740726235103224</v>
      </c>
      <c r="W326">
        <v>0.22290605941923572</v>
      </c>
      <c r="X326">
        <v>0.19968667822973199</v>
      </c>
      <c r="Y326">
        <v>0.57740726235103224</v>
      </c>
      <c r="Z326">
        <v>0.22290605941923572</v>
      </c>
      <c r="AA326">
        <v>0.19968667822973199</v>
      </c>
      <c r="AB326">
        <v>0.58590007795203625</v>
      </c>
      <c r="AC326">
        <v>0.21116765094013026</v>
      </c>
      <c r="AD326">
        <v>0.20293227110783349</v>
      </c>
      <c r="AE326" t="s">
        <v>274</v>
      </c>
      <c r="AF326" t="s">
        <v>26</v>
      </c>
      <c r="AG326">
        <v>205.55</v>
      </c>
      <c r="AH326">
        <v>29</v>
      </c>
      <c r="AI326">
        <v>21</v>
      </c>
      <c r="AJ326">
        <v>10</v>
      </c>
      <c r="AK326">
        <v>26.2</v>
      </c>
      <c r="AL326">
        <v>65</v>
      </c>
      <c r="AM326">
        <v>5919</v>
      </c>
      <c r="AN326">
        <v>77</v>
      </c>
      <c r="AO326">
        <v>77</v>
      </c>
      <c r="AP326">
        <v>78</v>
      </c>
      <c r="AQ326">
        <v>4</v>
      </c>
      <c r="AR326" t="s">
        <v>46</v>
      </c>
      <c r="AS326" t="s">
        <v>57</v>
      </c>
      <c r="AT326" t="s">
        <v>26</v>
      </c>
      <c r="AU326">
        <v>117.95</v>
      </c>
      <c r="AV326">
        <v>36</v>
      </c>
      <c r="AW326">
        <v>17</v>
      </c>
      <c r="AX326">
        <v>6</v>
      </c>
      <c r="AY326">
        <v>24</v>
      </c>
      <c r="AZ326">
        <v>234</v>
      </c>
      <c r="BA326">
        <v>2973</v>
      </c>
      <c r="BB326">
        <v>75</v>
      </c>
      <c r="BC326">
        <v>73</v>
      </c>
      <c r="BD326">
        <v>75</v>
      </c>
      <c r="BE326">
        <v>4</v>
      </c>
      <c r="BF326" t="s">
        <v>46</v>
      </c>
      <c r="BG326">
        <v>13</v>
      </c>
      <c r="BH326">
        <v>39</v>
      </c>
      <c r="BI326">
        <v>0.41</v>
      </c>
      <c r="BJ326" t="s">
        <v>273</v>
      </c>
      <c r="BK326">
        <v>0.41299999999999998</v>
      </c>
      <c r="BL326">
        <v>0.31430000000000002</v>
      </c>
      <c r="BM326">
        <v>1.5</v>
      </c>
      <c r="BN326">
        <v>1.26</v>
      </c>
    </row>
    <row r="327" spans="1:66" x14ac:dyDescent="0.25">
      <c r="A327">
        <v>3</v>
      </c>
      <c r="B327">
        <v>-2</v>
      </c>
      <c r="C327">
        <v>6</v>
      </c>
      <c r="D327">
        <v>2.6933333333333338</v>
      </c>
      <c r="E327">
        <v>3.9166666666666665</v>
      </c>
      <c r="F327">
        <v>2.3833333333333333</v>
      </c>
      <c r="G327" s="40">
        <v>0.25</v>
      </c>
      <c r="H327" s="40">
        <v>0.28999999999999998</v>
      </c>
      <c r="I327" s="40">
        <f t="shared" si="2"/>
        <v>0.46</v>
      </c>
      <c r="J327">
        <v>2.7</v>
      </c>
      <c r="K327">
        <v>3.95</v>
      </c>
      <c r="L327">
        <v>2.35</v>
      </c>
      <c r="M327">
        <v>2.7</v>
      </c>
      <c r="N327">
        <v>3.9</v>
      </c>
      <c r="O327">
        <v>2.4</v>
      </c>
      <c r="P327">
        <v>2.68</v>
      </c>
      <c r="Q327">
        <v>3.9</v>
      </c>
      <c r="R327">
        <v>2.4</v>
      </c>
      <c r="S327">
        <v>0.36288713455365662</v>
      </c>
      <c r="T327">
        <v>0.22017871085278043</v>
      </c>
      <c r="U327">
        <v>0.41693415459356292</v>
      </c>
      <c r="V327">
        <v>0.35494880546075086</v>
      </c>
      <c r="W327">
        <v>0.24573378839590448</v>
      </c>
      <c r="X327">
        <v>0.39931740614334471</v>
      </c>
      <c r="Y327">
        <v>0.35665294924554181</v>
      </c>
      <c r="Z327">
        <v>0.24508459076360312</v>
      </c>
      <c r="AA327">
        <v>0.39826245999085508</v>
      </c>
      <c r="AB327">
        <v>0.3581629630866498</v>
      </c>
      <c r="AC327">
        <v>0.23699903000409603</v>
      </c>
      <c r="AD327">
        <v>0.40483800690925426</v>
      </c>
      <c r="AE327" t="s">
        <v>56</v>
      </c>
      <c r="AF327" t="s">
        <v>26</v>
      </c>
      <c r="AG327">
        <v>123.65</v>
      </c>
      <c r="AH327">
        <v>40</v>
      </c>
      <c r="AI327">
        <v>20</v>
      </c>
      <c r="AJ327">
        <v>5</v>
      </c>
      <c r="AK327">
        <v>24.2</v>
      </c>
      <c r="AL327">
        <v>216</v>
      </c>
      <c r="AM327">
        <v>3121</v>
      </c>
      <c r="AN327">
        <v>77</v>
      </c>
      <c r="AO327">
        <v>76</v>
      </c>
      <c r="AP327">
        <v>77</v>
      </c>
      <c r="AQ327">
        <v>4</v>
      </c>
      <c r="AR327" t="s">
        <v>29</v>
      </c>
      <c r="AS327" t="s">
        <v>52</v>
      </c>
      <c r="AT327" t="s">
        <v>26</v>
      </c>
      <c r="AU327">
        <v>294.73</v>
      </c>
      <c r="AV327">
        <v>35</v>
      </c>
      <c r="AW327">
        <v>19</v>
      </c>
      <c r="AX327">
        <v>10</v>
      </c>
      <c r="AY327">
        <v>24.9</v>
      </c>
      <c r="AZ327">
        <v>76</v>
      </c>
      <c r="BA327">
        <v>5412</v>
      </c>
      <c r="BB327">
        <v>78</v>
      </c>
      <c r="BC327">
        <v>79</v>
      </c>
      <c r="BD327">
        <v>78</v>
      </c>
      <c r="BE327">
        <v>4.5</v>
      </c>
      <c r="BF327" t="s">
        <v>29</v>
      </c>
      <c r="BG327">
        <v>-25</v>
      </c>
      <c r="BH327">
        <v>13</v>
      </c>
      <c r="BI327">
        <v>0.36699999999999999</v>
      </c>
      <c r="BJ327" t="s">
        <v>273</v>
      </c>
      <c r="BK327">
        <v>0.27500000000000002</v>
      </c>
      <c r="BL327">
        <v>0.54759999999999998</v>
      </c>
      <c r="BM327">
        <v>1.43</v>
      </c>
      <c r="BN327">
        <v>1.76</v>
      </c>
    </row>
    <row r="328" spans="1:66" x14ac:dyDescent="0.25">
      <c r="A328">
        <v>1</v>
      </c>
      <c r="B328">
        <v>1</v>
      </c>
      <c r="C328">
        <v>5</v>
      </c>
      <c r="D328">
        <v>2.8666666666666667</v>
      </c>
      <c r="E328">
        <v>3.1833333333333336</v>
      </c>
      <c r="F328">
        <v>2.31</v>
      </c>
      <c r="G328" s="40">
        <v>0.33</v>
      </c>
      <c r="H328" s="40">
        <v>0.31</v>
      </c>
      <c r="I328" s="40">
        <f t="shared" si="2"/>
        <v>0.35999999999999993</v>
      </c>
      <c r="J328">
        <v>2.8</v>
      </c>
      <c r="K328">
        <v>3.15</v>
      </c>
      <c r="L328">
        <v>2.23</v>
      </c>
      <c r="M328">
        <v>2.9</v>
      </c>
      <c r="N328">
        <v>3.2</v>
      </c>
      <c r="O328">
        <v>2.35</v>
      </c>
      <c r="P328">
        <v>2.9</v>
      </c>
      <c r="Q328">
        <v>3.2</v>
      </c>
      <c r="R328">
        <v>2.35</v>
      </c>
      <c r="S328">
        <v>0.3241674427681927</v>
      </c>
      <c r="T328">
        <v>0.26880617169326931</v>
      </c>
      <c r="U328">
        <v>0.40702638553853787</v>
      </c>
      <c r="V328">
        <v>0.3184416684310819</v>
      </c>
      <c r="W328">
        <v>0.28858776201566794</v>
      </c>
      <c r="X328">
        <v>0.39297056955324999</v>
      </c>
      <c r="Y328">
        <v>0.3184416684310819</v>
      </c>
      <c r="Z328">
        <v>0.28858776201566794</v>
      </c>
      <c r="AA328">
        <v>0.39297056955324999</v>
      </c>
      <c r="AB328">
        <v>0.3203502598767855</v>
      </c>
      <c r="AC328">
        <v>0.2819938985748684</v>
      </c>
      <c r="AD328">
        <v>0.39765584154834599</v>
      </c>
      <c r="AE328" t="s">
        <v>132</v>
      </c>
      <c r="AF328" t="s">
        <v>126</v>
      </c>
      <c r="AG328">
        <v>6.95</v>
      </c>
      <c r="AH328">
        <v>28</v>
      </c>
      <c r="AI328">
        <v>7</v>
      </c>
      <c r="AJ328">
        <v>1</v>
      </c>
      <c r="AK328">
        <v>24.4</v>
      </c>
      <c r="AL328">
        <v>957</v>
      </c>
      <c r="AM328">
        <v>119</v>
      </c>
      <c r="AN328">
        <v>65</v>
      </c>
      <c r="AO328">
        <v>65</v>
      </c>
      <c r="AP328">
        <v>66</v>
      </c>
      <c r="AQ328">
        <v>2</v>
      </c>
      <c r="AR328" t="s">
        <v>29</v>
      </c>
      <c r="AS328" t="s">
        <v>125</v>
      </c>
      <c r="AT328" t="s">
        <v>126</v>
      </c>
      <c r="AU328">
        <v>13.2</v>
      </c>
      <c r="AV328">
        <v>33</v>
      </c>
      <c r="AW328">
        <v>6</v>
      </c>
      <c r="AX328">
        <v>2</v>
      </c>
      <c r="AY328">
        <v>25.8</v>
      </c>
      <c r="AZ328">
        <v>648</v>
      </c>
      <c r="BA328">
        <v>911</v>
      </c>
      <c r="BB328">
        <v>73</v>
      </c>
      <c r="BC328">
        <v>70</v>
      </c>
      <c r="BD328">
        <v>72</v>
      </c>
      <c r="BE328">
        <v>3.5</v>
      </c>
      <c r="BF328" t="s">
        <v>28</v>
      </c>
      <c r="BG328">
        <v>-2</v>
      </c>
      <c r="BH328">
        <v>7</v>
      </c>
      <c r="BI328">
        <v>0.31</v>
      </c>
      <c r="BJ328" t="s">
        <v>126</v>
      </c>
      <c r="BK328">
        <v>0.4118</v>
      </c>
      <c r="BL328">
        <v>0.51060000000000005</v>
      </c>
      <c r="BM328">
        <v>1.62</v>
      </c>
      <c r="BN328">
        <v>1.74</v>
      </c>
    </row>
    <row r="329" spans="1:66" x14ac:dyDescent="0.25">
      <c r="A329">
        <v>1</v>
      </c>
      <c r="B329">
        <v>3</v>
      </c>
      <c r="C329">
        <v>3</v>
      </c>
      <c r="D329">
        <v>1.8566666666666667</v>
      </c>
      <c r="E329">
        <v>3.7166666666666668</v>
      </c>
      <c r="F329">
        <v>3.8833333333333333</v>
      </c>
      <c r="G329" s="40">
        <v>0.36</v>
      </c>
      <c r="H329" s="40">
        <v>0.23</v>
      </c>
      <c r="I329" s="40">
        <f t="shared" si="2"/>
        <v>0.41000000000000003</v>
      </c>
      <c r="J329">
        <v>1.82</v>
      </c>
      <c r="K329">
        <v>3.55</v>
      </c>
      <c r="L329">
        <v>3.75</v>
      </c>
      <c r="M329">
        <v>1.9</v>
      </c>
      <c r="N329">
        <v>3.85</v>
      </c>
      <c r="O329">
        <v>4</v>
      </c>
      <c r="P329">
        <v>1.85</v>
      </c>
      <c r="Q329">
        <v>3.75</v>
      </c>
      <c r="R329">
        <v>3.9</v>
      </c>
      <c r="S329">
        <v>0.51804852345615626</v>
      </c>
      <c r="T329">
        <v>0.23052525982645589</v>
      </c>
      <c r="U329">
        <v>0.25142621671738785</v>
      </c>
      <c r="V329">
        <v>0.50799934026059712</v>
      </c>
      <c r="W329">
        <v>0.25070097311561934</v>
      </c>
      <c r="X329">
        <v>0.24129968662378362</v>
      </c>
      <c r="Y329">
        <v>0.50820953870211105</v>
      </c>
      <c r="Z329">
        <v>0.25071670575970811</v>
      </c>
      <c r="AA329">
        <v>0.24107375553818089</v>
      </c>
      <c r="AB329">
        <v>0.51141913413962148</v>
      </c>
      <c r="AC329">
        <v>0.24398097956726114</v>
      </c>
      <c r="AD329">
        <v>0.24459988629311746</v>
      </c>
      <c r="AE329" t="s">
        <v>164</v>
      </c>
      <c r="AF329" t="s">
        <v>160</v>
      </c>
      <c r="AG329">
        <v>23.3</v>
      </c>
      <c r="AH329">
        <v>28</v>
      </c>
      <c r="AI329">
        <v>19</v>
      </c>
      <c r="AJ329">
        <v>8</v>
      </c>
      <c r="AK329">
        <v>27.3</v>
      </c>
      <c r="AL329">
        <v>208</v>
      </c>
      <c r="AM329">
        <v>3187</v>
      </c>
      <c r="AN329">
        <v>72</v>
      </c>
      <c r="AO329">
        <v>72</v>
      </c>
      <c r="AP329">
        <v>70</v>
      </c>
      <c r="AQ329">
        <v>3.5</v>
      </c>
      <c r="AR329" t="s">
        <v>46</v>
      </c>
      <c r="AS329" t="s">
        <v>169</v>
      </c>
      <c r="AT329" t="s">
        <v>160</v>
      </c>
      <c r="AU329">
        <v>29.93</v>
      </c>
      <c r="AV329">
        <v>28</v>
      </c>
      <c r="AW329">
        <v>15</v>
      </c>
      <c r="AX329">
        <v>7</v>
      </c>
      <c r="AY329">
        <v>25.5</v>
      </c>
      <c r="AZ329">
        <v>308</v>
      </c>
      <c r="BA329">
        <v>2420</v>
      </c>
      <c r="BB329">
        <v>78</v>
      </c>
      <c r="BC329">
        <v>72</v>
      </c>
      <c r="BD329">
        <v>66</v>
      </c>
      <c r="BE329">
        <v>3</v>
      </c>
      <c r="BF329" t="s">
        <v>29</v>
      </c>
      <c r="BG329">
        <v>7</v>
      </c>
      <c r="BH329">
        <v>9</v>
      </c>
      <c r="BI329">
        <v>0.41399999999999998</v>
      </c>
      <c r="BJ329" t="s">
        <v>234</v>
      </c>
      <c r="BK329">
        <v>0.5</v>
      </c>
      <c r="BL329">
        <v>0.25</v>
      </c>
      <c r="BM329">
        <v>1.96</v>
      </c>
      <c r="BN329">
        <v>1.25</v>
      </c>
    </row>
    <row r="330" spans="1:66" x14ac:dyDescent="0.25">
      <c r="A330">
        <v>3</v>
      </c>
      <c r="B330">
        <v>-1</v>
      </c>
      <c r="C330">
        <v>3</v>
      </c>
      <c r="D330">
        <v>1.6420000000000001</v>
      </c>
      <c r="E330">
        <v>3.8000000000000003</v>
      </c>
      <c r="F330">
        <v>5.0666666666666664</v>
      </c>
      <c r="G330" s="40">
        <v>0.49</v>
      </c>
      <c r="H330" s="40">
        <v>0.31</v>
      </c>
      <c r="I330" s="40">
        <f t="shared" ref="I330:I363" si="3">1-G330-H330</f>
        <v>0.2</v>
      </c>
      <c r="J330">
        <v>1.58</v>
      </c>
      <c r="K330">
        <v>3.7</v>
      </c>
      <c r="L330">
        <v>5</v>
      </c>
      <c r="M330">
        <v>1.6659999999999999</v>
      </c>
      <c r="N330">
        <v>3.9</v>
      </c>
      <c r="O330">
        <v>5.25</v>
      </c>
      <c r="P330">
        <v>1.68</v>
      </c>
      <c r="Q330">
        <v>3.8</v>
      </c>
      <c r="R330">
        <v>4.95</v>
      </c>
      <c r="S330">
        <v>0.60331877486299268</v>
      </c>
      <c r="T330">
        <v>0.20603249228030152</v>
      </c>
      <c r="U330">
        <v>0.19064873285670567</v>
      </c>
      <c r="V330">
        <v>0.57322593920865428</v>
      </c>
      <c r="W330">
        <v>0.24487036274913279</v>
      </c>
      <c r="X330">
        <v>0.18190369804221293</v>
      </c>
      <c r="Y330">
        <v>0.56132497761862121</v>
      </c>
      <c r="Z330">
        <v>0.24816472694717992</v>
      </c>
      <c r="AA330">
        <v>0.19051029543419873</v>
      </c>
      <c r="AB330">
        <v>0.57928989723008939</v>
      </c>
      <c r="AC330">
        <v>0.23302252732553808</v>
      </c>
      <c r="AD330">
        <v>0.18768757544437245</v>
      </c>
      <c r="AE330" t="s">
        <v>161</v>
      </c>
      <c r="AF330" t="s">
        <v>160</v>
      </c>
      <c r="AG330">
        <v>27.63</v>
      </c>
      <c r="AH330">
        <v>26</v>
      </c>
      <c r="AI330">
        <v>15</v>
      </c>
      <c r="AJ330">
        <v>7</v>
      </c>
      <c r="AK330">
        <v>25.6</v>
      </c>
      <c r="AL330">
        <v>114</v>
      </c>
      <c r="AM330">
        <v>4579</v>
      </c>
      <c r="AN330">
        <v>69</v>
      </c>
      <c r="AO330">
        <v>71</v>
      </c>
      <c r="AP330">
        <v>71</v>
      </c>
      <c r="AQ330">
        <v>3</v>
      </c>
      <c r="AR330" t="s">
        <v>29</v>
      </c>
      <c r="AS330" t="s">
        <v>175</v>
      </c>
      <c r="AT330" t="s">
        <v>160</v>
      </c>
      <c r="AU330">
        <v>24.6</v>
      </c>
      <c r="AV330">
        <v>28</v>
      </c>
      <c r="AW330">
        <v>17</v>
      </c>
      <c r="AX330">
        <v>4</v>
      </c>
      <c r="AY330">
        <v>27.1</v>
      </c>
      <c r="AZ330">
        <v>380</v>
      </c>
      <c r="BA330">
        <v>1959</v>
      </c>
      <c r="BB330">
        <v>69</v>
      </c>
      <c r="BC330">
        <v>72</v>
      </c>
      <c r="BD330">
        <v>70</v>
      </c>
      <c r="BE330">
        <v>3.5</v>
      </c>
      <c r="BF330" t="s">
        <v>29</v>
      </c>
      <c r="BG330">
        <v>1</v>
      </c>
      <c r="BH330">
        <v>4</v>
      </c>
      <c r="BI330">
        <v>0.375</v>
      </c>
      <c r="BJ330" t="s">
        <v>234</v>
      </c>
      <c r="BK330">
        <v>0.5</v>
      </c>
      <c r="BL330">
        <v>0.57140000000000002</v>
      </c>
      <c r="BM330">
        <v>1.6</v>
      </c>
      <c r="BN330">
        <v>1.64</v>
      </c>
    </row>
    <row r="331" spans="1:66" x14ac:dyDescent="0.25">
      <c r="A331">
        <v>2</v>
      </c>
      <c r="B331">
        <v>0</v>
      </c>
      <c r="C331">
        <v>4</v>
      </c>
      <c r="D331">
        <v>1.9866666666666664</v>
      </c>
      <c r="E331">
        <v>3.5166666666666671</v>
      </c>
      <c r="F331">
        <v>3.5833333333333335</v>
      </c>
      <c r="G331" s="40">
        <v>0.36</v>
      </c>
      <c r="H331" s="40">
        <v>0.35</v>
      </c>
      <c r="I331" s="40">
        <f t="shared" si="3"/>
        <v>0.29000000000000004</v>
      </c>
      <c r="J331">
        <v>1.88</v>
      </c>
      <c r="K331">
        <v>3.45</v>
      </c>
      <c r="L331">
        <v>3.6</v>
      </c>
      <c r="M331">
        <v>2.0499999999999998</v>
      </c>
      <c r="N331">
        <v>3.6</v>
      </c>
      <c r="O331">
        <v>3.65</v>
      </c>
      <c r="P331">
        <v>2.0299999999999998</v>
      </c>
      <c r="Q331">
        <v>3.5</v>
      </c>
      <c r="R331">
        <v>3.5</v>
      </c>
      <c r="S331">
        <v>0.49975017205132316</v>
      </c>
      <c r="T331">
        <v>0.23926918254409696</v>
      </c>
      <c r="U331">
        <v>0.26098064540457988</v>
      </c>
      <c r="V331">
        <v>0.46924381751629318</v>
      </c>
      <c r="W331">
        <v>0.26720828497455584</v>
      </c>
      <c r="X331">
        <v>0.26354789750915097</v>
      </c>
      <c r="Y331">
        <v>0.46296296296296297</v>
      </c>
      <c r="Z331">
        <v>0.26851851851851849</v>
      </c>
      <c r="AA331">
        <v>0.26851851851851849</v>
      </c>
      <c r="AB331">
        <v>0.47731898417685975</v>
      </c>
      <c r="AC331">
        <v>0.25833199534572376</v>
      </c>
      <c r="AD331">
        <v>0.26434902047741643</v>
      </c>
      <c r="AE331" t="s">
        <v>167</v>
      </c>
      <c r="AF331" t="s">
        <v>160</v>
      </c>
      <c r="AG331">
        <v>22.3</v>
      </c>
      <c r="AH331">
        <v>29</v>
      </c>
      <c r="AI331">
        <v>11</v>
      </c>
      <c r="AJ331">
        <v>6</v>
      </c>
      <c r="AK331">
        <v>25.1</v>
      </c>
      <c r="AL331">
        <v>300</v>
      </c>
      <c r="AM331">
        <v>2452</v>
      </c>
      <c r="AN331">
        <v>70</v>
      </c>
      <c r="AO331">
        <v>69</v>
      </c>
      <c r="AP331">
        <v>70</v>
      </c>
      <c r="AQ331">
        <v>3</v>
      </c>
      <c r="AR331" t="s">
        <v>29</v>
      </c>
      <c r="AS331" t="s">
        <v>166</v>
      </c>
      <c r="AT331" t="s">
        <v>160</v>
      </c>
      <c r="AU331">
        <v>13.98</v>
      </c>
      <c r="AV331">
        <v>31</v>
      </c>
      <c r="AW331">
        <v>16</v>
      </c>
      <c r="AX331">
        <v>8</v>
      </c>
      <c r="AY331">
        <v>26.5</v>
      </c>
      <c r="AZ331">
        <v>270</v>
      </c>
      <c r="BA331">
        <v>2670</v>
      </c>
      <c r="BB331">
        <v>71</v>
      </c>
      <c r="BC331">
        <v>69</v>
      </c>
      <c r="BD331">
        <v>67</v>
      </c>
      <c r="BE331">
        <v>2.5</v>
      </c>
      <c r="BF331" t="s">
        <v>29</v>
      </c>
      <c r="BG331">
        <v>17</v>
      </c>
      <c r="BH331">
        <v>40</v>
      </c>
      <c r="BI331">
        <v>0.5</v>
      </c>
      <c r="BJ331" t="s">
        <v>234</v>
      </c>
      <c r="BK331">
        <v>0.375</v>
      </c>
      <c r="BL331">
        <v>0.20830000000000001</v>
      </c>
      <c r="BM331">
        <v>1.21</v>
      </c>
      <c r="BN331">
        <v>1.1299999999999999</v>
      </c>
    </row>
    <row r="332" spans="1:66" x14ac:dyDescent="0.25">
      <c r="A332">
        <v>1</v>
      </c>
      <c r="B332">
        <v>2</v>
      </c>
      <c r="C332">
        <v>4</v>
      </c>
      <c r="D332">
        <v>1.8266666666666669</v>
      </c>
      <c r="E332">
        <v>3.6166666666666667</v>
      </c>
      <c r="F332">
        <v>4.144333333333333</v>
      </c>
      <c r="G332" s="40">
        <v>0.56000000000000005</v>
      </c>
      <c r="H332" s="40">
        <v>0.2</v>
      </c>
      <c r="I332" s="40">
        <f t="shared" si="3"/>
        <v>0.23999999999999994</v>
      </c>
      <c r="J332">
        <v>1.78</v>
      </c>
      <c r="K332">
        <v>3.45</v>
      </c>
      <c r="L332">
        <v>4</v>
      </c>
      <c r="M332">
        <v>1.85</v>
      </c>
      <c r="N332">
        <v>3.75</v>
      </c>
      <c r="O332">
        <v>4.3330000000000002</v>
      </c>
      <c r="P332">
        <v>1.85</v>
      </c>
      <c r="Q332">
        <v>3.65</v>
      </c>
      <c r="R332">
        <v>4.0999999999999996</v>
      </c>
      <c r="S332">
        <v>0.52992682798434787</v>
      </c>
      <c r="T332">
        <v>0.23425573356261731</v>
      </c>
      <c r="U332">
        <v>0.23581743845303482</v>
      </c>
      <c r="V332">
        <v>0.52075488024921246</v>
      </c>
      <c r="W332">
        <v>0.25690574092294483</v>
      </c>
      <c r="X332">
        <v>0.22233937882784283</v>
      </c>
      <c r="Y332">
        <v>0.51070727753604639</v>
      </c>
      <c r="Z332">
        <v>0.25885163381963999</v>
      </c>
      <c r="AA332">
        <v>0.23044108864431367</v>
      </c>
      <c r="AB332">
        <v>0.52046299525653561</v>
      </c>
      <c r="AC332">
        <v>0.25000436943506738</v>
      </c>
      <c r="AD332">
        <v>0.2295326353083971</v>
      </c>
      <c r="AE332" t="s">
        <v>168</v>
      </c>
      <c r="AF332" t="s">
        <v>160</v>
      </c>
      <c r="AG332">
        <v>19.649999999999999</v>
      </c>
      <c r="AH332">
        <v>28</v>
      </c>
      <c r="AI332">
        <v>11</v>
      </c>
      <c r="AJ332">
        <v>1</v>
      </c>
      <c r="AK332">
        <v>26.8</v>
      </c>
      <c r="AL332">
        <v>302</v>
      </c>
      <c r="AM332">
        <v>2441</v>
      </c>
      <c r="AN332">
        <v>71</v>
      </c>
      <c r="AO332">
        <v>69</v>
      </c>
      <c r="AP332">
        <v>68</v>
      </c>
      <c r="AQ332">
        <v>3</v>
      </c>
      <c r="AR332" t="s">
        <v>29</v>
      </c>
      <c r="AS332" t="s">
        <v>170</v>
      </c>
      <c r="AT332" t="s">
        <v>160</v>
      </c>
      <c r="AU332">
        <v>19.2</v>
      </c>
      <c r="AV332">
        <v>27</v>
      </c>
      <c r="AW332">
        <v>13</v>
      </c>
      <c r="AX332">
        <v>3</v>
      </c>
      <c r="AY332">
        <v>24.8</v>
      </c>
      <c r="AZ332">
        <v>315</v>
      </c>
      <c r="BA332">
        <v>2380</v>
      </c>
      <c r="BB332">
        <v>69</v>
      </c>
      <c r="BC332">
        <v>69</v>
      </c>
      <c r="BD332">
        <v>70</v>
      </c>
      <c r="BE332">
        <v>3</v>
      </c>
      <c r="BF332" t="s">
        <v>29</v>
      </c>
      <c r="BG332">
        <v>6</v>
      </c>
      <c r="BH332">
        <v>41</v>
      </c>
      <c r="BI332">
        <v>0.42499999999999999</v>
      </c>
      <c r="BJ332" t="s">
        <v>234</v>
      </c>
      <c r="BK332">
        <v>0.39290000000000003</v>
      </c>
      <c r="BL332">
        <v>0.375</v>
      </c>
      <c r="BM332">
        <v>1.18</v>
      </c>
      <c r="BN332">
        <v>1.29</v>
      </c>
    </row>
    <row r="333" spans="1:66" x14ac:dyDescent="0.25">
      <c r="A333">
        <v>3</v>
      </c>
      <c r="B333">
        <v>-1</v>
      </c>
      <c r="C333">
        <v>3</v>
      </c>
      <c r="D333">
        <v>1.3766666666666667</v>
      </c>
      <c r="E333">
        <v>4.8666666666666663</v>
      </c>
      <c r="F333">
        <v>6.083333333333333</v>
      </c>
      <c r="G333" s="40">
        <v>0.61</v>
      </c>
      <c r="H333" s="40">
        <v>0.23</v>
      </c>
      <c r="I333" s="40">
        <f t="shared" si="3"/>
        <v>0.16</v>
      </c>
      <c r="J333">
        <v>1.33</v>
      </c>
      <c r="K333">
        <v>4.5999999999999996</v>
      </c>
      <c r="L333">
        <v>6.25</v>
      </c>
      <c r="M333">
        <v>1.4</v>
      </c>
      <c r="N333">
        <v>5</v>
      </c>
      <c r="O333">
        <v>6</v>
      </c>
      <c r="P333">
        <v>1.4</v>
      </c>
      <c r="Q333">
        <v>5</v>
      </c>
      <c r="R333">
        <v>6</v>
      </c>
      <c r="S333">
        <v>0.69993255195408433</v>
      </c>
      <c r="T333">
        <v>0.15112180099008643</v>
      </c>
      <c r="U333">
        <v>0.14894564705582916</v>
      </c>
      <c r="V333">
        <v>0.66079295154185025</v>
      </c>
      <c r="W333">
        <v>0.18502202643171806</v>
      </c>
      <c r="X333">
        <v>0.15418502202643172</v>
      </c>
      <c r="Y333">
        <v>0.66079295154185025</v>
      </c>
      <c r="Z333">
        <v>0.18502202643171806</v>
      </c>
      <c r="AA333">
        <v>0.15418502202643172</v>
      </c>
      <c r="AB333">
        <v>0.67383948501259494</v>
      </c>
      <c r="AC333">
        <v>0.17372195128450751</v>
      </c>
      <c r="AD333">
        <v>0.15243856370289754</v>
      </c>
      <c r="AE333" t="s">
        <v>239</v>
      </c>
      <c r="AF333" t="s">
        <v>238</v>
      </c>
      <c r="AG333">
        <v>21.75</v>
      </c>
      <c r="AH333">
        <v>30</v>
      </c>
      <c r="AI333">
        <v>7</v>
      </c>
      <c r="AJ333">
        <v>4</v>
      </c>
      <c r="AK333">
        <v>27.8</v>
      </c>
      <c r="AL333">
        <v>129</v>
      </c>
      <c r="AM333">
        <v>4117</v>
      </c>
      <c r="AN333">
        <v>70</v>
      </c>
      <c r="AO333">
        <v>70</v>
      </c>
      <c r="AP333">
        <v>71</v>
      </c>
      <c r="AQ333">
        <v>3</v>
      </c>
      <c r="AR333" t="s">
        <v>29</v>
      </c>
      <c r="AS333" t="s">
        <v>241</v>
      </c>
      <c r="AT333" t="s">
        <v>238</v>
      </c>
      <c r="AU333">
        <v>3.25</v>
      </c>
      <c r="AV333">
        <v>32</v>
      </c>
      <c r="AW333">
        <v>7</v>
      </c>
      <c r="AX333">
        <v>0</v>
      </c>
      <c r="AY333">
        <v>26</v>
      </c>
      <c r="AZ333">
        <v>341</v>
      </c>
      <c r="BA333">
        <v>2185</v>
      </c>
      <c r="BB333">
        <v>64</v>
      </c>
      <c r="BC333">
        <v>65</v>
      </c>
      <c r="BD333">
        <v>64</v>
      </c>
      <c r="BE333">
        <v>1.5</v>
      </c>
      <c r="BF333" t="s">
        <v>46</v>
      </c>
      <c r="BG333">
        <v>10</v>
      </c>
      <c r="BH333">
        <v>20</v>
      </c>
      <c r="BI333">
        <v>0.625</v>
      </c>
      <c r="BJ333" t="s">
        <v>238</v>
      </c>
      <c r="BK333">
        <v>0.5</v>
      </c>
      <c r="BL333">
        <v>0.28210000000000002</v>
      </c>
      <c r="BM333">
        <v>1.77</v>
      </c>
      <c r="BN333">
        <v>1.53</v>
      </c>
    </row>
    <row r="334" spans="1:66" x14ac:dyDescent="0.25">
      <c r="A334">
        <v>2</v>
      </c>
      <c r="B334">
        <v>0</v>
      </c>
      <c r="C334">
        <v>0</v>
      </c>
      <c r="D334">
        <v>3.35</v>
      </c>
      <c r="E334">
        <v>3.4833333333333329</v>
      </c>
      <c r="F334">
        <v>1.9533333333333334</v>
      </c>
      <c r="G334" s="40">
        <v>0.33</v>
      </c>
      <c r="H334" s="40">
        <v>0.31</v>
      </c>
      <c r="I334" s="40">
        <f t="shared" si="3"/>
        <v>0.35999999999999993</v>
      </c>
      <c r="J334">
        <v>3.25</v>
      </c>
      <c r="K334">
        <v>3.35</v>
      </c>
      <c r="L334">
        <v>1.95</v>
      </c>
      <c r="M334">
        <v>3.35</v>
      </c>
      <c r="N334">
        <v>3.5</v>
      </c>
      <c r="O334">
        <v>1.95</v>
      </c>
      <c r="P334">
        <v>3.45</v>
      </c>
      <c r="Q334">
        <v>3.6</v>
      </c>
      <c r="R334">
        <v>1.96</v>
      </c>
      <c r="S334">
        <v>0.28208386277001268</v>
      </c>
      <c r="T334">
        <v>0.2477763659466328</v>
      </c>
      <c r="U334">
        <v>0.47013977128335449</v>
      </c>
      <c r="V334">
        <v>0.27210206319146812</v>
      </c>
      <c r="W334">
        <v>0.26044054619754808</v>
      </c>
      <c r="X334">
        <v>0.46745739061098379</v>
      </c>
      <c r="Y334">
        <v>0.26892293619940544</v>
      </c>
      <c r="Z334">
        <v>0.25771781385776354</v>
      </c>
      <c r="AA334">
        <v>0.47335924994283102</v>
      </c>
      <c r="AB334">
        <v>0.27436962072029542</v>
      </c>
      <c r="AC334">
        <v>0.25531157533398147</v>
      </c>
      <c r="AD334">
        <v>0.47031880394572312</v>
      </c>
      <c r="AE334" t="s">
        <v>251</v>
      </c>
      <c r="AF334" t="s">
        <v>246</v>
      </c>
      <c r="AG334">
        <v>5.98</v>
      </c>
      <c r="AH334">
        <v>34</v>
      </c>
      <c r="AI334">
        <v>5</v>
      </c>
      <c r="AJ334">
        <v>0</v>
      </c>
      <c r="AK334">
        <v>25.8</v>
      </c>
      <c r="AL334">
        <v>579</v>
      </c>
      <c r="AM334">
        <v>1095</v>
      </c>
      <c r="AN334">
        <v>60</v>
      </c>
      <c r="AO334">
        <v>65</v>
      </c>
      <c r="AP334">
        <v>65</v>
      </c>
      <c r="AQ334">
        <v>2</v>
      </c>
      <c r="AR334" t="s">
        <v>29</v>
      </c>
      <c r="AS334" t="s">
        <v>245</v>
      </c>
      <c r="AT334" t="s">
        <v>246</v>
      </c>
      <c r="AU334">
        <v>14.18</v>
      </c>
      <c r="AV334">
        <v>33</v>
      </c>
      <c r="AW334">
        <v>4</v>
      </c>
      <c r="AX334">
        <v>2</v>
      </c>
      <c r="AY334">
        <v>26.6</v>
      </c>
      <c r="AZ334">
        <v>203</v>
      </c>
      <c r="BA334">
        <v>3267</v>
      </c>
      <c r="BB334">
        <v>72</v>
      </c>
      <c r="BC334">
        <v>69</v>
      </c>
      <c r="BD334">
        <v>69</v>
      </c>
      <c r="BE334">
        <v>3.5</v>
      </c>
      <c r="BF334" t="s">
        <v>29</v>
      </c>
      <c r="BG334">
        <v>-22</v>
      </c>
      <c r="BH334">
        <v>-33</v>
      </c>
      <c r="BI334">
        <v>0.12</v>
      </c>
      <c r="BJ334" t="s">
        <v>246</v>
      </c>
      <c r="BK334">
        <v>0.30230000000000001</v>
      </c>
      <c r="BL334">
        <v>0.4667</v>
      </c>
      <c r="BM334">
        <v>1.37</v>
      </c>
      <c r="BN334">
        <v>1.42</v>
      </c>
    </row>
    <row r="335" spans="1:66" x14ac:dyDescent="0.25">
      <c r="A335">
        <v>2</v>
      </c>
      <c r="B335">
        <v>0</v>
      </c>
      <c r="C335">
        <v>0</v>
      </c>
      <c r="D335">
        <v>2.7899999999999996</v>
      </c>
      <c r="E335">
        <v>3.3166666666666664</v>
      </c>
      <c r="F335">
        <v>2.56</v>
      </c>
      <c r="G335" s="40">
        <v>0.45</v>
      </c>
      <c r="H335" s="40">
        <v>0.26</v>
      </c>
      <c r="I335" s="40">
        <f t="shared" si="3"/>
        <v>0.29000000000000004</v>
      </c>
      <c r="J335">
        <v>2.8</v>
      </c>
      <c r="K335">
        <v>3.35</v>
      </c>
      <c r="L335">
        <v>2.5499999999999998</v>
      </c>
      <c r="M335">
        <v>2.75</v>
      </c>
      <c r="N335">
        <v>3.3</v>
      </c>
      <c r="O335">
        <v>2.5499999999999998</v>
      </c>
      <c r="P335">
        <v>2.82</v>
      </c>
      <c r="Q335">
        <v>3.3</v>
      </c>
      <c r="R335">
        <v>2.58</v>
      </c>
      <c r="S335">
        <v>0.3515301902398677</v>
      </c>
      <c r="T335">
        <v>0.26247587537910116</v>
      </c>
      <c r="U335">
        <v>0.38599393438103119</v>
      </c>
      <c r="V335">
        <v>0.34343434343434343</v>
      </c>
      <c r="W335">
        <v>0.28619528619528617</v>
      </c>
      <c r="X335">
        <v>0.37037037037037041</v>
      </c>
      <c r="Y335">
        <v>0.3392626595897289</v>
      </c>
      <c r="Z335">
        <v>0.28991536364940468</v>
      </c>
      <c r="AA335">
        <v>0.37082197676086642</v>
      </c>
      <c r="AB335">
        <v>0.34474239775464666</v>
      </c>
      <c r="AC335">
        <v>0.27952884174126402</v>
      </c>
      <c r="AD335">
        <v>0.37572876050408932</v>
      </c>
      <c r="AE335" t="s">
        <v>150</v>
      </c>
      <c r="AF335" t="s">
        <v>141</v>
      </c>
      <c r="AG335">
        <v>60.93</v>
      </c>
      <c r="AH335">
        <v>23</v>
      </c>
      <c r="AI335">
        <v>8</v>
      </c>
      <c r="AJ335">
        <v>4</v>
      </c>
      <c r="AK335">
        <v>28.2</v>
      </c>
      <c r="AL335">
        <v>103</v>
      </c>
      <c r="AM335">
        <v>4803</v>
      </c>
      <c r="AN335">
        <v>76</v>
      </c>
      <c r="AO335">
        <v>75</v>
      </c>
      <c r="AP335">
        <v>75</v>
      </c>
      <c r="AQ335">
        <v>4</v>
      </c>
      <c r="AR335" t="s">
        <v>46</v>
      </c>
      <c r="AS335" t="s">
        <v>145</v>
      </c>
      <c r="AT335" t="s">
        <v>141</v>
      </c>
      <c r="AU335">
        <v>155.69999999999999</v>
      </c>
      <c r="AV335">
        <v>26</v>
      </c>
      <c r="AW335">
        <v>14</v>
      </c>
      <c r="AX335">
        <v>8</v>
      </c>
      <c r="AY335">
        <v>27.3</v>
      </c>
      <c r="AZ335">
        <v>27</v>
      </c>
      <c r="BA335">
        <v>7881</v>
      </c>
      <c r="BB335">
        <v>80</v>
      </c>
      <c r="BC335">
        <v>77</v>
      </c>
      <c r="BD335">
        <v>78</v>
      </c>
      <c r="BE335">
        <v>4</v>
      </c>
      <c r="BF335" t="s">
        <v>46</v>
      </c>
      <c r="BG335">
        <v>4</v>
      </c>
      <c r="BH335">
        <v>31</v>
      </c>
      <c r="BI335">
        <v>0.52900000000000003</v>
      </c>
      <c r="BJ335" t="s">
        <v>270</v>
      </c>
      <c r="BK335">
        <v>0.4889</v>
      </c>
      <c r="BL335">
        <v>0.40820000000000001</v>
      </c>
      <c r="BM335">
        <v>1.47</v>
      </c>
      <c r="BN335">
        <v>1.1399999999999999</v>
      </c>
    </row>
    <row r="336" spans="1:66" x14ac:dyDescent="0.25">
      <c r="A336">
        <v>1</v>
      </c>
      <c r="B336">
        <v>1</v>
      </c>
      <c r="C336">
        <v>1</v>
      </c>
      <c r="D336">
        <v>1.5599999999999998</v>
      </c>
      <c r="E336">
        <v>4.2333333333333334</v>
      </c>
      <c r="F336">
        <v>5.8166666666666664</v>
      </c>
      <c r="G336" s="40">
        <v>0.53</v>
      </c>
      <c r="H336" s="40">
        <v>0.26</v>
      </c>
      <c r="I336" s="40">
        <f t="shared" si="3"/>
        <v>0.20999999999999996</v>
      </c>
      <c r="J336">
        <v>1.54</v>
      </c>
      <c r="K336">
        <v>4.3</v>
      </c>
      <c r="L336">
        <v>6.25</v>
      </c>
      <c r="M336">
        <v>1.59</v>
      </c>
      <c r="N336">
        <v>4</v>
      </c>
      <c r="O336">
        <v>5.5</v>
      </c>
      <c r="P336">
        <v>1.55</v>
      </c>
      <c r="Q336">
        <v>4.4000000000000004</v>
      </c>
      <c r="R336">
        <v>5.7</v>
      </c>
      <c r="S336">
        <v>0.66201011251673758</v>
      </c>
      <c r="T336">
        <v>0.17487059575913821</v>
      </c>
      <c r="U336">
        <v>0.16311929172412415</v>
      </c>
      <c r="V336">
        <v>0.59291200646813103</v>
      </c>
      <c r="W336">
        <v>0.2356825225710821</v>
      </c>
      <c r="X336">
        <v>0.17140547096078698</v>
      </c>
      <c r="Y336">
        <v>0.61568675586105315</v>
      </c>
      <c r="Z336">
        <v>0.21688965263287099</v>
      </c>
      <c r="AA336">
        <v>0.16742359150607586</v>
      </c>
      <c r="AB336">
        <v>0.62353629161530721</v>
      </c>
      <c r="AC336">
        <v>0.20914759032103045</v>
      </c>
      <c r="AD336">
        <v>0.16731611806366234</v>
      </c>
      <c r="AE336" t="s">
        <v>146</v>
      </c>
      <c r="AF336" t="s">
        <v>141</v>
      </c>
      <c r="AG336">
        <v>318</v>
      </c>
      <c r="AH336">
        <v>29</v>
      </c>
      <c r="AI336">
        <v>13</v>
      </c>
      <c r="AJ336">
        <v>7</v>
      </c>
      <c r="AK336">
        <v>27.2</v>
      </c>
      <c r="AL336">
        <v>31</v>
      </c>
      <c r="AM336">
        <v>7447</v>
      </c>
      <c r="AN336">
        <v>79</v>
      </c>
      <c r="AO336">
        <v>81</v>
      </c>
      <c r="AP336">
        <v>80</v>
      </c>
      <c r="AQ336">
        <v>4.5</v>
      </c>
      <c r="AR336" t="s">
        <v>29</v>
      </c>
      <c r="AS336" t="s">
        <v>156</v>
      </c>
      <c r="AT336" t="s">
        <v>141</v>
      </c>
      <c r="AU336">
        <v>84.05</v>
      </c>
      <c r="AV336">
        <v>33</v>
      </c>
      <c r="AW336">
        <v>9</v>
      </c>
      <c r="AX336">
        <v>5</v>
      </c>
      <c r="AY336">
        <v>26.2</v>
      </c>
      <c r="AZ336">
        <v>177</v>
      </c>
      <c r="BA336">
        <v>3663</v>
      </c>
      <c r="BB336">
        <v>76</v>
      </c>
      <c r="BC336">
        <v>75</v>
      </c>
      <c r="BD336">
        <v>76</v>
      </c>
      <c r="BE336">
        <v>4</v>
      </c>
      <c r="BF336" t="s">
        <v>43</v>
      </c>
      <c r="BG336">
        <v>10</v>
      </c>
      <c r="BH336">
        <v>42</v>
      </c>
      <c r="BI336">
        <v>0.48</v>
      </c>
      <c r="BJ336" t="s">
        <v>270</v>
      </c>
      <c r="BK336">
        <v>0.57410000000000005</v>
      </c>
      <c r="BL336">
        <v>0.25640000000000002</v>
      </c>
      <c r="BM336">
        <v>1.61</v>
      </c>
      <c r="BN336">
        <v>0.9</v>
      </c>
    </row>
    <row r="337" spans="1:66" x14ac:dyDescent="0.25">
      <c r="A337">
        <v>3</v>
      </c>
      <c r="B337">
        <v>-2</v>
      </c>
      <c r="C337">
        <v>6</v>
      </c>
      <c r="D337">
        <v>1.9799999999999998</v>
      </c>
      <c r="E337">
        <v>4.1000000000000005</v>
      </c>
      <c r="F337">
        <v>3.3166666666666664</v>
      </c>
      <c r="G337" s="40">
        <v>0.34</v>
      </c>
      <c r="H337" s="40">
        <v>0.28999999999999998</v>
      </c>
      <c r="I337" s="40">
        <f t="shared" si="3"/>
        <v>0.36999999999999994</v>
      </c>
      <c r="J337">
        <v>1.94</v>
      </c>
      <c r="K337">
        <v>4.2</v>
      </c>
      <c r="L337">
        <v>3.25</v>
      </c>
      <c r="M337">
        <v>2</v>
      </c>
      <c r="N337">
        <v>4.05</v>
      </c>
      <c r="O337">
        <v>3.35</v>
      </c>
      <c r="P337">
        <v>2</v>
      </c>
      <c r="Q337">
        <v>4.05</v>
      </c>
      <c r="R337">
        <v>3.35</v>
      </c>
      <c r="S337">
        <v>0.50035540453961569</v>
      </c>
      <c r="T337">
        <v>0.2009709078275061</v>
      </c>
      <c r="U337">
        <v>0.29867368763287827</v>
      </c>
      <c r="V337">
        <v>0.47827619635145852</v>
      </c>
      <c r="W337">
        <v>0.23618577597602888</v>
      </c>
      <c r="X337">
        <v>0.28553802767251252</v>
      </c>
      <c r="Y337">
        <v>0.47827619635145852</v>
      </c>
      <c r="Z337">
        <v>0.23618577597602888</v>
      </c>
      <c r="AA337">
        <v>0.28553802767251252</v>
      </c>
      <c r="AB337">
        <v>0.48563593241417752</v>
      </c>
      <c r="AC337">
        <v>0.22444748659318794</v>
      </c>
      <c r="AD337">
        <v>0.28991658099263445</v>
      </c>
      <c r="AE337" t="s">
        <v>260</v>
      </c>
      <c r="AF337" t="s">
        <v>253</v>
      </c>
      <c r="AG337">
        <v>454.8</v>
      </c>
      <c r="AH337">
        <v>29</v>
      </c>
      <c r="AI337">
        <v>19</v>
      </c>
      <c r="AJ337">
        <v>12</v>
      </c>
      <c r="AK337">
        <v>27.4</v>
      </c>
      <c r="AL337">
        <v>85</v>
      </c>
      <c r="AM337">
        <v>5188</v>
      </c>
      <c r="AN337">
        <v>80</v>
      </c>
      <c r="AO337">
        <v>79</v>
      </c>
      <c r="AP337">
        <v>79</v>
      </c>
      <c r="AQ337">
        <v>4.5</v>
      </c>
      <c r="AR337" t="s">
        <v>29</v>
      </c>
      <c r="AS337" t="s">
        <v>259</v>
      </c>
      <c r="AT337" t="s">
        <v>253</v>
      </c>
      <c r="AU337">
        <v>705.55</v>
      </c>
      <c r="AV337">
        <v>27</v>
      </c>
      <c r="AW337">
        <v>17</v>
      </c>
      <c r="AX337">
        <v>17</v>
      </c>
      <c r="AY337">
        <v>26</v>
      </c>
      <c r="AZ337">
        <v>42</v>
      </c>
      <c r="BA337">
        <v>6821</v>
      </c>
      <c r="BB337">
        <v>85</v>
      </c>
      <c r="BC337">
        <v>85</v>
      </c>
      <c r="BD337">
        <v>82</v>
      </c>
      <c r="BE337">
        <v>4.5</v>
      </c>
      <c r="BF337" t="s">
        <v>29</v>
      </c>
      <c r="BG337">
        <v>-26</v>
      </c>
      <c r="BH337">
        <v>80</v>
      </c>
      <c r="BI337">
        <v>0.33300000000000002</v>
      </c>
      <c r="BJ337" t="s">
        <v>267</v>
      </c>
      <c r="BK337">
        <v>0.57999999999999996</v>
      </c>
      <c r="BL337">
        <v>0.53569999999999995</v>
      </c>
      <c r="BM337">
        <v>1.82</v>
      </c>
      <c r="BN337">
        <v>2.09</v>
      </c>
    </row>
    <row r="338" spans="1:66" x14ac:dyDescent="0.25">
      <c r="A338">
        <v>1</v>
      </c>
      <c r="B338">
        <v>2</v>
      </c>
      <c r="C338">
        <v>2</v>
      </c>
      <c r="D338">
        <v>1.1566666666666665</v>
      </c>
      <c r="E338">
        <v>8.2000000000000011</v>
      </c>
      <c r="F338">
        <v>16.666666666666668</v>
      </c>
      <c r="G338" s="40">
        <v>0.56000000000000005</v>
      </c>
      <c r="H338" s="40">
        <v>0.22</v>
      </c>
      <c r="I338" s="40">
        <f t="shared" si="3"/>
        <v>0.21999999999999995</v>
      </c>
      <c r="J338">
        <v>1.1399999999999999</v>
      </c>
      <c r="K338">
        <v>9</v>
      </c>
      <c r="L338">
        <v>19</v>
      </c>
      <c r="M338">
        <v>1.18</v>
      </c>
      <c r="N338">
        <v>7</v>
      </c>
      <c r="O338">
        <v>15</v>
      </c>
      <c r="P338">
        <v>1.1499999999999999</v>
      </c>
      <c r="Q338">
        <v>8.6</v>
      </c>
      <c r="R338">
        <v>16</v>
      </c>
      <c r="S338">
        <v>0.8847110865358031</v>
      </c>
      <c r="T338">
        <v>6.220624827204866E-2</v>
      </c>
      <c r="U338">
        <v>5.308266519214818E-2</v>
      </c>
      <c r="V338">
        <v>0.80177153329260853</v>
      </c>
      <c r="W338">
        <v>0.1351557727550397</v>
      </c>
      <c r="X338">
        <v>6.3072693952351863E-2</v>
      </c>
      <c r="Y338">
        <v>0.82946530833684973</v>
      </c>
      <c r="Z338">
        <v>0.11091687262643919</v>
      </c>
      <c r="AA338">
        <v>5.9617819036711067E-2</v>
      </c>
      <c r="AB338">
        <v>0.83864930938842042</v>
      </c>
      <c r="AC338">
        <v>0.10275963121784253</v>
      </c>
      <c r="AD338">
        <v>5.8591059393737037E-2</v>
      </c>
      <c r="AE338" t="s">
        <v>252</v>
      </c>
      <c r="AF338" t="s">
        <v>253</v>
      </c>
      <c r="AG338">
        <v>1020</v>
      </c>
      <c r="AH338">
        <v>31</v>
      </c>
      <c r="AI338">
        <v>23</v>
      </c>
      <c r="AJ338">
        <v>20</v>
      </c>
      <c r="AK338">
        <v>25.8</v>
      </c>
      <c r="AL338">
        <v>1</v>
      </c>
      <c r="AM338">
        <v>14695</v>
      </c>
      <c r="AN338">
        <v>87</v>
      </c>
      <c r="AO338">
        <v>83</v>
      </c>
      <c r="AP338">
        <v>85</v>
      </c>
      <c r="AQ338">
        <v>5</v>
      </c>
      <c r="AR338" t="s">
        <v>29</v>
      </c>
      <c r="AS338" t="s">
        <v>261</v>
      </c>
      <c r="AT338" t="s">
        <v>253</v>
      </c>
      <c r="AU338">
        <v>179.43</v>
      </c>
      <c r="AV338">
        <v>24</v>
      </c>
      <c r="AW338">
        <v>15</v>
      </c>
      <c r="AX338">
        <v>8</v>
      </c>
      <c r="AY338">
        <v>29</v>
      </c>
      <c r="AZ338">
        <v>135</v>
      </c>
      <c r="BA338">
        <v>4146</v>
      </c>
      <c r="BB338">
        <v>73</v>
      </c>
      <c r="BC338">
        <v>77</v>
      </c>
      <c r="BD338">
        <v>76</v>
      </c>
      <c r="BE338">
        <v>4</v>
      </c>
      <c r="BF338" t="s">
        <v>29</v>
      </c>
      <c r="BG338">
        <v>58</v>
      </c>
      <c r="BH338">
        <v>96</v>
      </c>
      <c r="BI338">
        <v>0.55800000000000005</v>
      </c>
      <c r="BJ338" t="s">
        <v>267</v>
      </c>
      <c r="BK338">
        <v>0.70909999999999995</v>
      </c>
      <c r="BL338">
        <v>0.29730000000000001</v>
      </c>
      <c r="BM338">
        <v>2.0699999999999998</v>
      </c>
      <c r="BN338">
        <v>1</v>
      </c>
    </row>
    <row r="339" spans="1:66" x14ac:dyDescent="0.25">
      <c r="A339">
        <v>1</v>
      </c>
      <c r="B339">
        <v>3</v>
      </c>
      <c r="C339">
        <v>5</v>
      </c>
      <c r="D339">
        <v>1.4366666666666665</v>
      </c>
      <c r="E339">
        <v>4.8166666666666664</v>
      </c>
      <c r="F339">
        <v>6.8666666666666671</v>
      </c>
      <c r="G339" s="40">
        <v>0.42</v>
      </c>
      <c r="H339" s="40">
        <v>0.25</v>
      </c>
      <c r="I339" s="40">
        <f t="shared" si="3"/>
        <v>0.33000000000000007</v>
      </c>
      <c r="J339">
        <v>1.42</v>
      </c>
      <c r="K339">
        <v>5.0999999999999996</v>
      </c>
      <c r="L339">
        <v>7</v>
      </c>
      <c r="M339">
        <v>1.45</v>
      </c>
      <c r="N339">
        <v>4.3499999999999996</v>
      </c>
      <c r="O339">
        <v>7</v>
      </c>
      <c r="P339">
        <v>1.44</v>
      </c>
      <c r="Q339">
        <v>5</v>
      </c>
      <c r="R339">
        <v>6.6</v>
      </c>
      <c r="S339">
        <v>0.71292630356023667</v>
      </c>
      <c r="T339">
        <v>0.14245150343182966</v>
      </c>
      <c r="U339">
        <v>0.14462219300793372</v>
      </c>
      <c r="V339">
        <v>0.6491499227202473</v>
      </c>
      <c r="W339">
        <v>0.21638330757341578</v>
      </c>
      <c r="X339">
        <v>0.13446676970633695</v>
      </c>
      <c r="Y339">
        <v>0.66393046837276681</v>
      </c>
      <c r="Z339">
        <v>0.19121197489135683</v>
      </c>
      <c r="AA339">
        <v>0.14485755673587641</v>
      </c>
      <c r="AB339">
        <v>0.67533556488441704</v>
      </c>
      <c r="AC339">
        <v>0.18334892863220076</v>
      </c>
      <c r="AD339">
        <v>0.14131550648338237</v>
      </c>
      <c r="AE339" t="s">
        <v>254</v>
      </c>
      <c r="AF339" t="s">
        <v>253</v>
      </c>
      <c r="AG339">
        <v>1070</v>
      </c>
      <c r="AH339">
        <v>35</v>
      </c>
      <c r="AI339">
        <v>27</v>
      </c>
      <c r="AJ339">
        <v>22</v>
      </c>
      <c r="AK339">
        <v>25.2</v>
      </c>
      <c r="AL339">
        <v>8</v>
      </c>
      <c r="AM339">
        <v>10390</v>
      </c>
      <c r="AN339">
        <v>87</v>
      </c>
      <c r="AO339">
        <v>86</v>
      </c>
      <c r="AP339">
        <v>83</v>
      </c>
      <c r="AQ339">
        <v>5</v>
      </c>
      <c r="AR339" t="s">
        <v>28</v>
      </c>
      <c r="AS339" t="s">
        <v>262</v>
      </c>
      <c r="AT339" t="s">
        <v>253</v>
      </c>
      <c r="AU339">
        <v>411.05</v>
      </c>
      <c r="AV339">
        <v>29</v>
      </c>
      <c r="AW339">
        <v>18</v>
      </c>
      <c r="AX339">
        <v>12</v>
      </c>
      <c r="AY339">
        <v>25.7</v>
      </c>
      <c r="AZ339">
        <v>149</v>
      </c>
      <c r="BA339">
        <v>3982</v>
      </c>
      <c r="BB339">
        <v>80</v>
      </c>
      <c r="BC339">
        <v>78</v>
      </c>
      <c r="BD339">
        <v>79</v>
      </c>
      <c r="BE339">
        <v>4</v>
      </c>
      <c r="BF339" t="s">
        <v>29</v>
      </c>
      <c r="BG339">
        <v>14</v>
      </c>
      <c r="BH339">
        <v>150</v>
      </c>
      <c r="BI339">
        <v>0.40200000000000002</v>
      </c>
      <c r="BJ339" t="s">
        <v>267</v>
      </c>
      <c r="BK339">
        <v>0.78949999999999998</v>
      </c>
      <c r="BL339">
        <v>0.52380000000000004</v>
      </c>
      <c r="BM339">
        <v>2.11</v>
      </c>
      <c r="BN339">
        <v>1.62</v>
      </c>
    </row>
    <row r="340" spans="1:66" x14ac:dyDescent="0.25">
      <c r="A340">
        <v>1</v>
      </c>
      <c r="B340">
        <v>1</v>
      </c>
      <c r="C340">
        <v>1</v>
      </c>
      <c r="D340">
        <v>2.9316666666666666</v>
      </c>
      <c r="E340">
        <v>3.65</v>
      </c>
      <c r="F340">
        <v>2.313333333333333</v>
      </c>
      <c r="G340" s="40">
        <v>0.33</v>
      </c>
      <c r="H340" s="40">
        <v>0.27</v>
      </c>
      <c r="I340" s="40">
        <f t="shared" si="3"/>
        <v>0.39999999999999991</v>
      </c>
      <c r="J340">
        <v>3</v>
      </c>
      <c r="K340">
        <v>3.65</v>
      </c>
      <c r="L340">
        <v>2.3199999999999998</v>
      </c>
      <c r="M340">
        <v>2.875</v>
      </c>
      <c r="N340">
        <v>3.6</v>
      </c>
      <c r="O340">
        <v>2.2999999999999998</v>
      </c>
      <c r="P340">
        <v>2.92</v>
      </c>
      <c r="Q340">
        <v>3.7</v>
      </c>
      <c r="R340">
        <v>2.3199999999999998</v>
      </c>
      <c r="S340">
        <v>0.33137368551792662</v>
      </c>
      <c r="T340">
        <v>0.24012585907096129</v>
      </c>
      <c r="U340">
        <v>0.42850045541111204</v>
      </c>
      <c r="V340">
        <v>0.32801822323462415</v>
      </c>
      <c r="W340">
        <v>0.26195899772209569</v>
      </c>
      <c r="X340">
        <v>0.41002277904328022</v>
      </c>
      <c r="Y340">
        <v>0.32810445524875398</v>
      </c>
      <c r="Z340">
        <v>0.25893648900712474</v>
      </c>
      <c r="AA340">
        <v>0.41295905574412134</v>
      </c>
      <c r="AB340">
        <v>0.32916545466710162</v>
      </c>
      <c r="AC340">
        <v>0.2536737819333939</v>
      </c>
      <c r="AD340">
        <v>0.41716076339950453</v>
      </c>
      <c r="AE340" t="s">
        <v>264</v>
      </c>
      <c r="AF340" t="s">
        <v>253</v>
      </c>
      <c r="AG340">
        <v>140.75</v>
      </c>
      <c r="AH340">
        <v>24</v>
      </c>
      <c r="AI340">
        <v>10</v>
      </c>
      <c r="AJ340">
        <v>7</v>
      </c>
      <c r="AK340">
        <v>28</v>
      </c>
      <c r="AL340">
        <v>157</v>
      </c>
      <c r="AM340">
        <v>3883</v>
      </c>
      <c r="AN340">
        <v>73</v>
      </c>
      <c r="AO340">
        <v>77</v>
      </c>
      <c r="AP340">
        <v>75</v>
      </c>
      <c r="AQ340">
        <v>4</v>
      </c>
      <c r="AR340" t="s">
        <v>46</v>
      </c>
      <c r="AS340" t="s">
        <v>265</v>
      </c>
      <c r="AT340" t="s">
        <v>253</v>
      </c>
      <c r="AU340">
        <v>154.28</v>
      </c>
      <c r="AV340">
        <v>25</v>
      </c>
      <c r="AW340">
        <v>10</v>
      </c>
      <c r="AX340">
        <v>6</v>
      </c>
      <c r="AY340">
        <v>27.6</v>
      </c>
      <c r="AZ340">
        <v>163</v>
      </c>
      <c r="BA340">
        <v>3781</v>
      </c>
      <c r="BB340">
        <v>77</v>
      </c>
      <c r="BC340">
        <v>76</v>
      </c>
      <c r="BD340">
        <v>76</v>
      </c>
      <c r="BE340">
        <v>4</v>
      </c>
      <c r="BF340" t="s">
        <v>46</v>
      </c>
      <c r="BG340">
        <v>5</v>
      </c>
      <c r="BH340">
        <v>61</v>
      </c>
      <c r="BI340">
        <v>0.45</v>
      </c>
      <c r="BJ340" t="s">
        <v>267</v>
      </c>
      <c r="BK340">
        <v>0.2</v>
      </c>
      <c r="BL340">
        <v>0.29270000000000002</v>
      </c>
      <c r="BM340">
        <v>0.63</v>
      </c>
      <c r="BN340">
        <v>0.98</v>
      </c>
    </row>
    <row r="341" spans="1:66" x14ac:dyDescent="0.25">
      <c r="A341">
        <v>3</v>
      </c>
      <c r="B341">
        <v>-1</v>
      </c>
      <c r="C341">
        <v>3</v>
      </c>
      <c r="D341">
        <v>2.64</v>
      </c>
      <c r="E341">
        <v>3.6833333333333336</v>
      </c>
      <c r="F341">
        <v>2.7033333333333331</v>
      </c>
      <c r="G341" s="40">
        <v>0.2</v>
      </c>
      <c r="H341" s="40">
        <v>0.3</v>
      </c>
      <c r="I341" s="40">
        <f t="shared" si="3"/>
        <v>0.5</v>
      </c>
      <c r="J341">
        <v>2.23</v>
      </c>
      <c r="K341">
        <v>3.75</v>
      </c>
      <c r="L341">
        <v>3.1</v>
      </c>
      <c r="M341">
        <v>2.2400000000000002</v>
      </c>
      <c r="N341">
        <v>3.7</v>
      </c>
      <c r="O341">
        <v>3.05</v>
      </c>
      <c r="P341">
        <v>3.45</v>
      </c>
      <c r="Q341">
        <v>3.6</v>
      </c>
      <c r="R341">
        <v>1.96</v>
      </c>
      <c r="S341">
        <v>0.44627138479560247</v>
      </c>
      <c r="T341">
        <v>0.23270113517401247</v>
      </c>
      <c r="U341">
        <v>0.321027480030385</v>
      </c>
      <c r="V341">
        <v>0.42738117780723339</v>
      </c>
      <c r="W341">
        <v>0.2587388752130278</v>
      </c>
      <c r="X341">
        <v>0.3138799469797387</v>
      </c>
      <c r="Y341">
        <v>0.26892293619940544</v>
      </c>
      <c r="Z341">
        <v>0.25771781385776354</v>
      </c>
      <c r="AA341">
        <v>0.47335924994283102</v>
      </c>
      <c r="AB341">
        <v>0.38085849960074708</v>
      </c>
      <c r="AC341">
        <v>0.24971927474826794</v>
      </c>
      <c r="AD341">
        <v>0.36942222565098493</v>
      </c>
      <c r="AE341" t="s">
        <v>257</v>
      </c>
      <c r="AF341" t="s">
        <v>253</v>
      </c>
      <c r="AG341">
        <v>334.8</v>
      </c>
      <c r="AH341">
        <v>25</v>
      </c>
      <c r="AI341">
        <v>20</v>
      </c>
      <c r="AJ341">
        <v>12</v>
      </c>
      <c r="AK341">
        <v>26.1</v>
      </c>
      <c r="AL341">
        <v>35</v>
      </c>
      <c r="AM341">
        <v>7311</v>
      </c>
      <c r="AN341">
        <v>79</v>
      </c>
      <c r="AO341">
        <v>79</v>
      </c>
      <c r="AP341">
        <v>78</v>
      </c>
      <c r="AQ341">
        <v>4</v>
      </c>
      <c r="AR341" t="s">
        <v>29</v>
      </c>
      <c r="AS341" t="s">
        <v>258</v>
      </c>
      <c r="AT341" t="s">
        <v>253</v>
      </c>
      <c r="AU341">
        <v>761.38</v>
      </c>
      <c r="AV341">
        <v>33</v>
      </c>
      <c r="AW341">
        <v>18</v>
      </c>
      <c r="AX341">
        <v>11</v>
      </c>
      <c r="AY341">
        <v>25.8</v>
      </c>
      <c r="AZ341">
        <v>39</v>
      </c>
      <c r="BA341">
        <v>7151</v>
      </c>
      <c r="BB341">
        <v>83</v>
      </c>
      <c r="BC341">
        <v>81</v>
      </c>
      <c r="BD341">
        <v>81</v>
      </c>
      <c r="BE341">
        <v>4.5</v>
      </c>
      <c r="BF341" t="s">
        <v>29</v>
      </c>
      <c r="BG341">
        <v>-37</v>
      </c>
      <c r="BH341">
        <v>54</v>
      </c>
      <c r="BI341">
        <v>0.25900000000000001</v>
      </c>
      <c r="BJ341" t="s">
        <v>267</v>
      </c>
      <c r="BK341">
        <v>0.35899999999999999</v>
      </c>
      <c r="BL341">
        <v>0.59650000000000003</v>
      </c>
      <c r="BM341">
        <v>0.9</v>
      </c>
      <c r="BN341">
        <v>2.02</v>
      </c>
    </row>
    <row r="342" spans="1:66" x14ac:dyDescent="0.25">
      <c r="A342">
        <v>2</v>
      </c>
      <c r="B342">
        <v>0</v>
      </c>
      <c r="C342">
        <v>2</v>
      </c>
      <c r="D342">
        <v>2.1133333333333333</v>
      </c>
      <c r="E342">
        <v>3.1333333333333329</v>
      </c>
      <c r="F342">
        <v>3.25</v>
      </c>
      <c r="G342" s="40">
        <v>0.32</v>
      </c>
      <c r="H342" s="40">
        <v>0.42</v>
      </c>
      <c r="I342" s="40">
        <f t="shared" si="3"/>
        <v>0.25999999999999995</v>
      </c>
      <c r="J342">
        <v>2.14</v>
      </c>
      <c r="K342">
        <v>2.9</v>
      </c>
      <c r="L342">
        <v>3.2</v>
      </c>
      <c r="M342">
        <v>2.1</v>
      </c>
      <c r="N342">
        <v>3.2</v>
      </c>
      <c r="O342">
        <v>3.25</v>
      </c>
      <c r="P342">
        <v>2.1</v>
      </c>
      <c r="Q342">
        <v>3.3</v>
      </c>
      <c r="R342">
        <v>3.3</v>
      </c>
      <c r="S342">
        <v>0.4257430207910522</v>
      </c>
      <c r="T342">
        <v>0.28954133405493171</v>
      </c>
      <c r="U342">
        <v>0.28471564515401609</v>
      </c>
      <c r="V342">
        <v>0.43432866986844854</v>
      </c>
      <c r="W342">
        <v>0.28502818960116938</v>
      </c>
      <c r="X342">
        <v>0.2806431405303822</v>
      </c>
      <c r="Y342">
        <v>0.43999999999999995</v>
      </c>
      <c r="Z342">
        <v>0.27999999999999997</v>
      </c>
      <c r="AA342">
        <v>0.27999999999999997</v>
      </c>
      <c r="AB342">
        <v>0.43335723021983358</v>
      </c>
      <c r="AC342">
        <v>0.28485650788536704</v>
      </c>
      <c r="AD342">
        <v>0.28178626189479944</v>
      </c>
      <c r="AE342" t="s">
        <v>139</v>
      </c>
      <c r="AF342" t="s">
        <v>134</v>
      </c>
      <c r="AG342">
        <v>12.53</v>
      </c>
      <c r="AH342">
        <v>26</v>
      </c>
      <c r="AI342">
        <v>5</v>
      </c>
      <c r="AJ342">
        <v>0</v>
      </c>
      <c r="AK342">
        <v>27.3</v>
      </c>
      <c r="AL342">
        <v>931</v>
      </c>
      <c r="AM342">
        <v>139</v>
      </c>
      <c r="AN342">
        <v>68</v>
      </c>
      <c r="AO342">
        <v>66</v>
      </c>
      <c r="AP342">
        <v>63</v>
      </c>
      <c r="AQ342">
        <v>2</v>
      </c>
      <c r="AR342" t="s">
        <v>29</v>
      </c>
      <c r="AS342" t="s">
        <v>135</v>
      </c>
      <c r="AT342" t="s">
        <v>134</v>
      </c>
      <c r="AU342">
        <v>17.579999999999998</v>
      </c>
      <c r="AV342">
        <v>27</v>
      </c>
      <c r="AW342">
        <v>8</v>
      </c>
      <c r="AX342">
        <v>4</v>
      </c>
      <c r="AY342">
        <v>27.3</v>
      </c>
      <c r="AZ342">
        <v>314</v>
      </c>
      <c r="BA342">
        <v>2387</v>
      </c>
      <c r="BB342">
        <v>67</v>
      </c>
      <c r="BC342">
        <v>69</v>
      </c>
      <c r="BD342">
        <v>66</v>
      </c>
      <c r="BE342">
        <v>2.5</v>
      </c>
      <c r="BF342" t="s">
        <v>28</v>
      </c>
      <c r="BG342">
        <v>4</v>
      </c>
      <c r="BH342">
        <v>3</v>
      </c>
      <c r="BI342">
        <v>0.47599999999999998</v>
      </c>
      <c r="BJ342" t="s">
        <v>134</v>
      </c>
      <c r="BK342">
        <v>0.30769999999999997</v>
      </c>
      <c r="BL342">
        <v>0.56100000000000005</v>
      </c>
      <c r="BM342">
        <v>1.21</v>
      </c>
      <c r="BN342">
        <v>1.85</v>
      </c>
    </row>
    <row r="343" spans="1:66" x14ac:dyDescent="0.25">
      <c r="A343">
        <v>2</v>
      </c>
      <c r="B343">
        <v>0</v>
      </c>
      <c r="C343">
        <v>2</v>
      </c>
      <c r="D343">
        <v>1.6420000000000001</v>
      </c>
      <c r="E343">
        <v>3.6999999999999997</v>
      </c>
      <c r="F343">
        <v>5.3666666666666671</v>
      </c>
      <c r="G343" s="40">
        <v>0.5</v>
      </c>
      <c r="H343" s="40">
        <v>0.35</v>
      </c>
      <c r="I343" s="40">
        <f t="shared" si="3"/>
        <v>0.15000000000000002</v>
      </c>
      <c r="J343">
        <v>1.6</v>
      </c>
      <c r="K343">
        <v>3.45</v>
      </c>
      <c r="L343">
        <v>5.4</v>
      </c>
      <c r="M343">
        <v>1.6659999999999999</v>
      </c>
      <c r="N343">
        <v>3.85</v>
      </c>
      <c r="O343">
        <v>5.5</v>
      </c>
      <c r="P343">
        <v>1.66</v>
      </c>
      <c r="Q343">
        <v>3.8</v>
      </c>
      <c r="R343">
        <v>5.2</v>
      </c>
      <c r="S343">
        <v>0.60342799529490843</v>
      </c>
      <c r="T343">
        <v>0.2177785246177113</v>
      </c>
      <c r="U343">
        <v>0.17879348008738027</v>
      </c>
      <c r="V343">
        <v>0.57615755290173898</v>
      </c>
      <c r="W343">
        <v>0.24931908652838886</v>
      </c>
      <c r="X343">
        <v>0.17452336056987219</v>
      </c>
      <c r="Y343">
        <v>0.56945244956772345</v>
      </c>
      <c r="Z343">
        <v>0.24876080691642652</v>
      </c>
      <c r="AA343">
        <v>0.18178674351585014</v>
      </c>
      <c r="AB343">
        <v>0.58301266592145695</v>
      </c>
      <c r="AC343">
        <v>0.23861947268750891</v>
      </c>
      <c r="AD343">
        <v>0.17836786139103422</v>
      </c>
      <c r="AE343" t="s">
        <v>163</v>
      </c>
      <c r="AF343" t="s">
        <v>160</v>
      </c>
      <c r="AG343">
        <v>26.63</v>
      </c>
      <c r="AH343">
        <v>25</v>
      </c>
      <c r="AI343">
        <v>11</v>
      </c>
      <c r="AJ343">
        <v>7</v>
      </c>
      <c r="AK343">
        <v>26.3</v>
      </c>
      <c r="AL343">
        <v>199</v>
      </c>
      <c r="AM343">
        <v>3295</v>
      </c>
      <c r="AN343">
        <v>73</v>
      </c>
      <c r="AO343">
        <v>73</v>
      </c>
      <c r="AP343">
        <v>69</v>
      </c>
      <c r="AQ343">
        <v>3.5</v>
      </c>
      <c r="AR343" t="s">
        <v>29</v>
      </c>
      <c r="AS343" t="s">
        <v>159</v>
      </c>
      <c r="AT343" t="s">
        <v>160</v>
      </c>
      <c r="AU343">
        <v>52.25</v>
      </c>
      <c r="AV343">
        <v>29</v>
      </c>
      <c r="AW343">
        <v>16</v>
      </c>
      <c r="AX343">
        <v>2</v>
      </c>
      <c r="AY343">
        <v>25.8</v>
      </c>
      <c r="AZ343">
        <v>87</v>
      </c>
      <c r="BA343">
        <v>5184</v>
      </c>
      <c r="BB343">
        <v>77</v>
      </c>
      <c r="BC343">
        <v>67</v>
      </c>
      <c r="BD343">
        <v>68</v>
      </c>
      <c r="BE343">
        <v>3</v>
      </c>
      <c r="BF343" t="s">
        <v>29</v>
      </c>
      <c r="BG343">
        <v>1</v>
      </c>
      <c r="BH343">
        <v>5</v>
      </c>
      <c r="BI343">
        <v>0.33300000000000002</v>
      </c>
      <c r="BJ343" t="s">
        <v>234</v>
      </c>
      <c r="BK343">
        <v>0.48280000000000001</v>
      </c>
      <c r="BL343">
        <v>0.32140000000000002</v>
      </c>
      <c r="BM343">
        <v>1.93</v>
      </c>
      <c r="BN343">
        <v>1.1100000000000001</v>
      </c>
    </row>
    <row r="344" spans="1:66" x14ac:dyDescent="0.25">
      <c r="A344">
        <v>3</v>
      </c>
      <c r="B344">
        <v>-1</v>
      </c>
      <c r="C344">
        <v>3</v>
      </c>
      <c r="D344">
        <v>9.75</v>
      </c>
      <c r="E344">
        <v>5.2833333333333332</v>
      </c>
      <c r="F344">
        <v>1.3043333333333333</v>
      </c>
      <c r="G344" s="40">
        <v>0.22</v>
      </c>
      <c r="H344" s="40">
        <v>0.24</v>
      </c>
      <c r="I344" s="40">
        <f t="shared" si="3"/>
        <v>0.54</v>
      </c>
      <c r="J344">
        <v>9</v>
      </c>
      <c r="K344">
        <v>5</v>
      </c>
      <c r="L344">
        <v>1.3</v>
      </c>
      <c r="M344">
        <v>9.5</v>
      </c>
      <c r="N344">
        <v>5.25</v>
      </c>
      <c r="O344">
        <v>1.333</v>
      </c>
      <c r="P344">
        <v>10.75</v>
      </c>
      <c r="Q344">
        <v>5.6</v>
      </c>
      <c r="R344">
        <v>1.28</v>
      </c>
      <c r="S344">
        <v>0.10980217826183597</v>
      </c>
      <c r="T344">
        <v>0.13002889531006889</v>
      </c>
      <c r="U344">
        <v>0.76016892642809519</v>
      </c>
      <c r="V344">
        <v>0.10064102794565465</v>
      </c>
      <c r="W344">
        <v>0.18211233628261317</v>
      </c>
      <c r="X344">
        <v>0.71724663577173231</v>
      </c>
      <c r="Y344">
        <v>8.8354205699635147E-2</v>
      </c>
      <c r="Z344">
        <v>0.16960851986983533</v>
      </c>
      <c r="AA344">
        <v>0.74203727443052947</v>
      </c>
      <c r="AB344">
        <v>9.9599137302375254E-2</v>
      </c>
      <c r="AC344">
        <v>0.1605832504875058</v>
      </c>
      <c r="AD344">
        <v>0.73981761221011899</v>
      </c>
      <c r="AE344" t="s">
        <v>41</v>
      </c>
      <c r="AF344" t="s">
        <v>23</v>
      </c>
      <c r="AG344">
        <v>82.35</v>
      </c>
      <c r="AH344">
        <v>31</v>
      </c>
      <c r="AI344">
        <v>16</v>
      </c>
      <c r="AJ344">
        <v>8</v>
      </c>
      <c r="AK344">
        <v>26.4</v>
      </c>
      <c r="AL344">
        <v>266</v>
      </c>
      <c r="AM344">
        <v>2690</v>
      </c>
      <c r="AN344">
        <v>74</v>
      </c>
      <c r="AO344">
        <v>75</v>
      </c>
      <c r="AP344">
        <v>74</v>
      </c>
      <c r="AQ344">
        <v>3.5</v>
      </c>
      <c r="AR344" t="s">
        <v>29</v>
      </c>
      <c r="AS344" t="s">
        <v>33</v>
      </c>
      <c r="AT344" t="s">
        <v>23</v>
      </c>
      <c r="AU344">
        <v>287.7</v>
      </c>
      <c r="AV344">
        <v>27</v>
      </c>
      <c r="AW344">
        <v>18</v>
      </c>
      <c r="AX344">
        <v>10</v>
      </c>
      <c r="AY344">
        <v>23.7</v>
      </c>
      <c r="AZ344">
        <v>131</v>
      </c>
      <c r="BA344">
        <v>4207</v>
      </c>
      <c r="BB344">
        <v>77</v>
      </c>
      <c r="BC344">
        <v>77</v>
      </c>
      <c r="BD344">
        <v>76</v>
      </c>
      <c r="BE344">
        <v>4</v>
      </c>
      <c r="BF344" t="s">
        <v>29</v>
      </c>
      <c r="BG344">
        <v>-5</v>
      </c>
      <c r="BH344">
        <v>24</v>
      </c>
      <c r="BI344">
        <v>0.46700000000000003</v>
      </c>
      <c r="BJ344" t="s">
        <v>266</v>
      </c>
      <c r="BK344">
        <v>0.40629999999999999</v>
      </c>
      <c r="BL344">
        <v>0.47499999999999998</v>
      </c>
      <c r="BM344">
        <v>1.28</v>
      </c>
      <c r="BN344">
        <v>1.3</v>
      </c>
    </row>
    <row r="345" spans="1:66" x14ac:dyDescent="0.25">
      <c r="A345">
        <v>3</v>
      </c>
      <c r="B345">
        <v>-2</v>
      </c>
      <c r="C345">
        <v>2</v>
      </c>
      <c r="D345">
        <v>10.416666666666666</v>
      </c>
      <c r="E345">
        <v>6.6000000000000005</v>
      </c>
      <c r="F345">
        <v>1.2433333333333334</v>
      </c>
      <c r="G345" s="40">
        <v>0.14000000000000001</v>
      </c>
      <c r="H345" s="40">
        <v>0.21</v>
      </c>
      <c r="I345" s="40">
        <f t="shared" si="3"/>
        <v>0.65</v>
      </c>
      <c r="J345">
        <v>10</v>
      </c>
      <c r="K345">
        <v>6.1</v>
      </c>
      <c r="L345">
        <v>1.23</v>
      </c>
      <c r="M345">
        <v>11</v>
      </c>
      <c r="N345">
        <v>7</v>
      </c>
      <c r="O345">
        <v>1.25</v>
      </c>
      <c r="P345">
        <v>10.25</v>
      </c>
      <c r="Q345">
        <v>6.7</v>
      </c>
      <c r="R345">
        <v>1.25</v>
      </c>
      <c r="S345">
        <v>9.8072306709837478E-2</v>
      </c>
      <c r="T345">
        <v>0.1045918663809145</v>
      </c>
      <c r="U345">
        <v>0.79733582690924787</v>
      </c>
      <c r="V345">
        <v>8.7939698492462318E-2</v>
      </c>
      <c r="W345">
        <v>0.13819095477386936</v>
      </c>
      <c r="X345">
        <v>0.77386934673366836</v>
      </c>
      <c r="Y345">
        <v>9.3197941299207124E-2</v>
      </c>
      <c r="Z345">
        <v>0.14257894004729449</v>
      </c>
      <c r="AA345">
        <v>0.76422311865349835</v>
      </c>
      <c r="AB345">
        <v>9.3069982167168983E-2</v>
      </c>
      <c r="AC345">
        <v>0.12845392040069278</v>
      </c>
      <c r="AD345">
        <v>0.7784760974321383</v>
      </c>
      <c r="AE345" t="s">
        <v>45</v>
      </c>
      <c r="AF345" t="s">
        <v>23</v>
      </c>
      <c r="AG345">
        <v>59.28</v>
      </c>
      <c r="AH345">
        <v>25</v>
      </c>
      <c r="AI345">
        <v>5</v>
      </c>
      <c r="AJ345">
        <v>1</v>
      </c>
      <c r="AK345">
        <v>25.2</v>
      </c>
      <c r="AL345">
        <v>347</v>
      </c>
      <c r="AM345">
        <v>2156</v>
      </c>
      <c r="AN345">
        <v>72</v>
      </c>
      <c r="AO345">
        <v>72</v>
      </c>
      <c r="AP345">
        <v>72</v>
      </c>
      <c r="AQ345">
        <v>3.5</v>
      </c>
      <c r="AR345" t="s">
        <v>29</v>
      </c>
      <c r="AS345" t="s">
        <v>10</v>
      </c>
      <c r="AT345" t="s">
        <v>23</v>
      </c>
      <c r="AU345">
        <v>801.45</v>
      </c>
      <c r="AV345">
        <v>31</v>
      </c>
      <c r="AW345">
        <v>21</v>
      </c>
      <c r="AX345">
        <v>13</v>
      </c>
      <c r="AY345">
        <v>25.6</v>
      </c>
      <c r="AZ345">
        <v>12</v>
      </c>
      <c r="BA345">
        <v>9495</v>
      </c>
      <c r="BB345">
        <v>88</v>
      </c>
      <c r="BC345">
        <v>84</v>
      </c>
      <c r="BD345">
        <v>83</v>
      </c>
      <c r="BE345">
        <v>5</v>
      </c>
      <c r="BF345" t="s">
        <v>28</v>
      </c>
      <c r="BG345">
        <v>-25</v>
      </c>
      <c r="BH345">
        <v>19</v>
      </c>
      <c r="BI345">
        <v>0.107</v>
      </c>
      <c r="BJ345" t="s">
        <v>266</v>
      </c>
      <c r="BK345">
        <v>0.28129999999999999</v>
      </c>
      <c r="BL345">
        <v>0.81630000000000003</v>
      </c>
      <c r="BM345">
        <v>1.22</v>
      </c>
      <c r="BN345">
        <v>2.78</v>
      </c>
    </row>
    <row r="346" spans="1:66" x14ac:dyDescent="0.25">
      <c r="A346">
        <v>3</v>
      </c>
      <c r="B346">
        <v>-1</v>
      </c>
      <c r="C346">
        <v>5</v>
      </c>
      <c r="D346">
        <v>1.1866666666666665</v>
      </c>
      <c r="E346">
        <v>7.5666666666666664</v>
      </c>
      <c r="F346">
        <v>12.666666666666666</v>
      </c>
      <c r="G346" s="40">
        <v>0.49</v>
      </c>
      <c r="H346" s="40">
        <v>0.27</v>
      </c>
      <c r="I346" s="40">
        <f t="shared" si="3"/>
        <v>0.24</v>
      </c>
      <c r="J346">
        <v>1.18</v>
      </c>
      <c r="K346">
        <v>7</v>
      </c>
      <c r="L346">
        <v>12</v>
      </c>
      <c r="M346">
        <v>1.2</v>
      </c>
      <c r="N346">
        <v>7.5</v>
      </c>
      <c r="O346">
        <v>13</v>
      </c>
      <c r="P346">
        <v>1.18</v>
      </c>
      <c r="Q346">
        <v>8.1999999999999993</v>
      </c>
      <c r="R346">
        <v>13</v>
      </c>
      <c r="S346">
        <v>0.8309511199418399</v>
      </c>
      <c r="T346">
        <v>8.7338686597212375E-2</v>
      </c>
      <c r="U346">
        <v>8.1710193460947586E-2</v>
      </c>
      <c r="V346">
        <v>0.79852579852579852</v>
      </c>
      <c r="W346">
        <v>0.12776412776412777</v>
      </c>
      <c r="X346">
        <v>7.3710073710073709E-2</v>
      </c>
      <c r="Y346">
        <v>0.80993192317043516</v>
      </c>
      <c r="Z346">
        <v>0.11655117918794067</v>
      </c>
      <c r="AA346">
        <v>7.3516897641624113E-2</v>
      </c>
      <c r="AB346">
        <v>0.8131362805460246</v>
      </c>
      <c r="AC346">
        <v>0.11055133118309361</v>
      </c>
      <c r="AD346">
        <v>7.6312388270881812E-2</v>
      </c>
      <c r="AE346" t="s">
        <v>30</v>
      </c>
      <c r="AF346" t="s">
        <v>23</v>
      </c>
      <c r="AG346">
        <v>358.75</v>
      </c>
      <c r="AH346">
        <v>28</v>
      </c>
      <c r="AI346">
        <v>19</v>
      </c>
      <c r="AJ346">
        <v>10</v>
      </c>
      <c r="AK346">
        <v>24.8</v>
      </c>
      <c r="AL346">
        <v>60</v>
      </c>
      <c r="AM346">
        <v>6154</v>
      </c>
      <c r="AN346">
        <v>79</v>
      </c>
      <c r="AO346">
        <v>78</v>
      </c>
      <c r="AP346">
        <v>77</v>
      </c>
      <c r="AQ346">
        <v>4.5</v>
      </c>
      <c r="AR346" t="s">
        <v>29</v>
      </c>
      <c r="AS346" t="s">
        <v>40</v>
      </c>
      <c r="AT346" t="s">
        <v>23</v>
      </c>
      <c r="AU346">
        <v>176.8</v>
      </c>
      <c r="AV346">
        <v>30</v>
      </c>
      <c r="AW346">
        <v>14</v>
      </c>
      <c r="AX346">
        <v>4</v>
      </c>
      <c r="AY346">
        <v>23.5</v>
      </c>
      <c r="AZ346">
        <v>255</v>
      </c>
      <c r="BA346">
        <v>2803</v>
      </c>
      <c r="BB346">
        <v>74</v>
      </c>
      <c r="BC346">
        <v>76</v>
      </c>
      <c r="BD346">
        <v>74</v>
      </c>
      <c r="BE346">
        <v>4</v>
      </c>
      <c r="BF346" t="s">
        <v>28</v>
      </c>
      <c r="BG346">
        <v>35</v>
      </c>
      <c r="BH346">
        <v>97</v>
      </c>
      <c r="BI346">
        <v>0.51900000000000002</v>
      </c>
      <c r="BJ346" t="s">
        <v>266</v>
      </c>
      <c r="BK346">
        <v>0.44679999999999997</v>
      </c>
      <c r="BL346">
        <v>0.40629999999999999</v>
      </c>
      <c r="BM346">
        <v>1.7</v>
      </c>
      <c r="BN346">
        <v>1.5</v>
      </c>
    </row>
    <row r="347" spans="1:66" x14ac:dyDescent="0.25">
      <c r="A347">
        <v>2</v>
      </c>
      <c r="B347">
        <v>0</v>
      </c>
      <c r="C347">
        <v>2</v>
      </c>
      <c r="D347">
        <v>3.5833333333333335</v>
      </c>
      <c r="E347">
        <v>3.5833333333333335</v>
      </c>
      <c r="F347">
        <v>2.0333333333333332</v>
      </c>
      <c r="G347" s="40">
        <v>0.23</v>
      </c>
      <c r="H347" s="40">
        <v>0.32</v>
      </c>
      <c r="I347" s="40">
        <f t="shared" si="3"/>
        <v>0.45</v>
      </c>
      <c r="J347">
        <v>3.5</v>
      </c>
      <c r="K347">
        <v>3.45</v>
      </c>
      <c r="L347">
        <v>2.02</v>
      </c>
      <c r="M347">
        <v>3.55</v>
      </c>
      <c r="N347">
        <v>3.6</v>
      </c>
      <c r="O347">
        <v>2.1</v>
      </c>
      <c r="P347">
        <v>3.7</v>
      </c>
      <c r="Q347">
        <v>3.7</v>
      </c>
      <c r="R347">
        <v>1.98</v>
      </c>
      <c r="S347">
        <v>0.27616694657654034</v>
      </c>
      <c r="T347">
        <v>0.24532596777103829</v>
      </c>
      <c r="U347">
        <v>0.47850708565242128</v>
      </c>
      <c r="V347">
        <v>0.2719913653534809</v>
      </c>
      <c r="W347">
        <v>0.26821370750134915</v>
      </c>
      <c r="X347">
        <v>0.45979492714516995</v>
      </c>
      <c r="Y347">
        <v>0.25848563968668409</v>
      </c>
      <c r="Z347">
        <v>0.25848563968668409</v>
      </c>
      <c r="AA347">
        <v>0.48302872062663188</v>
      </c>
      <c r="AB347">
        <v>0.26888131720556846</v>
      </c>
      <c r="AC347">
        <v>0.25734177165302385</v>
      </c>
      <c r="AD347">
        <v>0.47377691114140769</v>
      </c>
      <c r="AE347" t="s">
        <v>48</v>
      </c>
      <c r="AF347" t="s">
        <v>23</v>
      </c>
      <c r="AG347">
        <v>62.58</v>
      </c>
      <c r="AH347">
        <v>32</v>
      </c>
      <c r="AI347">
        <v>21</v>
      </c>
      <c r="AJ347">
        <v>10</v>
      </c>
      <c r="AK347">
        <v>24.9</v>
      </c>
      <c r="AL347">
        <v>426</v>
      </c>
      <c r="AM347">
        <v>1736</v>
      </c>
      <c r="AN347">
        <v>73</v>
      </c>
      <c r="AO347">
        <v>72</v>
      </c>
      <c r="AP347">
        <v>72</v>
      </c>
      <c r="AQ347">
        <v>3.5</v>
      </c>
      <c r="AR347" t="s">
        <v>46</v>
      </c>
      <c r="AS347" t="s">
        <v>34</v>
      </c>
      <c r="AT347" t="s">
        <v>23</v>
      </c>
      <c r="AU347">
        <v>224.6</v>
      </c>
      <c r="AV347">
        <v>35</v>
      </c>
      <c r="AW347">
        <v>11</v>
      </c>
      <c r="AX347">
        <v>8</v>
      </c>
      <c r="AY347">
        <v>24.6</v>
      </c>
      <c r="AZ347">
        <v>145</v>
      </c>
      <c r="BA347">
        <v>4008</v>
      </c>
      <c r="BB347">
        <v>80</v>
      </c>
      <c r="BC347">
        <v>78</v>
      </c>
      <c r="BD347">
        <v>77</v>
      </c>
      <c r="BE347">
        <v>4</v>
      </c>
      <c r="BF347" t="s">
        <v>29</v>
      </c>
      <c r="BG347">
        <v>-24</v>
      </c>
      <c r="BH347">
        <v>51</v>
      </c>
      <c r="BI347">
        <v>0.28000000000000003</v>
      </c>
      <c r="BJ347" t="s">
        <v>266</v>
      </c>
      <c r="BK347">
        <v>0.26669999999999999</v>
      </c>
      <c r="BL347">
        <v>0.54549999999999998</v>
      </c>
      <c r="BM347">
        <v>0.93</v>
      </c>
      <c r="BN347">
        <v>1.48</v>
      </c>
    </row>
    <row r="348" spans="1:66" x14ac:dyDescent="0.25">
      <c r="A348">
        <v>3</v>
      </c>
      <c r="B348">
        <v>-1</v>
      </c>
      <c r="C348">
        <v>3</v>
      </c>
      <c r="D348">
        <v>1.4933333333333334</v>
      </c>
      <c r="E348">
        <v>4.7</v>
      </c>
      <c r="F348">
        <v>5.833333333333333</v>
      </c>
      <c r="G348" s="40">
        <v>0.31</v>
      </c>
      <c r="H348" s="40">
        <v>0.33</v>
      </c>
      <c r="I348" s="40">
        <f t="shared" si="3"/>
        <v>0.35999999999999993</v>
      </c>
      <c r="J348">
        <v>1.48</v>
      </c>
      <c r="K348">
        <v>4.5999999999999996</v>
      </c>
      <c r="L348">
        <v>5.5</v>
      </c>
      <c r="M348">
        <v>1.5</v>
      </c>
      <c r="N348">
        <v>4.75</v>
      </c>
      <c r="O348">
        <v>6</v>
      </c>
      <c r="P348">
        <v>1.5</v>
      </c>
      <c r="Q348">
        <v>4.75</v>
      </c>
      <c r="R348">
        <v>6</v>
      </c>
      <c r="S348">
        <v>0.65901634071024195</v>
      </c>
      <c r="T348">
        <v>0.16364835306227485</v>
      </c>
      <c r="U348">
        <v>0.17733530622748328</v>
      </c>
      <c r="V348">
        <v>0.6386554621848739</v>
      </c>
      <c r="W348">
        <v>0.20168067226890757</v>
      </c>
      <c r="X348">
        <v>0.15966386554621848</v>
      </c>
      <c r="Y348">
        <v>0.6386554621848739</v>
      </c>
      <c r="Z348">
        <v>0.20168067226890757</v>
      </c>
      <c r="AA348">
        <v>0.15966386554621848</v>
      </c>
      <c r="AB348">
        <v>0.64544242169332999</v>
      </c>
      <c r="AC348">
        <v>0.18900323253336335</v>
      </c>
      <c r="AD348">
        <v>0.16555434577330674</v>
      </c>
      <c r="AE348" t="s">
        <v>39</v>
      </c>
      <c r="AF348" t="s">
        <v>23</v>
      </c>
      <c r="AG348">
        <v>86.83</v>
      </c>
      <c r="AH348">
        <v>30</v>
      </c>
      <c r="AI348">
        <v>14</v>
      </c>
      <c r="AJ348">
        <v>6</v>
      </c>
      <c r="AK348">
        <v>25.1</v>
      </c>
      <c r="AL348">
        <v>229</v>
      </c>
      <c r="AM348">
        <v>3029</v>
      </c>
      <c r="AN348">
        <v>75</v>
      </c>
      <c r="AO348">
        <v>73</v>
      </c>
      <c r="AP348">
        <v>74</v>
      </c>
      <c r="AQ348">
        <v>3.5</v>
      </c>
      <c r="AR348" t="s">
        <v>29</v>
      </c>
      <c r="AS348" t="s">
        <v>38</v>
      </c>
      <c r="AT348" t="s">
        <v>23</v>
      </c>
      <c r="AU348">
        <v>82.2</v>
      </c>
      <c r="AV348">
        <v>30</v>
      </c>
      <c r="AW348">
        <v>12</v>
      </c>
      <c r="AX348">
        <v>5</v>
      </c>
      <c r="AY348">
        <v>25.7</v>
      </c>
      <c r="AZ348">
        <v>228</v>
      </c>
      <c r="BA348">
        <v>3029</v>
      </c>
      <c r="BB348">
        <v>78</v>
      </c>
      <c r="BC348">
        <v>74</v>
      </c>
      <c r="BD348">
        <v>75</v>
      </c>
      <c r="BE348">
        <v>4</v>
      </c>
      <c r="BF348" t="s">
        <v>29</v>
      </c>
      <c r="BG348">
        <v>12</v>
      </c>
      <c r="BH348">
        <v>82</v>
      </c>
      <c r="BI348">
        <v>0.39300000000000002</v>
      </c>
      <c r="BJ348" t="s">
        <v>266</v>
      </c>
      <c r="BK348">
        <v>0.40629999999999999</v>
      </c>
      <c r="BL348">
        <v>0.42420000000000002</v>
      </c>
      <c r="BM348">
        <v>1.28</v>
      </c>
      <c r="BN348">
        <v>1.33</v>
      </c>
    </row>
    <row r="349" spans="1:66" x14ac:dyDescent="0.25">
      <c r="A349">
        <v>3</v>
      </c>
      <c r="B349">
        <v>-1</v>
      </c>
      <c r="C349">
        <v>3</v>
      </c>
      <c r="D349">
        <v>2.5933333333333333</v>
      </c>
      <c r="E349">
        <v>2.8699999999999997</v>
      </c>
      <c r="F349">
        <v>3.15</v>
      </c>
      <c r="G349" s="40">
        <v>0.33</v>
      </c>
      <c r="H349" s="40">
        <v>0.41</v>
      </c>
      <c r="I349" s="40">
        <f t="shared" si="3"/>
        <v>0.25999999999999995</v>
      </c>
      <c r="J349">
        <v>2.5499999999999998</v>
      </c>
      <c r="K349">
        <v>2.8</v>
      </c>
      <c r="L349">
        <v>3.1</v>
      </c>
      <c r="M349">
        <v>2.6</v>
      </c>
      <c r="N349">
        <v>2.95</v>
      </c>
      <c r="O349">
        <v>3.2</v>
      </c>
      <c r="P349">
        <v>2.63</v>
      </c>
      <c r="Q349">
        <v>2.86</v>
      </c>
      <c r="R349">
        <v>3.15</v>
      </c>
      <c r="S349">
        <v>0.37867851193781232</v>
      </c>
      <c r="T349">
        <v>0.30982787340366469</v>
      </c>
      <c r="U349">
        <v>0.31149361465852304</v>
      </c>
      <c r="V349">
        <v>0.37121510027526544</v>
      </c>
      <c r="W349">
        <v>0.32717263075108138</v>
      </c>
      <c r="X349">
        <v>0.30161226897365317</v>
      </c>
      <c r="Y349">
        <v>0.36304215544442342</v>
      </c>
      <c r="Z349">
        <v>0.33384645762896276</v>
      </c>
      <c r="AA349">
        <v>0.30311138692661382</v>
      </c>
      <c r="AB349">
        <v>0.3709785892191671</v>
      </c>
      <c r="AC349">
        <v>0.32361565392790298</v>
      </c>
      <c r="AD349">
        <v>0.30540575685293003</v>
      </c>
      <c r="AE349" t="s">
        <v>37</v>
      </c>
      <c r="AF349" t="s">
        <v>23</v>
      </c>
      <c r="AG349">
        <v>73.25</v>
      </c>
      <c r="AH349">
        <v>26</v>
      </c>
      <c r="AI349">
        <v>17</v>
      </c>
      <c r="AJ349">
        <v>8</v>
      </c>
      <c r="AK349">
        <v>23.9</v>
      </c>
      <c r="AL349">
        <v>223</v>
      </c>
      <c r="AM349">
        <v>3054</v>
      </c>
      <c r="AN349">
        <v>71</v>
      </c>
      <c r="AO349">
        <v>73</v>
      </c>
      <c r="AP349">
        <v>73</v>
      </c>
      <c r="AQ349">
        <v>3.5</v>
      </c>
      <c r="AR349" t="s">
        <v>29</v>
      </c>
      <c r="AS349" t="s">
        <v>44</v>
      </c>
      <c r="AT349" t="s">
        <v>23</v>
      </c>
      <c r="AU349">
        <v>91.25</v>
      </c>
      <c r="AV349">
        <v>24</v>
      </c>
      <c r="AW349">
        <v>11</v>
      </c>
      <c r="AX349">
        <v>5</v>
      </c>
      <c r="AY349">
        <v>26.7</v>
      </c>
      <c r="AZ349">
        <v>326</v>
      </c>
      <c r="BA349">
        <v>2298</v>
      </c>
      <c r="BB349">
        <v>75</v>
      </c>
      <c r="BC349">
        <v>75</v>
      </c>
      <c r="BD349">
        <v>76</v>
      </c>
      <c r="BE349">
        <v>4</v>
      </c>
      <c r="BF349" t="s">
        <v>29</v>
      </c>
      <c r="BG349">
        <v>8</v>
      </c>
      <c r="BH349">
        <v>24</v>
      </c>
      <c r="BI349">
        <v>0.46200000000000002</v>
      </c>
      <c r="BJ349" t="s">
        <v>266</v>
      </c>
      <c r="BK349">
        <v>0.35289999999999999</v>
      </c>
      <c r="BL349">
        <v>0.34379999999999999</v>
      </c>
      <c r="BM349">
        <v>0.88</v>
      </c>
      <c r="BN349">
        <v>1.44</v>
      </c>
    </row>
    <row r="350" spans="1:66" x14ac:dyDescent="0.25">
      <c r="A350">
        <v>1</v>
      </c>
      <c r="B350">
        <v>2</v>
      </c>
      <c r="C350">
        <v>2</v>
      </c>
      <c r="D350">
        <v>1.2750000000000001</v>
      </c>
      <c r="E350">
        <v>5.916666666666667</v>
      </c>
      <c r="F350">
        <v>10.333333333333334</v>
      </c>
      <c r="G350" s="40">
        <v>0.54</v>
      </c>
      <c r="H350" s="40">
        <v>0.22</v>
      </c>
      <c r="I350" s="40">
        <f t="shared" si="3"/>
        <v>0.23999999999999996</v>
      </c>
      <c r="J350">
        <v>1.26</v>
      </c>
      <c r="K350">
        <v>5.75</v>
      </c>
      <c r="L350">
        <v>9.5</v>
      </c>
      <c r="M350">
        <v>1.2849999999999999</v>
      </c>
      <c r="N350">
        <v>6</v>
      </c>
      <c r="O350">
        <v>11</v>
      </c>
      <c r="P350">
        <v>1.28</v>
      </c>
      <c r="Q350">
        <v>6</v>
      </c>
      <c r="R350">
        <v>10.5</v>
      </c>
      <c r="S350">
        <v>0.78334499333684171</v>
      </c>
      <c r="T350">
        <v>0.11275872333637707</v>
      </c>
      <c r="U350">
        <v>0.10389628332678112</v>
      </c>
      <c r="V350">
        <v>0.75132335363424207</v>
      </c>
      <c r="W350">
        <v>0.16090841823666682</v>
      </c>
      <c r="X350">
        <v>8.7768228129091005E-2</v>
      </c>
      <c r="Y350">
        <v>0.74893009985734671</v>
      </c>
      <c r="Z350">
        <v>0.15977175463623397</v>
      </c>
      <c r="AA350">
        <v>9.1298145506419404E-2</v>
      </c>
      <c r="AB350">
        <v>0.76119948227614354</v>
      </c>
      <c r="AC350">
        <v>0.14447963206975931</v>
      </c>
      <c r="AD350">
        <v>9.4320885654097186E-2</v>
      </c>
      <c r="AE350" t="s">
        <v>32</v>
      </c>
      <c r="AF350" t="s">
        <v>23</v>
      </c>
      <c r="AG350">
        <v>196.35</v>
      </c>
      <c r="AH350">
        <v>33</v>
      </c>
      <c r="AI350">
        <v>6</v>
      </c>
      <c r="AJ350">
        <v>5</v>
      </c>
      <c r="AK350">
        <v>24.3</v>
      </c>
      <c r="AL350">
        <v>102</v>
      </c>
      <c r="AM350">
        <v>4815</v>
      </c>
      <c r="AN350">
        <v>76</v>
      </c>
      <c r="AO350">
        <v>77</v>
      </c>
      <c r="AP350">
        <v>76</v>
      </c>
      <c r="AQ350">
        <v>4</v>
      </c>
      <c r="AR350" t="s">
        <v>29</v>
      </c>
      <c r="AS350" t="s">
        <v>47</v>
      </c>
      <c r="AT350" t="s">
        <v>23</v>
      </c>
      <c r="AU350">
        <v>46.88</v>
      </c>
      <c r="AV350">
        <v>27</v>
      </c>
      <c r="AW350">
        <v>10</v>
      </c>
      <c r="AX350">
        <v>7</v>
      </c>
      <c r="AY350">
        <v>25.4</v>
      </c>
      <c r="AZ350">
        <v>368</v>
      </c>
      <c r="BA350">
        <v>2020</v>
      </c>
      <c r="BB350">
        <v>72</v>
      </c>
      <c r="BC350">
        <v>70</v>
      </c>
      <c r="BD350">
        <v>72</v>
      </c>
      <c r="BE350">
        <v>3.5</v>
      </c>
      <c r="BF350" t="s">
        <v>46</v>
      </c>
      <c r="BG350">
        <v>8</v>
      </c>
      <c r="BH350">
        <v>20</v>
      </c>
      <c r="BI350">
        <v>0.66700000000000004</v>
      </c>
      <c r="BJ350" t="s">
        <v>266</v>
      </c>
      <c r="BK350">
        <v>0.47499999999999998</v>
      </c>
      <c r="BL350">
        <v>0.25</v>
      </c>
      <c r="BM350">
        <v>1.43</v>
      </c>
      <c r="BN350">
        <v>1.0900000000000001</v>
      </c>
    </row>
    <row r="351" spans="1:66" x14ac:dyDescent="0.25">
      <c r="A351">
        <v>3</v>
      </c>
      <c r="B351">
        <v>-1</v>
      </c>
      <c r="C351">
        <v>1</v>
      </c>
      <c r="D351">
        <v>1.2850000000000001</v>
      </c>
      <c r="E351">
        <v>5.75</v>
      </c>
      <c r="F351">
        <v>9.8333333333333339</v>
      </c>
      <c r="G351" s="40">
        <v>0.53</v>
      </c>
      <c r="H351" s="40">
        <v>0.27</v>
      </c>
      <c r="I351" s="40">
        <f t="shared" si="3"/>
        <v>0.19999999999999996</v>
      </c>
      <c r="J351">
        <v>1.29</v>
      </c>
      <c r="K351">
        <v>5.25</v>
      </c>
      <c r="L351">
        <v>9</v>
      </c>
      <c r="M351">
        <v>1.2849999999999999</v>
      </c>
      <c r="N351">
        <v>6</v>
      </c>
      <c r="O351">
        <v>10</v>
      </c>
      <c r="P351">
        <v>1.28</v>
      </c>
      <c r="Q351">
        <v>6</v>
      </c>
      <c r="R351">
        <v>10.5</v>
      </c>
      <c r="S351">
        <v>0.76569284098114243</v>
      </c>
      <c r="T351">
        <v>0.12455785181156039</v>
      </c>
      <c r="U351">
        <v>0.1097493072072971</v>
      </c>
      <c r="V351">
        <v>0.74478649453823231</v>
      </c>
      <c r="W351">
        <v>0.15950844091360478</v>
      </c>
      <c r="X351">
        <v>9.5705064548162855E-2</v>
      </c>
      <c r="Y351">
        <v>0.74893009985734671</v>
      </c>
      <c r="Z351">
        <v>0.15977175463623397</v>
      </c>
      <c r="AA351">
        <v>9.1298145506419404E-2</v>
      </c>
      <c r="AB351">
        <v>0.75313647845890719</v>
      </c>
      <c r="AC351">
        <v>0.14794601578713304</v>
      </c>
      <c r="AD351">
        <v>9.8917505753959786E-2</v>
      </c>
      <c r="AE351" t="s">
        <v>35</v>
      </c>
      <c r="AF351" t="s">
        <v>23</v>
      </c>
      <c r="AG351">
        <v>87.33</v>
      </c>
      <c r="AH351">
        <v>31</v>
      </c>
      <c r="AI351">
        <v>10</v>
      </c>
      <c r="AJ351">
        <v>4</v>
      </c>
      <c r="AK351">
        <v>25.4</v>
      </c>
      <c r="AL351">
        <v>169</v>
      </c>
      <c r="AM351">
        <v>3749</v>
      </c>
      <c r="AN351">
        <v>73</v>
      </c>
      <c r="AO351">
        <v>76</v>
      </c>
      <c r="AP351">
        <v>74</v>
      </c>
      <c r="AQ351">
        <v>4</v>
      </c>
      <c r="AR351" t="s">
        <v>29</v>
      </c>
      <c r="AS351" t="s">
        <v>42</v>
      </c>
      <c r="AT351" t="s">
        <v>23</v>
      </c>
      <c r="AU351">
        <v>42.38</v>
      </c>
      <c r="AV351">
        <v>24</v>
      </c>
      <c r="AW351">
        <v>13</v>
      </c>
      <c r="AX351">
        <v>9</v>
      </c>
      <c r="AY351">
        <v>26</v>
      </c>
      <c r="AZ351">
        <v>273</v>
      </c>
      <c r="BA351">
        <v>2608</v>
      </c>
      <c r="BB351">
        <v>72</v>
      </c>
      <c r="BC351">
        <v>72</v>
      </c>
      <c r="BD351">
        <v>70</v>
      </c>
      <c r="BE351">
        <v>3.5</v>
      </c>
      <c r="BF351" t="s">
        <v>43</v>
      </c>
      <c r="BG351">
        <v>4</v>
      </c>
      <c r="BH351">
        <v>24</v>
      </c>
      <c r="BI351">
        <v>0.58299999999999996</v>
      </c>
      <c r="BJ351" t="s">
        <v>266</v>
      </c>
      <c r="BK351">
        <v>0.33329999999999999</v>
      </c>
      <c r="BL351">
        <v>0.30299999999999999</v>
      </c>
      <c r="BM351">
        <v>1.17</v>
      </c>
      <c r="BN351">
        <v>1.1200000000000001</v>
      </c>
    </row>
    <row r="352" spans="1:66" x14ac:dyDescent="0.25">
      <c r="A352">
        <v>1</v>
      </c>
      <c r="B352">
        <v>3</v>
      </c>
      <c r="C352">
        <v>5</v>
      </c>
      <c r="D352">
        <v>1.7066666666666668</v>
      </c>
      <c r="E352">
        <v>3.5333333333333332</v>
      </c>
      <c r="F352">
        <v>4.6333333333333329</v>
      </c>
      <c r="G352" s="40">
        <v>0.46</v>
      </c>
      <c r="H352" s="40">
        <v>0.33</v>
      </c>
      <c r="I352" s="40">
        <f t="shared" si="3"/>
        <v>0.21000000000000002</v>
      </c>
      <c r="J352">
        <v>1.57</v>
      </c>
      <c r="K352">
        <v>3.45</v>
      </c>
      <c r="L352">
        <v>5.0999999999999996</v>
      </c>
      <c r="M352">
        <v>1.95</v>
      </c>
      <c r="N352">
        <v>3.25</v>
      </c>
      <c r="O352">
        <v>3.8</v>
      </c>
      <c r="P352">
        <v>1.6</v>
      </c>
      <c r="Q352">
        <v>3.9</v>
      </c>
      <c r="R352">
        <v>5</v>
      </c>
      <c r="S352">
        <v>0.59844803579813433</v>
      </c>
      <c r="T352">
        <v>0.21732384337773419</v>
      </c>
      <c r="U352">
        <v>0.18422812082413156</v>
      </c>
      <c r="V352">
        <v>0.47322540473225411</v>
      </c>
      <c r="W352">
        <v>0.2839352428393524</v>
      </c>
      <c r="X352">
        <v>0.24283935242839355</v>
      </c>
      <c r="Y352">
        <v>0.57794902193242437</v>
      </c>
      <c r="Z352">
        <v>0.23710729104919975</v>
      </c>
      <c r="AA352">
        <v>0.18494368701837582</v>
      </c>
      <c r="AB352">
        <v>0.54987415415427099</v>
      </c>
      <c r="AC352">
        <v>0.24612212575542877</v>
      </c>
      <c r="AD352">
        <v>0.20400372009030032</v>
      </c>
      <c r="AE352" t="s">
        <v>237</v>
      </c>
      <c r="AF352" t="s">
        <v>238</v>
      </c>
      <c r="AG352">
        <v>18.579999999999998</v>
      </c>
      <c r="AH352">
        <v>32</v>
      </c>
      <c r="AI352">
        <v>7</v>
      </c>
      <c r="AJ352">
        <v>3</v>
      </c>
      <c r="AK352">
        <v>29.5</v>
      </c>
      <c r="AL352">
        <v>109</v>
      </c>
      <c r="AM352">
        <v>4640</v>
      </c>
      <c r="AN352">
        <v>74</v>
      </c>
      <c r="AO352">
        <v>72</v>
      </c>
      <c r="AP352">
        <v>71</v>
      </c>
      <c r="AQ352">
        <v>3.5</v>
      </c>
      <c r="AR352" t="s">
        <v>29</v>
      </c>
      <c r="AS352" t="s">
        <v>243</v>
      </c>
      <c r="AT352" t="s">
        <v>238</v>
      </c>
      <c r="AU352">
        <v>3.43</v>
      </c>
      <c r="AV352">
        <v>35</v>
      </c>
      <c r="AW352">
        <v>11</v>
      </c>
      <c r="AX352">
        <v>0</v>
      </c>
      <c r="AY352">
        <v>26.5</v>
      </c>
      <c r="AZ352">
        <v>419</v>
      </c>
      <c r="BA352">
        <v>1470</v>
      </c>
      <c r="BB352">
        <v>62</v>
      </c>
      <c r="BC352">
        <v>60</v>
      </c>
      <c r="BD352">
        <v>61</v>
      </c>
      <c r="BE352">
        <v>1</v>
      </c>
      <c r="BF352" t="s">
        <v>46</v>
      </c>
      <c r="BG352">
        <v>21</v>
      </c>
      <c r="BH352">
        <v>39</v>
      </c>
      <c r="BI352">
        <v>0.55000000000000004</v>
      </c>
      <c r="BJ352" t="s">
        <v>238</v>
      </c>
      <c r="BK352">
        <v>0.47620000000000001</v>
      </c>
      <c r="BL352">
        <v>0.27029999999999998</v>
      </c>
      <c r="BM352">
        <v>1.17</v>
      </c>
      <c r="BN352">
        <v>1.1399999999999999</v>
      </c>
    </row>
    <row r="353" spans="1:66" x14ac:dyDescent="0.25">
      <c r="A353">
        <v>3</v>
      </c>
      <c r="B353">
        <v>-1</v>
      </c>
      <c r="C353">
        <v>1</v>
      </c>
      <c r="D353">
        <v>1.8800000000000001</v>
      </c>
      <c r="E353">
        <v>3.3166666666666664</v>
      </c>
      <c r="F353">
        <v>3.7833333333333332</v>
      </c>
      <c r="G353" s="40">
        <v>0.53</v>
      </c>
      <c r="H353" s="40">
        <v>0.36</v>
      </c>
      <c r="I353" s="40">
        <f t="shared" si="3"/>
        <v>0.10999999999999999</v>
      </c>
      <c r="J353">
        <v>1.84</v>
      </c>
      <c r="K353">
        <v>3.25</v>
      </c>
      <c r="L353">
        <v>3.65</v>
      </c>
      <c r="M353">
        <v>1.9</v>
      </c>
      <c r="N353">
        <v>3.35</v>
      </c>
      <c r="O353">
        <v>3.8</v>
      </c>
      <c r="P353">
        <v>1.9</v>
      </c>
      <c r="Q353">
        <v>3.35</v>
      </c>
      <c r="R353">
        <v>3.9</v>
      </c>
      <c r="S353">
        <v>0.49840898275538592</v>
      </c>
      <c r="T353">
        <v>0.25033826977340579</v>
      </c>
      <c r="U353">
        <v>0.25125274747120824</v>
      </c>
      <c r="V353">
        <v>0.48375451263537905</v>
      </c>
      <c r="W353">
        <v>0.27436823104693142</v>
      </c>
      <c r="X353">
        <v>0.24187725631768953</v>
      </c>
      <c r="Y353">
        <v>0.4867734724292101</v>
      </c>
      <c r="Z353">
        <v>0.27608047690014903</v>
      </c>
      <c r="AA353">
        <v>0.23714605067064082</v>
      </c>
      <c r="AB353">
        <v>0.48964565593999171</v>
      </c>
      <c r="AC353">
        <v>0.26692899257349539</v>
      </c>
      <c r="AD353">
        <v>0.24342535148651287</v>
      </c>
      <c r="AE353" t="s">
        <v>242</v>
      </c>
      <c r="AF353" t="s">
        <v>238</v>
      </c>
      <c r="AG353">
        <v>1.9</v>
      </c>
      <c r="AH353">
        <v>33</v>
      </c>
      <c r="AI353">
        <v>3</v>
      </c>
      <c r="AJ353">
        <v>0</v>
      </c>
      <c r="AK353">
        <v>27.1</v>
      </c>
      <c r="AL353">
        <v>415</v>
      </c>
      <c r="AM353">
        <v>1769</v>
      </c>
      <c r="AN353">
        <v>67</v>
      </c>
      <c r="AO353">
        <v>64</v>
      </c>
      <c r="AP353">
        <v>62</v>
      </c>
      <c r="AQ353">
        <v>2</v>
      </c>
      <c r="AR353" t="s">
        <v>29</v>
      </c>
      <c r="AS353" t="s">
        <v>244</v>
      </c>
      <c r="AT353" t="s">
        <v>238</v>
      </c>
      <c r="AU353">
        <v>3.43</v>
      </c>
      <c r="AV353">
        <v>31</v>
      </c>
      <c r="AW353">
        <v>6</v>
      </c>
      <c r="AX353">
        <v>0</v>
      </c>
      <c r="AY353">
        <v>28.8</v>
      </c>
      <c r="AZ353">
        <v>491</v>
      </c>
      <c r="BA353">
        <v>1407</v>
      </c>
      <c r="BB353">
        <v>66</v>
      </c>
      <c r="BC353">
        <v>59</v>
      </c>
      <c r="BD353">
        <v>65</v>
      </c>
      <c r="BE353">
        <v>2</v>
      </c>
      <c r="BF353" t="s">
        <v>29</v>
      </c>
      <c r="BG353">
        <v>0</v>
      </c>
      <c r="BH353">
        <v>9</v>
      </c>
      <c r="BI353">
        <v>0.125</v>
      </c>
      <c r="BJ353" t="s">
        <v>238</v>
      </c>
      <c r="BK353">
        <v>0.27779999999999999</v>
      </c>
      <c r="BL353">
        <v>0.28570000000000001</v>
      </c>
      <c r="BM353">
        <v>1.1399999999999999</v>
      </c>
      <c r="BN353">
        <v>1</v>
      </c>
    </row>
    <row r="354" spans="1:66" x14ac:dyDescent="0.25">
      <c r="A354">
        <v>2</v>
      </c>
      <c r="B354">
        <v>0</v>
      </c>
      <c r="C354">
        <v>0</v>
      </c>
      <c r="D354">
        <v>5.5333333333333341</v>
      </c>
      <c r="E354">
        <v>4.1000000000000005</v>
      </c>
      <c r="F354">
        <v>1.5803333333333331</v>
      </c>
      <c r="G354" s="40">
        <v>0.34</v>
      </c>
      <c r="H354" s="40">
        <v>0.42</v>
      </c>
      <c r="I354" s="40">
        <f t="shared" si="3"/>
        <v>0.23999999999999994</v>
      </c>
      <c r="J354">
        <v>5.25</v>
      </c>
      <c r="K354">
        <v>4</v>
      </c>
      <c r="L354">
        <v>1.6</v>
      </c>
      <c r="M354">
        <v>5.75</v>
      </c>
      <c r="N354">
        <v>4</v>
      </c>
      <c r="O354">
        <v>1.571</v>
      </c>
      <c r="P354">
        <v>5.6</v>
      </c>
      <c r="Q354">
        <v>4.3</v>
      </c>
      <c r="R354">
        <v>1.57</v>
      </c>
      <c r="S354">
        <v>0.18841941732676115</v>
      </c>
      <c r="T354">
        <v>0.19332936956980379</v>
      </c>
      <c r="U354">
        <v>0.618251213103435</v>
      </c>
      <c r="V354">
        <v>0.16399924316071743</v>
      </c>
      <c r="W354">
        <v>0.23574891204353129</v>
      </c>
      <c r="X354">
        <v>0.60025184479575122</v>
      </c>
      <c r="Y354">
        <v>0.17038083941145296</v>
      </c>
      <c r="Z354">
        <v>0.22189132574514803</v>
      </c>
      <c r="AA354">
        <v>0.60772783484339898</v>
      </c>
      <c r="AB354">
        <v>0.17426649996631052</v>
      </c>
      <c r="AC354">
        <v>0.21698986911949439</v>
      </c>
      <c r="AD354">
        <v>0.60874363091419503</v>
      </c>
      <c r="AE354" t="s">
        <v>72</v>
      </c>
      <c r="AF354" t="s">
        <v>63</v>
      </c>
      <c r="AG354">
        <v>13.68</v>
      </c>
      <c r="AH354">
        <v>31</v>
      </c>
      <c r="AI354">
        <v>7</v>
      </c>
      <c r="AJ354">
        <v>0</v>
      </c>
      <c r="AK354">
        <v>27.2</v>
      </c>
      <c r="AL354">
        <v>209</v>
      </c>
      <c r="AM354">
        <v>3175</v>
      </c>
      <c r="AN354">
        <v>70</v>
      </c>
      <c r="AO354">
        <v>68</v>
      </c>
      <c r="AP354">
        <v>68</v>
      </c>
      <c r="AQ354">
        <v>2.5</v>
      </c>
      <c r="AR354" t="s">
        <v>46</v>
      </c>
      <c r="AS354" t="s">
        <v>66</v>
      </c>
      <c r="AT354" t="s">
        <v>63</v>
      </c>
      <c r="AU354">
        <v>23.33</v>
      </c>
      <c r="AV354">
        <v>27</v>
      </c>
      <c r="AW354">
        <v>2</v>
      </c>
      <c r="AX354">
        <v>1</v>
      </c>
      <c r="AY354">
        <v>29.3</v>
      </c>
      <c r="AZ354">
        <v>93</v>
      </c>
      <c r="BA354">
        <v>5011</v>
      </c>
      <c r="BB354">
        <v>74</v>
      </c>
      <c r="BC354">
        <v>69</v>
      </c>
      <c r="BD354">
        <v>68</v>
      </c>
      <c r="BE354">
        <v>3</v>
      </c>
      <c r="BF354" t="s">
        <v>28</v>
      </c>
      <c r="BG354">
        <v>5</v>
      </c>
      <c r="BH354">
        <v>48</v>
      </c>
      <c r="BI354">
        <v>0.40600000000000003</v>
      </c>
      <c r="BJ354" t="s">
        <v>271</v>
      </c>
      <c r="BK354">
        <v>0.51719999999999999</v>
      </c>
      <c r="BL354">
        <v>0.4</v>
      </c>
      <c r="BM354">
        <v>1.55</v>
      </c>
      <c r="BN354">
        <v>1.28</v>
      </c>
    </row>
    <row r="355" spans="1:66" x14ac:dyDescent="0.25">
      <c r="A355">
        <v>3</v>
      </c>
      <c r="B355">
        <v>-2</v>
      </c>
      <c r="C355">
        <v>4</v>
      </c>
      <c r="D355">
        <v>1.7066666666666668</v>
      </c>
      <c r="E355">
        <v>3.8666666666666667</v>
      </c>
      <c r="F355">
        <v>4.9333333333333336</v>
      </c>
      <c r="G355" s="40">
        <v>0.52</v>
      </c>
      <c r="H355" s="40">
        <v>0.3</v>
      </c>
      <c r="I355" s="40">
        <f t="shared" si="3"/>
        <v>0.18</v>
      </c>
      <c r="J355">
        <v>1.72</v>
      </c>
      <c r="K355">
        <v>3.65</v>
      </c>
      <c r="L355">
        <v>4.75</v>
      </c>
      <c r="M355">
        <v>1.7</v>
      </c>
      <c r="N355">
        <v>3.85</v>
      </c>
      <c r="O355">
        <v>4.75</v>
      </c>
      <c r="P355">
        <v>1.7</v>
      </c>
      <c r="Q355">
        <v>4.0999999999999996</v>
      </c>
      <c r="R355">
        <v>5.3</v>
      </c>
      <c r="S355">
        <v>0.57393558244789544</v>
      </c>
      <c r="T355">
        <v>0.21823932243412975</v>
      </c>
      <c r="U355">
        <v>0.20782509511797476</v>
      </c>
      <c r="V355">
        <v>0.55572437894097093</v>
      </c>
      <c r="W355">
        <v>0.24538479070120792</v>
      </c>
      <c r="X355">
        <v>0.19889083035782115</v>
      </c>
      <c r="Y355">
        <v>0.5762397242110846</v>
      </c>
      <c r="Z355">
        <v>0.2389286661363034</v>
      </c>
      <c r="AA355">
        <v>0.18483160965261206</v>
      </c>
      <c r="AB355">
        <v>0.56863322853331699</v>
      </c>
      <c r="AC355">
        <v>0.23418425975721369</v>
      </c>
      <c r="AD355">
        <v>0.19718251170946932</v>
      </c>
      <c r="AE355" t="s">
        <v>84</v>
      </c>
      <c r="AF355" t="s">
        <v>85</v>
      </c>
      <c r="AG355">
        <v>115.65</v>
      </c>
      <c r="AH355">
        <v>32</v>
      </c>
      <c r="AI355">
        <v>7</v>
      </c>
      <c r="AJ355">
        <v>7</v>
      </c>
      <c r="AK355">
        <v>27.6</v>
      </c>
      <c r="AL355">
        <v>4</v>
      </c>
      <c r="AM355">
        <v>11425</v>
      </c>
      <c r="AN355">
        <v>78</v>
      </c>
      <c r="AO355">
        <v>78</v>
      </c>
      <c r="AP355">
        <v>77</v>
      </c>
      <c r="AQ355">
        <v>4</v>
      </c>
      <c r="AR355" t="s">
        <v>29</v>
      </c>
      <c r="AS355" t="s">
        <v>118</v>
      </c>
      <c r="AT355" t="s">
        <v>108</v>
      </c>
      <c r="AU355">
        <v>36.35</v>
      </c>
      <c r="AV355">
        <v>43</v>
      </c>
      <c r="AW355">
        <v>3</v>
      </c>
      <c r="AX355">
        <v>0</v>
      </c>
      <c r="AY355">
        <v>25.3</v>
      </c>
      <c r="AZ355">
        <v>89</v>
      </c>
      <c r="BA355">
        <v>5108</v>
      </c>
      <c r="BB355">
        <v>71</v>
      </c>
      <c r="BC355">
        <v>74</v>
      </c>
      <c r="BD355">
        <v>72</v>
      </c>
      <c r="BE355">
        <v>3.5</v>
      </c>
      <c r="BF355" t="s">
        <v>29</v>
      </c>
      <c r="BG355">
        <v>0</v>
      </c>
      <c r="BH355">
        <v>1</v>
      </c>
      <c r="BI355">
        <v>0</v>
      </c>
      <c r="BJ355" t="s">
        <v>271</v>
      </c>
      <c r="BK355">
        <v>0.65310000000000001</v>
      </c>
      <c r="BL355">
        <v>0.4839</v>
      </c>
      <c r="BM355">
        <v>2.12</v>
      </c>
      <c r="BN355">
        <v>1.52</v>
      </c>
    </row>
    <row r="356" spans="1:66" x14ac:dyDescent="0.25">
      <c r="A356">
        <v>3</v>
      </c>
      <c r="B356">
        <v>-1</v>
      </c>
      <c r="C356">
        <v>3</v>
      </c>
      <c r="D356">
        <v>4.8166666666666664</v>
      </c>
      <c r="E356">
        <v>3.9499999999999997</v>
      </c>
      <c r="F356">
        <v>1.6266666666666667</v>
      </c>
      <c r="G356" s="40">
        <v>0.28999999999999998</v>
      </c>
      <c r="H356" s="40">
        <v>0.15</v>
      </c>
      <c r="I356" s="40">
        <f t="shared" si="3"/>
        <v>0.55999999999999994</v>
      </c>
      <c r="J356">
        <v>4.8</v>
      </c>
      <c r="K356">
        <v>3.85</v>
      </c>
      <c r="L356">
        <v>1.6</v>
      </c>
      <c r="M356">
        <v>4.75</v>
      </c>
      <c r="N356">
        <v>4</v>
      </c>
      <c r="O356">
        <v>1.65</v>
      </c>
      <c r="P356">
        <v>4.9000000000000004</v>
      </c>
      <c r="Q356">
        <v>4</v>
      </c>
      <c r="R356">
        <v>1.63</v>
      </c>
      <c r="S356">
        <v>0.19972067039106148</v>
      </c>
      <c r="T356">
        <v>0.20111731843575417</v>
      </c>
      <c r="U356">
        <v>0.59916201117318435</v>
      </c>
      <c r="V356">
        <v>0.19738317757009347</v>
      </c>
      <c r="W356">
        <v>0.23439252336448596</v>
      </c>
      <c r="X356">
        <v>0.5682242990654206</v>
      </c>
      <c r="Y356">
        <v>0.19116310434808104</v>
      </c>
      <c r="Z356">
        <v>0.23417480282639927</v>
      </c>
      <c r="AA356">
        <v>0.57466209282551972</v>
      </c>
      <c r="AB356">
        <v>0.19608898410307865</v>
      </c>
      <c r="AC356">
        <v>0.22322821487554648</v>
      </c>
      <c r="AD356">
        <v>0.58068280102137493</v>
      </c>
      <c r="AE356" t="s">
        <v>127</v>
      </c>
      <c r="AF356" t="s">
        <v>126</v>
      </c>
      <c r="AG356">
        <v>8.4</v>
      </c>
      <c r="AH356">
        <v>27</v>
      </c>
      <c r="AI356">
        <v>7</v>
      </c>
      <c r="AJ356">
        <v>1</v>
      </c>
      <c r="AK356">
        <v>26.6</v>
      </c>
      <c r="AL356">
        <v>705</v>
      </c>
      <c r="AM356">
        <v>653</v>
      </c>
      <c r="AN356">
        <v>68</v>
      </c>
      <c r="AO356">
        <v>69</v>
      </c>
      <c r="AP356">
        <v>64</v>
      </c>
      <c r="AQ356">
        <v>2.5</v>
      </c>
      <c r="AR356" t="s">
        <v>46</v>
      </c>
      <c r="AS356" t="s">
        <v>239</v>
      </c>
      <c r="AT356" t="s">
        <v>238</v>
      </c>
      <c r="AU356">
        <v>21.75</v>
      </c>
      <c r="AV356">
        <v>30</v>
      </c>
      <c r="AW356">
        <v>7</v>
      </c>
      <c r="AX356">
        <v>4</v>
      </c>
      <c r="AY356">
        <v>27.8</v>
      </c>
      <c r="AZ356">
        <v>129</v>
      </c>
      <c r="BA356">
        <v>4117</v>
      </c>
      <c r="BB356">
        <v>70</v>
      </c>
      <c r="BC356">
        <v>70</v>
      </c>
      <c r="BD356">
        <v>71</v>
      </c>
      <c r="BE356">
        <v>3</v>
      </c>
      <c r="BF356" t="s">
        <v>29</v>
      </c>
      <c r="BG356">
        <v>2</v>
      </c>
      <c r="BH356">
        <v>6</v>
      </c>
      <c r="BI356">
        <v>0.66700000000000004</v>
      </c>
      <c r="BJ356" t="s">
        <v>286</v>
      </c>
      <c r="BK356">
        <v>0.3947</v>
      </c>
      <c r="BL356">
        <v>0.5</v>
      </c>
      <c r="BM356">
        <v>1.47</v>
      </c>
      <c r="BN356">
        <v>1.77</v>
      </c>
    </row>
    <row r="357" spans="1:66" x14ac:dyDescent="0.25">
      <c r="A357">
        <v>3</v>
      </c>
      <c r="B357">
        <v>-3</v>
      </c>
      <c r="C357">
        <v>5</v>
      </c>
      <c r="D357">
        <v>1.5366666666666668</v>
      </c>
      <c r="E357">
        <v>3.9333333333333336</v>
      </c>
      <c r="F357">
        <v>5.7166666666666659</v>
      </c>
      <c r="G357" s="40">
        <v>0.43</v>
      </c>
      <c r="H357" s="40">
        <v>0.32</v>
      </c>
      <c r="I357" s="40">
        <f t="shared" si="3"/>
        <v>0.25000000000000006</v>
      </c>
      <c r="J357">
        <v>1.5</v>
      </c>
      <c r="K357">
        <v>3.9</v>
      </c>
      <c r="L357">
        <v>5.8</v>
      </c>
      <c r="M357">
        <v>1.55</v>
      </c>
      <c r="N357">
        <v>3.95</v>
      </c>
      <c r="O357">
        <v>5.75</v>
      </c>
      <c r="P357">
        <v>1.56</v>
      </c>
      <c r="Q357">
        <v>3.95</v>
      </c>
      <c r="R357">
        <v>5.6</v>
      </c>
      <c r="S357">
        <v>0.64481663297718728</v>
      </c>
      <c r="T357">
        <v>0.18842044470112621</v>
      </c>
      <c r="U357">
        <v>0.16676292232168638</v>
      </c>
      <c r="V357">
        <v>0.60169547652162392</v>
      </c>
      <c r="W357">
        <v>0.23610835154646004</v>
      </c>
      <c r="X357">
        <v>0.16219617193191602</v>
      </c>
      <c r="Y357">
        <v>0.59754713922956404</v>
      </c>
      <c r="Z357">
        <v>0.23599330055648604</v>
      </c>
      <c r="AA357">
        <v>0.16645956021395</v>
      </c>
      <c r="AB357">
        <v>0.61468641624279174</v>
      </c>
      <c r="AC357">
        <v>0.22017403226802409</v>
      </c>
      <c r="AD357">
        <v>0.16513955148918413</v>
      </c>
      <c r="AE357" t="s">
        <v>136</v>
      </c>
      <c r="AF357" t="s">
        <v>134</v>
      </c>
      <c r="AG357">
        <v>13.58</v>
      </c>
      <c r="AH357">
        <v>24</v>
      </c>
      <c r="AI357">
        <v>6</v>
      </c>
      <c r="AJ357">
        <v>3</v>
      </c>
      <c r="AK357">
        <v>27</v>
      </c>
      <c r="AL357">
        <v>359</v>
      </c>
      <c r="AM357">
        <v>2085</v>
      </c>
      <c r="AN357">
        <v>67</v>
      </c>
      <c r="AO357">
        <v>67</v>
      </c>
      <c r="AP357">
        <v>64</v>
      </c>
      <c r="AQ357">
        <v>2.5</v>
      </c>
      <c r="AR357" t="s">
        <v>46</v>
      </c>
      <c r="AS357" t="s">
        <v>98</v>
      </c>
      <c r="AT357" t="s">
        <v>85</v>
      </c>
      <c r="AU357">
        <v>31.9</v>
      </c>
      <c r="AV357">
        <v>26</v>
      </c>
      <c r="AW357">
        <v>6</v>
      </c>
      <c r="AX357">
        <v>0</v>
      </c>
      <c r="AY357">
        <v>25.3</v>
      </c>
      <c r="AZ357">
        <v>166</v>
      </c>
      <c r="BA357">
        <v>3764</v>
      </c>
      <c r="BB357">
        <v>74</v>
      </c>
      <c r="BC357">
        <v>72</v>
      </c>
      <c r="BD357">
        <v>70</v>
      </c>
      <c r="BE357">
        <v>3.5</v>
      </c>
      <c r="BF357" t="s">
        <v>29</v>
      </c>
      <c r="BG357">
        <v>1</v>
      </c>
      <c r="BH357">
        <v>3</v>
      </c>
      <c r="BI357">
        <v>1</v>
      </c>
      <c r="BJ357" t="s">
        <v>286</v>
      </c>
      <c r="BK357">
        <v>0.44119999999999998</v>
      </c>
      <c r="BL357">
        <v>0.43240000000000001</v>
      </c>
      <c r="BM357">
        <v>1.62</v>
      </c>
      <c r="BN357">
        <v>1.46</v>
      </c>
    </row>
    <row r="358" spans="1:66" x14ac:dyDescent="0.25">
      <c r="A358">
        <v>1</v>
      </c>
      <c r="B358">
        <v>3</v>
      </c>
      <c r="C358">
        <v>4</v>
      </c>
      <c r="D358">
        <v>2.21</v>
      </c>
      <c r="E358">
        <v>3.3333333333333335</v>
      </c>
      <c r="F358">
        <v>3.2166666666666663</v>
      </c>
      <c r="G358" s="40">
        <v>0.56000000000000005</v>
      </c>
      <c r="H358" s="40">
        <v>0.23</v>
      </c>
      <c r="I358" s="40">
        <f t="shared" si="3"/>
        <v>0.20999999999999994</v>
      </c>
      <c r="J358">
        <v>2.23</v>
      </c>
      <c r="K358">
        <v>3.35</v>
      </c>
      <c r="L358">
        <v>3.15</v>
      </c>
      <c r="M358">
        <v>2.2000000000000002</v>
      </c>
      <c r="N358">
        <v>3.3</v>
      </c>
      <c r="O358">
        <v>3.3</v>
      </c>
      <c r="P358">
        <v>2.2000000000000002</v>
      </c>
      <c r="Q358">
        <v>3.35</v>
      </c>
      <c r="R358">
        <v>3.2</v>
      </c>
      <c r="S358">
        <v>0.43458957263890974</v>
      </c>
      <c r="T358">
        <v>0.25774860292148105</v>
      </c>
      <c r="U358">
        <v>0.30766182443960916</v>
      </c>
      <c r="V358">
        <v>0.42857142857142855</v>
      </c>
      <c r="W358">
        <v>0.28571428571428575</v>
      </c>
      <c r="X358">
        <v>0.28571428571428575</v>
      </c>
      <c r="Y358">
        <v>0.4265817747711898</v>
      </c>
      <c r="Z358">
        <v>0.2801432550736172</v>
      </c>
      <c r="AA358">
        <v>0.29327497015519299</v>
      </c>
      <c r="AB358">
        <v>0.42991425866050936</v>
      </c>
      <c r="AC358">
        <v>0.27453538123646132</v>
      </c>
      <c r="AD358">
        <v>0.29555036010302932</v>
      </c>
      <c r="AE358" t="s">
        <v>272</v>
      </c>
      <c r="AF358" t="s">
        <v>134</v>
      </c>
      <c r="AG358">
        <v>16.5</v>
      </c>
      <c r="AH358">
        <v>31</v>
      </c>
      <c r="AI358">
        <v>8</v>
      </c>
      <c r="AJ358">
        <v>2</v>
      </c>
      <c r="AK358">
        <v>27.5</v>
      </c>
      <c r="AL358">
        <v>546</v>
      </c>
      <c r="AM358">
        <v>1204</v>
      </c>
      <c r="AN358">
        <v>69</v>
      </c>
      <c r="AO358">
        <v>66</v>
      </c>
      <c r="AP358">
        <v>68</v>
      </c>
      <c r="AQ358">
        <v>2.5</v>
      </c>
      <c r="AR358" t="s">
        <v>29</v>
      </c>
      <c r="AS358" t="s">
        <v>114</v>
      </c>
      <c r="AT358" t="s">
        <v>108</v>
      </c>
      <c r="AU358">
        <v>41.98</v>
      </c>
      <c r="AV358">
        <v>33</v>
      </c>
      <c r="AW358">
        <v>5</v>
      </c>
      <c r="AX358">
        <v>1</v>
      </c>
      <c r="AY358">
        <v>25.2</v>
      </c>
      <c r="AZ358">
        <v>40</v>
      </c>
      <c r="BA358">
        <v>7098</v>
      </c>
      <c r="BB358">
        <v>74</v>
      </c>
      <c r="BC358">
        <v>73</v>
      </c>
      <c r="BD358">
        <v>73</v>
      </c>
      <c r="BE358">
        <v>3.5</v>
      </c>
      <c r="BF358" t="s">
        <v>29</v>
      </c>
      <c r="BG358">
        <v>0</v>
      </c>
      <c r="BH358">
        <v>7</v>
      </c>
      <c r="BI358">
        <v>0.4</v>
      </c>
      <c r="BJ358" t="s">
        <v>271</v>
      </c>
      <c r="BK358">
        <v>0.5</v>
      </c>
      <c r="BL358">
        <v>0.39389999999999997</v>
      </c>
      <c r="BM358">
        <v>1.48</v>
      </c>
      <c r="BN358">
        <v>1.3</v>
      </c>
    </row>
    <row r="359" spans="1:66" x14ac:dyDescent="0.25">
      <c r="A359">
        <v>1</v>
      </c>
      <c r="B359">
        <v>2</v>
      </c>
      <c r="C359">
        <v>2</v>
      </c>
      <c r="D359">
        <v>1.7266666666666666</v>
      </c>
      <c r="E359">
        <v>3.8333333333333335</v>
      </c>
      <c r="F359">
        <v>4.5</v>
      </c>
      <c r="G359" s="40">
        <v>0.28000000000000003</v>
      </c>
      <c r="H359" s="40">
        <v>0.23</v>
      </c>
      <c r="I359" s="40">
        <f t="shared" si="3"/>
        <v>0.49</v>
      </c>
      <c r="J359">
        <v>1.73</v>
      </c>
      <c r="K359">
        <v>3.85</v>
      </c>
      <c r="L359">
        <v>4.4000000000000004</v>
      </c>
      <c r="M359">
        <v>1.75</v>
      </c>
      <c r="N359">
        <v>3.75</v>
      </c>
      <c r="O359">
        <v>4.5</v>
      </c>
      <c r="P359">
        <v>1.7</v>
      </c>
      <c r="Q359">
        <v>3.9</v>
      </c>
      <c r="R359">
        <v>4.5999999999999996</v>
      </c>
      <c r="S359">
        <v>0.5671817045035874</v>
      </c>
      <c r="T359">
        <v>0.20981276168022939</v>
      </c>
      <c r="U359">
        <v>0.22300553381618318</v>
      </c>
      <c r="V359">
        <v>0.53892215568862267</v>
      </c>
      <c r="W359">
        <v>0.25149700598802388</v>
      </c>
      <c r="X359">
        <v>0.20958083832335328</v>
      </c>
      <c r="Y359">
        <v>0.55387465267057734</v>
      </c>
      <c r="Z359">
        <v>0.24143254090768757</v>
      </c>
      <c r="AA359">
        <v>0.20469280642173512</v>
      </c>
      <c r="AB359">
        <v>0.5533261709542624</v>
      </c>
      <c r="AC359">
        <v>0.23424743619198027</v>
      </c>
      <c r="AD359">
        <v>0.2124263928537572</v>
      </c>
      <c r="AE359" t="s">
        <v>247</v>
      </c>
      <c r="AF359" t="s">
        <v>246</v>
      </c>
      <c r="AG359">
        <v>12.3</v>
      </c>
      <c r="AH359">
        <v>30</v>
      </c>
      <c r="AI359">
        <v>6</v>
      </c>
      <c r="AJ359">
        <v>2</v>
      </c>
      <c r="AK359">
        <v>24.6</v>
      </c>
      <c r="AL359">
        <v>215</v>
      </c>
      <c r="AM359">
        <v>3127</v>
      </c>
      <c r="AN359">
        <v>73</v>
      </c>
      <c r="AO359">
        <v>70</v>
      </c>
      <c r="AP359">
        <v>69</v>
      </c>
      <c r="AQ359">
        <v>3</v>
      </c>
      <c r="AR359" t="s">
        <v>46</v>
      </c>
      <c r="AS359" t="s">
        <v>89</v>
      </c>
      <c r="AT359" t="s">
        <v>85</v>
      </c>
      <c r="AU359">
        <v>27.63</v>
      </c>
      <c r="AV359">
        <v>32</v>
      </c>
      <c r="AW359">
        <v>5</v>
      </c>
      <c r="AX359">
        <v>1</v>
      </c>
      <c r="AY359">
        <v>26</v>
      </c>
      <c r="AZ359">
        <v>78</v>
      </c>
      <c r="BA359">
        <v>5364</v>
      </c>
      <c r="BB359">
        <v>72</v>
      </c>
      <c r="BC359">
        <v>67</v>
      </c>
      <c r="BD359">
        <v>71</v>
      </c>
      <c r="BE359">
        <v>3</v>
      </c>
      <c r="BF359" t="s">
        <v>29</v>
      </c>
      <c r="BG359">
        <v>-2</v>
      </c>
      <c r="BH359">
        <v>3</v>
      </c>
      <c r="BI359">
        <v>0.33300000000000002</v>
      </c>
      <c r="BJ359" t="s">
        <v>271</v>
      </c>
      <c r="BK359">
        <v>0.5</v>
      </c>
      <c r="BL359">
        <v>0.46150000000000002</v>
      </c>
      <c r="BM359">
        <v>1.42</v>
      </c>
      <c r="BN359">
        <v>0.95</v>
      </c>
    </row>
    <row r="360" spans="1:66" x14ac:dyDescent="0.25">
      <c r="A360">
        <v>1</v>
      </c>
      <c r="B360">
        <v>2</v>
      </c>
      <c r="C360">
        <v>2</v>
      </c>
      <c r="D360">
        <v>2.5299999999999998</v>
      </c>
      <c r="E360">
        <v>3.3333333333333335</v>
      </c>
      <c r="F360">
        <v>2.7333333333333329</v>
      </c>
      <c r="G360" s="40">
        <v>0.3</v>
      </c>
      <c r="H360" s="40">
        <v>0.21</v>
      </c>
      <c r="I360" s="40">
        <f t="shared" si="3"/>
        <v>0.49</v>
      </c>
      <c r="J360">
        <v>2.54</v>
      </c>
      <c r="K360">
        <v>3.3</v>
      </c>
      <c r="L360">
        <v>2.75</v>
      </c>
      <c r="M360">
        <v>2.5499999999999998</v>
      </c>
      <c r="N360">
        <v>3.35</v>
      </c>
      <c r="O360">
        <v>2.7</v>
      </c>
      <c r="P360">
        <v>2.5</v>
      </c>
      <c r="Q360">
        <v>3.35</v>
      </c>
      <c r="R360">
        <v>2.75</v>
      </c>
      <c r="S360">
        <v>0.38211780949045476</v>
      </c>
      <c r="T360">
        <v>0.26494428647108881</v>
      </c>
      <c r="U360">
        <v>0.35293790403845643</v>
      </c>
      <c r="V360">
        <v>0.36959852896107881</v>
      </c>
      <c r="W360">
        <v>0.2813361936867913</v>
      </c>
      <c r="X360">
        <v>0.34906527735212994</v>
      </c>
      <c r="Y360">
        <v>0.37659683188553916</v>
      </c>
      <c r="Z360">
        <v>0.28104241185487994</v>
      </c>
      <c r="AA360">
        <v>0.34236075625958101</v>
      </c>
      <c r="AB360">
        <v>0.37610439011235758</v>
      </c>
      <c r="AC360">
        <v>0.27577429733758668</v>
      </c>
      <c r="AD360">
        <v>0.34812131255005579</v>
      </c>
      <c r="AE360" t="s">
        <v>125</v>
      </c>
      <c r="AF360" t="s">
        <v>126</v>
      </c>
      <c r="AG360">
        <v>13.2</v>
      </c>
      <c r="AH360">
        <v>33</v>
      </c>
      <c r="AI360">
        <v>6</v>
      </c>
      <c r="AJ360">
        <v>2</v>
      </c>
      <c r="AK360">
        <v>25.8</v>
      </c>
      <c r="AL360">
        <v>648</v>
      </c>
      <c r="AM360">
        <v>911</v>
      </c>
      <c r="AN360">
        <v>73</v>
      </c>
      <c r="AO360">
        <v>70</v>
      </c>
      <c r="AP360">
        <v>72</v>
      </c>
      <c r="AQ360">
        <v>3.5</v>
      </c>
      <c r="AR360" t="s">
        <v>28</v>
      </c>
      <c r="AS360" t="s">
        <v>67</v>
      </c>
      <c r="AT360" t="s">
        <v>63</v>
      </c>
      <c r="AU360">
        <v>19.75</v>
      </c>
      <c r="AV360">
        <v>33</v>
      </c>
      <c r="AW360">
        <v>2</v>
      </c>
      <c r="AX360">
        <v>1</v>
      </c>
      <c r="AY360">
        <v>24.9</v>
      </c>
      <c r="AZ360">
        <v>104</v>
      </c>
      <c r="BA360">
        <v>4793</v>
      </c>
      <c r="BB360">
        <v>68</v>
      </c>
      <c r="BC360">
        <v>70</v>
      </c>
      <c r="BD360">
        <v>71</v>
      </c>
      <c r="BE360">
        <v>3</v>
      </c>
      <c r="BF360" t="s">
        <v>29</v>
      </c>
      <c r="BG360">
        <v>-3</v>
      </c>
      <c r="BH360">
        <v>4</v>
      </c>
      <c r="BI360">
        <v>0.2</v>
      </c>
      <c r="BJ360" t="s">
        <v>271</v>
      </c>
      <c r="BK360">
        <v>0.51060000000000005</v>
      </c>
      <c r="BL360">
        <v>0.42859999999999998</v>
      </c>
      <c r="BM360">
        <v>1.74</v>
      </c>
      <c r="BN360">
        <v>1.75</v>
      </c>
    </row>
    <row r="361" spans="1:66" x14ac:dyDescent="0.25">
      <c r="A361">
        <v>1</v>
      </c>
      <c r="B361">
        <v>3</v>
      </c>
      <c r="C361">
        <v>4</v>
      </c>
      <c r="D361">
        <v>1.3699999999999999</v>
      </c>
      <c r="E361">
        <v>4.583333333333333</v>
      </c>
      <c r="F361">
        <v>7.666666666666667</v>
      </c>
      <c r="G361" s="40">
        <v>0.35</v>
      </c>
      <c r="H361" s="40">
        <v>0.2</v>
      </c>
      <c r="I361" s="40">
        <f t="shared" si="3"/>
        <v>0.45</v>
      </c>
      <c r="J361">
        <v>1.33</v>
      </c>
      <c r="K361">
        <v>4.5</v>
      </c>
      <c r="L361">
        <v>8</v>
      </c>
      <c r="M361">
        <v>1.4</v>
      </c>
      <c r="N361">
        <v>4.5</v>
      </c>
      <c r="O361">
        <v>7.5</v>
      </c>
      <c r="P361">
        <v>1.38</v>
      </c>
      <c r="Q361">
        <v>4.75</v>
      </c>
      <c r="R361">
        <v>7.5</v>
      </c>
      <c r="S361">
        <v>0.73128266259906816</v>
      </c>
      <c r="T361">
        <v>0.14714159474383673</v>
      </c>
      <c r="U361">
        <v>0.1215757426570951</v>
      </c>
      <c r="V361">
        <v>0.66765578635014833</v>
      </c>
      <c r="W361">
        <v>0.20771513353115725</v>
      </c>
      <c r="X361">
        <v>0.12462908011869434</v>
      </c>
      <c r="Y361">
        <v>0.67818389491719022</v>
      </c>
      <c r="Z361">
        <v>0.19703026841804683</v>
      </c>
      <c r="AA361">
        <v>0.12478583666476299</v>
      </c>
      <c r="AB361">
        <v>0.69237411462213549</v>
      </c>
      <c r="AC361">
        <v>0.18396233223101358</v>
      </c>
      <c r="AD361">
        <v>0.1236635531468508</v>
      </c>
      <c r="AE361" t="s">
        <v>115</v>
      </c>
      <c r="AF361" t="s">
        <v>108</v>
      </c>
      <c r="AG361">
        <v>62.68</v>
      </c>
      <c r="AH361">
        <v>34</v>
      </c>
      <c r="AI361">
        <v>5</v>
      </c>
      <c r="AJ361">
        <v>3</v>
      </c>
      <c r="AK361">
        <v>25.6</v>
      </c>
      <c r="AL361">
        <v>64</v>
      </c>
      <c r="AM361">
        <v>6079</v>
      </c>
      <c r="AN361">
        <v>72</v>
      </c>
      <c r="AO361">
        <v>74</v>
      </c>
      <c r="AP361">
        <v>72</v>
      </c>
      <c r="AQ361">
        <v>3.5</v>
      </c>
      <c r="AR361" t="s">
        <v>29</v>
      </c>
      <c r="AS361" t="s">
        <v>244</v>
      </c>
      <c r="AT361" t="s">
        <v>238</v>
      </c>
      <c r="AU361">
        <v>3.43</v>
      </c>
      <c r="AV361">
        <v>31</v>
      </c>
      <c r="AW361">
        <v>6</v>
      </c>
      <c r="AX361">
        <v>0</v>
      </c>
      <c r="AY361">
        <v>28.8</v>
      </c>
      <c r="AZ361">
        <v>491</v>
      </c>
      <c r="BA361">
        <v>1407</v>
      </c>
      <c r="BB361">
        <v>66</v>
      </c>
      <c r="BC361">
        <v>59</v>
      </c>
      <c r="BD361">
        <v>65</v>
      </c>
      <c r="BE361">
        <v>2</v>
      </c>
      <c r="BF361" t="s">
        <v>29</v>
      </c>
      <c r="BG361">
        <v>0</v>
      </c>
      <c r="BH361">
        <v>1</v>
      </c>
      <c r="BI361">
        <v>0</v>
      </c>
      <c r="BJ361" t="s">
        <v>286</v>
      </c>
      <c r="BK361">
        <v>0.3448</v>
      </c>
      <c r="BL361">
        <v>0.28570000000000001</v>
      </c>
      <c r="BM361">
        <v>1.1599999999999999</v>
      </c>
      <c r="BN361">
        <v>1</v>
      </c>
    </row>
    <row r="362" spans="1:66" x14ac:dyDescent="0.25">
      <c r="A362">
        <v>3</v>
      </c>
      <c r="B362">
        <v>-3</v>
      </c>
      <c r="C362">
        <v>3</v>
      </c>
      <c r="D362">
        <v>1.5</v>
      </c>
      <c r="E362">
        <v>4.1333333333333329</v>
      </c>
      <c r="F362">
        <v>5.8</v>
      </c>
      <c r="G362" s="40">
        <v>0.38</v>
      </c>
      <c r="H362" s="40">
        <v>0.22</v>
      </c>
      <c r="I362" s="40">
        <f t="shared" si="3"/>
        <v>0.4</v>
      </c>
      <c r="J362">
        <v>1.5</v>
      </c>
      <c r="K362">
        <v>4</v>
      </c>
      <c r="L362">
        <v>5.6</v>
      </c>
      <c r="M362">
        <v>1.5</v>
      </c>
      <c r="N362">
        <v>4.2</v>
      </c>
      <c r="O362">
        <v>6</v>
      </c>
      <c r="P362">
        <v>1.5</v>
      </c>
      <c r="Q362">
        <v>4.2</v>
      </c>
      <c r="R362">
        <v>5.8</v>
      </c>
      <c r="S362">
        <v>0.64254192409532207</v>
      </c>
      <c r="T362">
        <v>0.18534863195057372</v>
      </c>
      <c r="U362">
        <v>0.17210944395410413</v>
      </c>
      <c r="V362">
        <v>0.62222222222222223</v>
      </c>
      <c r="W362">
        <v>0.22222222222222224</v>
      </c>
      <c r="X362">
        <v>0.15555555555555556</v>
      </c>
      <c r="Y362">
        <v>0.61890243902439024</v>
      </c>
      <c r="Z362">
        <v>0.22103658536585366</v>
      </c>
      <c r="AA362">
        <v>0.1600609756097561</v>
      </c>
      <c r="AB362">
        <v>0.62788886178064485</v>
      </c>
      <c r="AC362">
        <v>0.20953581317954986</v>
      </c>
      <c r="AD362">
        <v>0.16257532503980524</v>
      </c>
      <c r="AE362" t="s">
        <v>128</v>
      </c>
      <c r="AF362" t="s">
        <v>126</v>
      </c>
      <c r="AG362">
        <v>6.88</v>
      </c>
      <c r="AH362">
        <v>28</v>
      </c>
      <c r="AI362">
        <v>7</v>
      </c>
      <c r="AJ362">
        <v>1</v>
      </c>
      <c r="AK362">
        <v>23.4</v>
      </c>
      <c r="AL362">
        <v>759</v>
      </c>
      <c r="AM362">
        <v>476</v>
      </c>
      <c r="AN362">
        <v>65</v>
      </c>
      <c r="AO362">
        <v>66</v>
      </c>
      <c r="AP362">
        <v>64</v>
      </c>
      <c r="AQ362">
        <v>2</v>
      </c>
      <c r="AR362" t="s">
        <v>29</v>
      </c>
      <c r="AS362" t="s">
        <v>90</v>
      </c>
      <c r="AT362" t="s">
        <v>85</v>
      </c>
      <c r="AU362">
        <v>52.93</v>
      </c>
      <c r="AV362">
        <v>37</v>
      </c>
      <c r="AW362">
        <v>4</v>
      </c>
      <c r="AX362">
        <v>2</v>
      </c>
      <c r="AY362">
        <v>26.1</v>
      </c>
      <c r="AZ362">
        <v>88</v>
      </c>
      <c r="BA362">
        <v>5121</v>
      </c>
      <c r="BB362">
        <v>75</v>
      </c>
      <c r="BC362">
        <v>73</v>
      </c>
      <c r="BD362">
        <v>73</v>
      </c>
      <c r="BE362">
        <v>3.5</v>
      </c>
      <c r="BF362" t="s">
        <v>29</v>
      </c>
      <c r="BG362">
        <v>1</v>
      </c>
      <c r="BH362">
        <v>3</v>
      </c>
      <c r="BI362">
        <v>1</v>
      </c>
      <c r="BJ362" t="s">
        <v>286</v>
      </c>
      <c r="BK362">
        <v>0.3947</v>
      </c>
      <c r="BL362">
        <v>0.45950000000000002</v>
      </c>
      <c r="BM362">
        <v>1.29</v>
      </c>
      <c r="BN362">
        <v>1.43</v>
      </c>
    </row>
    <row r="363" spans="1:66" x14ac:dyDescent="0.25">
      <c r="A363">
        <v>2</v>
      </c>
      <c r="B363">
        <v>0</v>
      </c>
      <c r="C363">
        <v>2</v>
      </c>
      <c r="D363">
        <v>4.3999999999999995</v>
      </c>
      <c r="E363">
        <v>3.3333333333333335</v>
      </c>
      <c r="F363">
        <v>1.9033333333333333</v>
      </c>
      <c r="G363" s="40">
        <v>0.28000000000000003</v>
      </c>
      <c r="H363" s="40">
        <v>0.46</v>
      </c>
      <c r="I363" s="40">
        <f t="shared" si="3"/>
        <v>0.25999999999999995</v>
      </c>
      <c r="J363">
        <v>4.4000000000000004</v>
      </c>
      <c r="K363">
        <v>3.35</v>
      </c>
      <c r="L363">
        <v>1.9</v>
      </c>
      <c r="M363">
        <v>4.5</v>
      </c>
      <c r="N363">
        <v>3.35</v>
      </c>
      <c r="O363">
        <v>1.86</v>
      </c>
      <c r="P363">
        <v>4.3</v>
      </c>
      <c r="Q363">
        <v>3.3</v>
      </c>
      <c r="R363">
        <v>1.95</v>
      </c>
      <c r="S363">
        <v>0.2273886599960761</v>
      </c>
      <c r="T363">
        <v>0.24602707474985289</v>
      </c>
      <c r="U363">
        <v>0.52658426525407109</v>
      </c>
      <c r="V363">
        <v>0.20996765062676914</v>
      </c>
      <c r="W363">
        <v>0.28204609785685403</v>
      </c>
      <c r="X363">
        <v>0.50798625151637689</v>
      </c>
      <c r="Y363">
        <v>0.22182006204756979</v>
      </c>
      <c r="Z363">
        <v>0.28903826266804544</v>
      </c>
      <c r="AA363">
        <v>0.48914167528438462</v>
      </c>
      <c r="AB363">
        <v>0.21972545755680498</v>
      </c>
      <c r="AC363">
        <v>0.27237047842491741</v>
      </c>
      <c r="AD363">
        <v>0.50790406401827759</v>
      </c>
      <c r="AE363" t="s">
        <v>149</v>
      </c>
      <c r="AF363" t="s">
        <v>141</v>
      </c>
      <c r="AG363">
        <v>271.52999999999997</v>
      </c>
      <c r="AH363">
        <v>27</v>
      </c>
      <c r="AI363">
        <v>6</v>
      </c>
      <c r="AJ363">
        <v>7</v>
      </c>
      <c r="AK363">
        <v>27.4</v>
      </c>
      <c r="AL363">
        <v>77</v>
      </c>
      <c r="AM363">
        <v>5396</v>
      </c>
      <c r="AN363">
        <v>80</v>
      </c>
      <c r="AO363">
        <v>79</v>
      </c>
      <c r="AP363">
        <v>78</v>
      </c>
      <c r="AQ363">
        <v>4.5</v>
      </c>
      <c r="AR363" t="s">
        <v>29</v>
      </c>
      <c r="AS363" t="s">
        <v>258</v>
      </c>
      <c r="AT363" t="s">
        <v>253</v>
      </c>
      <c r="AU363">
        <v>761.38</v>
      </c>
      <c r="AV363">
        <v>33</v>
      </c>
      <c r="AW363">
        <v>18</v>
      </c>
      <c r="AX363">
        <v>11</v>
      </c>
      <c r="AY363">
        <v>25.8</v>
      </c>
      <c r="AZ363">
        <v>39</v>
      </c>
      <c r="BA363">
        <v>7151</v>
      </c>
      <c r="BB363">
        <v>83</v>
      </c>
      <c r="BC363">
        <v>81</v>
      </c>
      <c r="BD363">
        <v>81</v>
      </c>
      <c r="BE363">
        <v>4.5</v>
      </c>
      <c r="BF363" t="s">
        <v>29</v>
      </c>
      <c r="BG363">
        <v>0</v>
      </c>
      <c r="BH363">
        <v>4</v>
      </c>
      <c r="BI363">
        <v>0</v>
      </c>
      <c r="BJ363" t="s">
        <v>283</v>
      </c>
      <c r="BK363">
        <v>0.51160000000000005</v>
      </c>
      <c r="BL363">
        <v>0.59650000000000003</v>
      </c>
      <c r="BM363">
        <v>1.79</v>
      </c>
      <c r="BN363">
        <v>2.02</v>
      </c>
    </row>
    <row r="364" spans="1:66" x14ac:dyDescent="0.25">
      <c r="A364">
        <v>2</v>
      </c>
      <c r="B364">
        <v>0</v>
      </c>
      <c r="C364">
        <v>2</v>
      </c>
      <c r="D364">
        <v>2.5933333333333333</v>
      </c>
      <c r="E364">
        <v>3.2166666666666668</v>
      </c>
      <c r="F364">
        <v>2.7533333333333334</v>
      </c>
      <c r="G364" s="40">
        <v>0.43</v>
      </c>
      <c r="H364" s="40">
        <v>0.36</v>
      </c>
      <c r="I364" s="40">
        <f>1-G364-H364</f>
        <v>0.21000000000000008</v>
      </c>
      <c r="J364">
        <v>2.6</v>
      </c>
      <c r="K364">
        <v>3.2</v>
      </c>
      <c r="L364">
        <v>2.75</v>
      </c>
      <c r="M364">
        <v>2.6</v>
      </c>
      <c r="N364">
        <v>3.25</v>
      </c>
      <c r="O364">
        <v>2.75</v>
      </c>
      <c r="P364">
        <v>2.58</v>
      </c>
      <c r="Q364">
        <v>3.2</v>
      </c>
      <c r="R364">
        <v>2.76</v>
      </c>
      <c r="S364">
        <v>0.37343406330687579</v>
      </c>
      <c r="T364">
        <v>0.27350100411207801</v>
      </c>
      <c r="U364">
        <v>0.35306493258104621</v>
      </c>
      <c r="V364">
        <v>0.36423841059602646</v>
      </c>
      <c r="W364">
        <v>0.29139072847682118</v>
      </c>
      <c r="X364">
        <v>0.3443708609271523</v>
      </c>
      <c r="Y364">
        <v>0.3648260136809755</v>
      </c>
      <c r="Z364">
        <v>0.29414097353028651</v>
      </c>
      <c r="AA364">
        <v>0.34103301278873799</v>
      </c>
      <c r="AB364">
        <v>0.36749949586129255</v>
      </c>
      <c r="AC364">
        <v>0.28634423537306192</v>
      </c>
      <c r="AD364">
        <v>0.34615626876564548</v>
      </c>
      <c r="AE364" t="s">
        <v>94</v>
      </c>
      <c r="AF364" t="s">
        <v>85</v>
      </c>
      <c r="AG364">
        <v>13.9</v>
      </c>
      <c r="AH364">
        <v>22</v>
      </c>
      <c r="AI364">
        <v>3</v>
      </c>
      <c r="AJ364">
        <v>0</v>
      </c>
      <c r="AK364">
        <v>27.1</v>
      </c>
      <c r="AL364">
        <v>126</v>
      </c>
      <c r="AM364">
        <v>4236</v>
      </c>
      <c r="AN364">
        <v>72</v>
      </c>
      <c r="AO364">
        <v>72</v>
      </c>
      <c r="AP364">
        <v>71</v>
      </c>
      <c r="AQ364">
        <v>3.5</v>
      </c>
      <c r="AR364" t="s">
        <v>28</v>
      </c>
      <c r="AS364" t="s">
        <v>133</v>
      </c>
      <c r="AT364" t="s">
        <v>134</v>
      </c>
      <c r="AU364">
        <v>11.73</v>
      </c>
      <c r="AV364">
        <v>21</v>
      </c>
      <c r="AW364">
        <v>7</v>
      </c>
      <c r="AX364">
        <v>2</v>
      </c>
      <c r="AY364">
        <v>27.2</v>
      </c>
      <c r="AZ364">
        <v>192</v>
      </c>
      <c r="BA364">
        <v>3470</v>
      </c>
      <c r="BB364">
        <v>67</v>
      </c>
      <c r="BC364">
        <v>72</v>
      </c>
      <c r="BD364">
        <v>68</v>
      </c>
      <c r="BE364">
        <v>3</v>
      </c>
      <c r="BF364" t="s">
        <v>29</v>
      </c>
      <c r="BG364">
        <v>0</v>
      </c>
      <c r="BH364">
        <v>1</v>
      </c>
      <c r="BI364">
        <v>0</v>
      </c>
      <c r="BJ364" t="s">
        <v>271</v>
      </c>
      <c r="BK364">
        <v>0.43140000000000001</v>
      </c>
      <c r="BL364">
        <v>0.5</v>
      </c>
      <c r="BM364">
        <v>1.31</v>
      </c>
      <c r="BN364">
        <v>1.95</v>
      </c>
    </row>
    <row r="365" spans="1:66" x14ac:dyDescent="0.25">
      <c r="A365">
        <v>2</v>
      </c>
      <c r="B365">
        <v>0</v>
      </c>
      <c r="C365">
        <v>0</v>
      </c>
      <c r="D365">
        <v>1.49</v>
      </c>
      <c r="E365">
        <v>4.3600000000000003</v>
      </c>
      <c r="F365">
        <v>6.166666666666667</v>
      </c>
      <c r="G365" s="40">
        <v>0.4</v>
      </c>
      <c r="H365" s="40">
        <v>0.22</v>
      </c>
      <c r="I365" s="40">
        <v>0.38</v>
      </c>
      <c r="J365">
        <v>1.48</v>
      </c>
      <c r="K365">
        <v>4.3</v>
      </c>
      <c r="L365">
        <v>6.4</v>
      </c>
      <c r="M365">
        <v>1.51</v>
      </c>
      <c r="N365">
        <v>4.33</v>
      </c>
      <c r="O365">
        <v>6</v>
      </c>
      <c r="P365">
        <v>1.48</v>
      </c>
      <c r="Q365">
        <v>4.45</v>
      </c>
      <c r="R365">
        <v>6.1</v>
      </c>
      <c r="S365">
        <v>0.67394085766449585</v>
      </c>
      <c r="T365">
        <v>0.17021031900058942</v>
      </c>
      <c r="U365">
        <v>0.15584882333491468</v>
      </c>
      <c r="V365">
        <v>0.62484517164001419</v>
      </c>
      <c r="W365">
        <v>0.21790212683058233</v>
      </c>
      <c r="X365">
        <v>0.15725270152940357</v>
      </c>
      <c r="Y365">
        <v>0.63483711031595691</v>
      </c>
      <c r="Z365">
        <v>0.21113683668935196</v>
      </c>
      <c r="AA365">
        <v>0.15402605299469119</v>
      </c>
      <c r="AB365">
        <v>0.64454104654015565</v>
      </c>
      <c r="AC365">
        <v>0.19974976084017459</v>
      </c>
      <c r="AD365">
        <v>0.15570919261966981</v>
      </c>
      <c r="AE365" t="s">
        <v>107</v>
      </c>
      <c r="AF365" t="s">
        <v>108</v>
      </c>
      <c r="AG365">
        <v>118.25</v>
      </c>
      <c r="AH365">
        <v>29</v>
      </c>
      <c r="AI365">
        <v>3</v>
      </c>
      <c r="AJ365">
        <v>6</v>
      </c>
      <c r="AK365">
        <v>26.1</v>
      </c>
      <c r="AL365">
        <v>2</v>
      </c>
      <c r="AM365">
        <v>13486</v>
      </c>
      <c r="AN365">
        <v>78</v>
      </c>
      <c r="AO365">
        <v>76</v>
      </c>
      <c r="AP365">
        <v>74</v>
      </c>
      <c r="AQ365">
        <v>4</v>
      </c>
      <c r="AR365" t="s">
        <v>29</v>
      </c>
      <c r="AS365" t="s">
        <v>92</v>
      </c>
      <c r="AT365" t="s">
        <v>85</v>
      </c>
      <c r="AU365">
        <v>65.13</v>
      </c>
      <c r="AV365">
        <v>32</v>
      </c>
      <c r="AW365">
        <v>5</v>
      </c>
      <c r="AX365">
        <v>1</v>
      </c>
      <c r="AY365">
        <v>25.7</v>
      </c>
      <c r="AZ365">
        <v>98</v>
      </c>
      <c r="BA365">
        <v>4872</v>
      </c>
      <c r="BB365">
        <v>73</v>
      </c>
      <c r="BC365">
        <v>73</v>
      </c>
      <c r="BD365">
        <v>73</v>
      </c>
      <c r="BE365">
        <v>3.5</v>
      </c>
      <c r="BF365" t="s">
        <v>28</v>
      </c>
      <c r="BG365">
        <v>1</v>
      </c>
      <c r="BH365">
        <v>3</v>
      </c>
      <c r="BI365">
        <v>1</v>
      </c>
      <c r="BJ365" t="s">
        <v>271</v>
      </c>
      <c r="BK365">
        <v>0.62860000000000005</v>
      </c>
      <c r="BL365">
        <v>0.46810000000000002</v>
      </c>
      <c r="BM365">
        <v>1.87</v>
      </c>
      <c r="BN365">
        <v>1.3</v>
      </c>
    </row>
    <row r="366" spans="1:66" x14ac:dyDescent="0.25">
      <c r="A366">
        <v>1</v>
      </c>
      <c r="B366">
        <v>3</v>
      </c>
      <c r="C366">
        <v>7</v>
      </c>
      <c r="D366">
        <v>1.3333333333333333</v>
      </c>
      <c r="E366">
        <v>5.2666666666666666</v>
      </c>
      <c r="F366">
        <v>8.0666666666666664</v>
      </c>
      <c r="G366" s="40">
        <v>0.53</v>
      </c>
      <c r="H366" s="40">
        <v>0.28000000000000003</v>
      </c>
      <c r="I366" s="40">
        <v>0.19</v>
      </c>
      <c r="J366">
        <v>1.33</v>
      </c>
      <c r="K366">
        <v>5.3</v>
      </c>
      <c r="L366">
        <v>8</v>
      </c>
      <c r="M366">
        <v>1.35</v>
      </c>
      <c r="N366">
        <v>5.0999999999999996</v>
      </c>
      <c r="O366">
        <v>8</v>
      </c>
      <c r="P366">
        <v>1.32</v>
      </c>
      <c r="Q366">
        <v>5.4</v>
      </c>
      <c r="R366">
        <v>8.1999999999999993</v>
      </c>
      <c r="S366">
        <v>0.74654594859838264</v>
      </c>
      <c r="T366">
        <v>0.12934078744713623</v>
      </c>
      <c r="U366">
        <v>0.12411326395448113</v>
      </c>
      <c r="V366">
        <v>0.69761477301872266</v>
      </c>
      <c r="W366">
        <v>0.18466273403436781</v>
      </c>
      <c r="X366">
        <v>0.11772249294690947</v>
      </c>
      <c r="Y366">
        <v>0.71153104512148091</v>
      </c>
      <c r="Z366">
        <v>0.17392981102969532</v>
      </c>
      <c r="AA366">
        <v>0.11453914384882376</v>
      </c>
      <c r="AB366">
        <v>0.71856392224619547</v>
      </c>
      <c r="AC366">
        <v>0.16264444417039978</v>
      </c>
      <c r="AD366">
        <v>0.11879163358340479</v>
      </c>
      <c r="AE366" t="s">
        <v>135</v>
      </c>
      <c r="AF366" t="s">
        <v>134</v>
      </c>
      <c r="AG366">
        <v>17.579999999999998</v>
      </c>
      <c r="AH366">
        <v>27</v>
      </c>
      <c r="AI366">
        <v>8</v>
      </c>
      <c r="AJ366">
        <v>4</v>
      </c>
      <c r="AK366">
        <v>27.3</v>
      </c>
      <c r="AL366">
        <v>314</v>
      </c>
      <c r="AM366">
        <v>2387</v>
      </c>
      <c r="AN366">
        <v>67</v>
      </c>
      <c r="AO366">
        <v>69</v>
      </c>
      <c r="AP366">
        <v>66</v>
      </c>
      <c r="AQ366">
        <v>2.5</v>
      </c>
      <c r="AR366" t="s">
        <v>28</v>
      </c>
      <c r="AS366" t="s">
        <v>129</v>
      </c>
      <c r="AT366" t="s">
        <v>126</v>
      </c>
      <c r="AU366">
        <v>9.0299999999999994</v>
      </c>
      <c r="AV366">
        <v>30</v>
      </c>
      <c r="AW366">
        <v>8</v>
      </c>
      <c r="AX366">
        <v>0</v>
      </c>
      <c r="AY366">
        <v>26.1</v>
      </c>
      <c r="AZ366">
        <v>769</v>
      </c>
      <c r="BA366">
        <v>445</v>
      </c>
      <c r="BB366">
        <v>69</v>
      </c>
      <c r="BC366">
        <v>66</v>
      </c>
      <c r="BD366">
        <v>68</v>
      </c>
      <c r="BE366">
        <v>2.5</v>
      </c>
      <c r="BF366" t="s">
        <v>29</v>
      </c>
      <c r="BG366">
        <v>0</v>
      </c>
      <c r="BH366">
        <v>1</v>
      </c>
      <c r="BI366">
        <v>0</v>
      </c>
      <c r="BJ366" t="s">
        <v>271</v>
      </c>
      <c r="BK366">
        <v>0.56100000000000005</v>
      </c>
      <c r="BL366">
        <v>0.45</v>
      </c>
      <c r="BM366">
        <v>1.85</v>
      </c>
      <c r="BN366">
        <v>1.6</v>
      </c>
    </row>
    <row r="367" spans="1:66" x14ac:dyDescent="0.25">
      <c r="A367">
        <v>1</v>
      </c>
      <c r="B367">
        <v>3</v>
      </c>
      <c r="C367">
        <v>4</v>
      </c>
      <c r="D367">
        <v>1.3</v>
      </c>
      <c r="E367">
        <v>5.0333333333333332</v>
      </c>
      <c r="F367">
        <v>8.9666666666666668</v>
      </c>
      <c r="G367" s="40">
        <v>0.42</v>
      </c>
      <c r="H367" s="40">
        <v>0.24</v>
      </c>
      <c r="I367" s="40">
        <v>0.34</v>
      </c>
      <c r="J367">
        <v>1.28</v>
      </c>
      <c r="K367">
        <v>5</v>
      </c>
      <c r="L367">
        <v>9</v>
      </c>
      <c r="M367">
        <v>1.3</v>
      </c>
      <c r="N367">
        <v>5</v>
      </c>
      <c r="O367">
        <v>9</v>
      </c>
      <c r="P367">
        <v>1.32</v>
      </c>
      <c r="Q367">
        <v>5.0999999999999996</v>
      </c>
      <c r="R367">
        <v>8.9</v>
      </c>
      <c r="S367">
        <v>0.76289804508771353</v>
      </c>
      <c r="T367">
        <v>0.12860089961092275</v>
      </c>
      <c r="U367">
        <v>0.1085010553013637</v>
      </c>
      <c r="V367">
        <v>0.71202531645569611</v>
      </c>
      <c r="W367">
        <v>0.185126582278481</v>
      </c>
      <c r="X367">
        <v>0.10284810126582278</v>
      </c>
      <c r="Y367">
        <v>0.71066228276185994</v>
      </c>
      <c r="Z367">
        <v>0.18393612024424613</v>
      </c>
      <c r="AA367">
        <v>0.10540159699389383</v>
      </c>
      <c r="AB367">
        <v>0.7285285481017566</v>
      </c>
      <c r="AC367">
        <v>0.16588786737788327</v>
      </c>
      <c r="AD367">
        <v>0.1055835845203601</v>
      </c>
      <c r="AE367" t="s">
        <v>111</v>
      </c>
      <c r="AF367" t="s">
        <v>108</v>
      </c>
      <c r="AG367">
        <v>33.93</v>
      </c>
      <c r="AH367">
        <v>41</v>
      </c>
      <c r="AI367">
        <v>4</v>
      </c>
      <c r="AJ367">
        <v>2</v>
      </c>
      <c r="AK367">
        <v>24.7</v>
      </c>
      <c r="AL367">
        <v>15</v>
      </c>
      <c r="AM367">
        <v>9286</v>
      </c>
      <c r="AN367">
        <v>70</v>
      </c>
      <c r="AO367">
        <v>71</v>
      </c>
      <c r="AP367">
        <v>72</v>
      </c>
      <c r="AQ367">
        <v>3.5</v>
      </c>
      <c r="AR367" t="s">
        <v>29</v>
      </c>
      <c r="AS367" t="s">
        <v>138</v>
      </c>
      <c r="AT367" t="s">
        <v>134</v>
      </c>
      <c r="AU367">
        <v>11.98</v>
      </c>
      <c r="AV367">
        <v>29</v>
      </c>
      <c r="AW367">
        <v>10</v>
      </c>
      <c r="AX367">
        <v>4</v>
      </c>
      <c r="AY367">
        <v>27.3</v>
      </c>
      <c r="AZ367">
        <v>817</v>
      </c>
      <c r="BA367">
        <v>297</v>
      </c>
      <c r="BB367">
        <v>65</v>
      </c>
      <c r="BC367">
        <v>65</v>
      </c>
      <c r="BD367">
        <v>65</v>
      </c>
      <c r="BE367">
        <v>2</v>
      </c>
      <c r="BF367" t="s">
        <v>29</v>
      </c>
      <c r="BG367">
        <v>1</v>
      </c>
      <c r="BH367">
        <v>3</v>
      </c>
      <c r="BI367">
        <v>1</v>
      </c>
      <c r="BJ367" t="s">
        <v>286</v>
      </c>
      <c r="BK367">
        <v>0.43940000000000001</v>
      </c>
      <c r="BL367">
        <v>0.375</v>
      </c>
      <c r="BM367">
        <v>1.29</v>
      </c>
      <c r="BN367">
        <v>1.91</v>
      </c>
    </row>
    <row r="368" spans="1:66" x14ac:dyDescent="0.25">
      <c r="A368">
        <v>2</v>
      </c>
      <c r="B368">
        <v>0</v>
      </c>
      <c r="C368">
        <v>0</v>
      </c>
      <c r="D368">
        <v>1.9000000000000001</v>
      </c>
      <c r="E368">
        <v>3.6833333333333336</v>
      </c>
      <c r="F368">
        <v>3.6166666666666667</v>
      </c>
      <c r="G368" s="40">
        <v>0.39</v>
      </c>
      <c r="H368" s="40">
        <v>0.23</v>
      </c>
      <c r="I368" s="40">
        <v>0.38</v>
      </c>
      <c r="J368">
        <v>1.81</v>
      </c>
      <c r="K368">
        <v>3.85</v>
      </c>
      <c r="L368">
        <v>3.55</v>
      </c>
      <c r="M368">
        <v>1.95</v>
      </c>
      <c r="N368">
        <v>3.6</v>
      </c>
      <c r="O368">
        <v>3.65</v>
      </c>
      <c r="P368">
        <v>1.94</v>
      </c>
      <c r="Q368">
        <v>3.6</v>
      </c>
      <c r="R368">
        <v>3.65</v>
      </c>
      <c r="S368">
        <v>0.52100661759090472</v>
      </c>
      <c r="T368">
        <v>0.21335338865147904</v>
      </c>
      <c r="U368">
        <v>0.26563999375761621</v>
      </c>
      <c r="V368">
        <v>0.4817156997525433</v>
      </c>
      <c r="W368">
        <v>0.26092933736596091</v>
      </c>
      <c r="X368">
        <v>0.25735496288149573</v>
      </c>
      <c r="Y368">
        <v>0.48299944863076638</v>
      </c>
      <c r="Z368">
        <v>0.26028303620657967</v>
      </c>
      <c r="AA368">
        <v>0.2567175151626539</v>
      </c>
      <c r="AB368">
        <v>0.49524058865807147</v>
      </c>
      <c r="AC368">
        <v>0.24485525407467321</v>
      </c>
      <c r="AD368">
        <v>0.2599041572672553</v>
      </c>
      <c r="AE368" t="s">
        <v>71</v>
      </c>
      <c r="AF368" t="s">
        <v>63</v>
      </c>
      <c r="AG368">
        <v>12.88</v>
      </c>
      <c r="AH368">
        <v>35</v>
      </c>
      <c r="AI368">
        <v>4</v>
      </c>
      <c r="AJ368">
        <v>0</v>
      </c>
      <c r="AK368">
        <v>26.7</v>
      </c>
      <c r="AL368">
        <v>205</v>
      </c>
      <c r="AM368">
        <v>3223</v>
      </c>
      <c r="AN368">
        <v>73</v>
      </c>
      <c r="AO368">
        <v>66</v>
      </c>
      <c r="AP368">
        <v>65</v>
      </c>
      <c r="AQ368">
        <v>2.5</v>
      </c>
      <c r="AR368" t="s">
        <v>29</v>
      </c>
      <c r="AS368" t="s">
        <v>110</v>
      </c>
      <c r="AT368" t="s">
        <v>108</v>
      </c>
      <c r="AU368">
        <v>68.63</v>
      </c>
      <c r="AV368">
        <v>35</v>
      </c>
      <c r="AW368">
        <v>2</v>
      </c>
      <c r="AX368">
        <v>3</v>
      </c>
      <c r="AY368">
        <v>27.4</v>
      </c>
      <c r="AZ368">
        <v>9</v>
      </c>
      <c r="BA368">
        <v>10366</v>
      </c>
      <c r="BB368">
        <v>72</v>
      </c>
      <c r="BC368">
        <v>75</v>
      </c>
      <c r="BD368">
        <v>74</v>
      </c>
      <c r="BE368">
        <v>4</v>
      </c>
      <c r="BF368" t="s">
        <v>29</v>
      </c>
      <c r="BG368">
        <v>-1</v>
      </c>
      <c r="BH368">
        <v>0</v>
      </c>
      <c r="BI368">
        <v>0</v>
      </c>
      <c r="BJ368" t="s">
        <v>286</v>
      </c>
      <c r="BK368">
        <v>0.3846</v>
      </c>
      <c r="BL368">
        <v>0.47299999999999998</v>
      </c>
      <c r="BM368">
        <v>1.42</v>
      </c>
      <c r="BN368">
        <v>1.36</v>
      </c>
    </row>
    <row r="369" spans="1:66" x14ac:dyDescent="0.25">
      <c r="A369">
        <v>3</v>
      </c>
      <c r="B369">
        <v>-1</v>
      </c>
      <c r="C369">
        <v>1</v>
      </c>
      <c r="D369">
        <v>1.9133333333333333</v>
      </c>
      <c r="E369">
        <v>3.35</v>
      </c>
      <c r="F369">
        <v>4.4933333333333332</v>
      </c>
      <c r="G369" s="40">
        <v>0.36</v>
      </c>
      <c r="H369" s="40">
        <v>0.33</v>
      </c>
      <c r="I369" s="40">
        <v>0.31</v>
      </c>
      <c r="J369">
        <v>1.87</v>
      </c>
      <c r="K369">
        <v>3.5</v>
      </c>
      <c r="L369">
        <v>4.75</v>
      </c>
      <c r="M369">
        <v>1.93</v>
      </c>
      <c r="N369">
        <v>3.25</v>
      </c>
      <c r="O369">
        <v>4.33</v>
      </c>
      <c r="P369">
        <v>1.94</v>
      </c>
      <c r="Q369">
        <v>3.3</v>
      </c>
      <c r="R369">
        <v>4.4000000000000004</v>
      </c>
      <c r="S369">
        <v>0.54906569845967335</v>
      </c>
      <c r="T369">
        <v>0.23477580551514998</v>
      </c>
      <c r="U369">
        <v>0.21615849602517664</v>
      </c>
      <c r="V369">
        <v>0.49029855166382719</v>
      </c>
      <c r="W369">
        <v>0.29116190914190349</v>
      </c>
      <c r="X369">
        <v>0.21853953919426938</v>
      </c>
      <c r="Y369">
        <v>0.49290515309932781</v>
      </c>
      <c r="Z369">
        <v>0.28976848394324123</v>
      </c>
      <c r="AA369">
        <v>0.21732636295743091</v>
      </c>
      <c r="AB369">
        <v>0.51075646774094274</v>
      </c>
      <c r="AC369">
        <v>0.27190206620009821</v>
      </c>
      <c r="AD369">
        <v>0.21734146605895899</v>
      </c>
      <c r="AE369" t="s">
        <v>254</v>
      </c>
      <c r="AF369" t="s">
        <v>253</v>
      </c>
      <c r="AG369">
        <v>1070</v>
      </c>
      <c r="AH369">
        <v>35</v>
      </c>
      <c r="AI369">
        <v>27</v>
      </c>
      <c r="AJ369">
        <v>22</v>
      </c>
      <c r="AK369">
        <v>25.2</v>
      </c>
      <c r="AL369">
        <v>8</v>
      </c>
      <c r="AM369">
        <v>10390</v>
      </c>
      <c r="AN369">
        <v>87</v>
      </c>
      <c r="AO369">
        <v>86</v>
      </c>
      <c r="AP369">
        <v>83</v>
      </c>
      <c r="AQ369">
        <v>5</v>
      </c>
      <c r="AR369" t="s">
        <v>28</v>
      </c>
      <c r="AS369" t="s">
        <v>255</v>
      </c>
      <c r="AT369" t="s">
        <v>253</v>
      </c>
      <c r="AU369">
        <v>808.5</v>
      </c>
      <c r="AV369">
        <v>31</v>
      </c>
      <c r="AW369">
        <v>22</v>
      </c>
      <c r="AX369">
        <v>19</v>
      </c>
      <c r="AY369">
        <v>25.8</v>
      </c>
      <c r="AZ369">
        <v>19</v>
      </c>
      <c r="BA369">
        <v>8832</v>
      </c>
      <c r="BB369">
        <v>80</v>
      </c>
      <c r="BC369">
        <v>84</v>
      </c>
      <c r="BD369">
        <v>81</v>
      </c>
      <c r="BE369">
        <v>4.5</v>
      </c>
      <c r="BF369" t="s">
        <v>28</v>
      </c>
      <c r="BG369">
        <v>-14</v>
      </c>
      <c r="BH369">
        <v>112</v>
      </c>
      <c r="BI369">
        <v>0.33300000000000002</v>
      </c>
      <c r="BJ369" t="s">
        <v>282</v>
      </c>
      <c r="BK369">
        <v>0.78949999999999998</v>
      </c>
      <c r="BL369">
        <v>0.58179999999999998</v>
      </c>
      <c r="BM369">
        <v>2.11</v>
      </c>
      <c r="BN369">
        <v>1.73</v>
      </c>
    </row>
    <row r="370" spans="1:66" x14ac:dyDescent="0.25">
      <c r="A370">
        <v>1</v>
      </c>
      <c r="B370">
        <v>3</v>
      </c>
      <c r="C370">
        <v>3</v>
      </c>
      <c r="D370">
        <v>2.1266666666666669</v>
      </c>
      <c r="E370">
        <v>3.2833333333333337</v>
      </c>
      <c r="F370">
        <v>3.3000000000000003</v>
      </c>
      <c r="G370" s="40">
        <v>0.39</v>
      </c>
      <c r="H370" s="40">
        <v>0.27</v>
      </c>
      <c r="I370" s="40">
        <v>0.33999999999999997</v>
      </c>
      <c r="J370">
        <v>2.06</v>
      </c>
      <c r="K370">
        <v>3.2</v>
      </c>
      <c r="L370">
        <v>3.15</v>
      </c>
      <c r="M370">
        <v>2.15</v>
      </c>
      <c r="N370">
        <v>3.3</v>
      </c>
      <c r="O370">
        <v>3.4</v>
      </c>
      <c r="P370">
        <v>2.17</v>
      </c>
      <c r="Q370">
        <v>3.35</v>
      </c>
      <c r="R370">
        <v>3.35</v>
      </c>
      <c r="S370">
        <v>0.44603437428005183</v>
      </c>
      <c r="T370">
        <v>0.26227330476219984</v>
      </c>
      <c r="U370">
        <v>0.29169232095774822</v>
      </c>
      <c r="V370">
        <v>0.43785365853658537</v>
      </c>
      <c r="W370">
        <v>0.28526829268292681</v>
      </c>
      <c r="X370">
        <v>0.27687804878048777</v>
      </c>
      <c r="Y370">
        <v>0.43563068920676207</v>
      </c>
      <c r="Z370">
        <v>0.28218465539661897</v>
      </c>
      <c r="AA370">
        <v>0.28218465539661897</v>
      </c>
      <c r="AB370">
        <v>0.43983957400779977</v>
      </c>
      <c r="AC370">
        <v>0.27657541761391524</v>
      </c>
      <c r="AD370">
        <v>0.28358500837828499</v>
      </c>
      <c r="AE370" t="s">
        <v>117</v>
      </c>
      <c r="AF370" t="s">
        <v>108</v>
      </c>
      <c r="AG370">
        <v>24.2</v>
      </c>
      <c r="AH370">
        <v>32</v>
      </c>
      <c r="AI370">
        <v>0</v>
      </c>
      <c r="AJ370">
        <v>0</v>
      </c>
      <c r="AK370">
        <v>26.9</v>
      </c>
      <c r="AL370">
        <v>84</v>
      </c>
      <c r="AM370">
        <v>5249</v>
      </c>
      <c r="AN370">
        <v>70</v>
      </c>
      <c r="AO370">
        <v>72</v>
      </c>
      <c r="AP370">
        <v>71</v>
      </c>
      <c r="AQ370">
        <v>3.5</v>
      </c>
      <c r="AR370" t="s">
        <v>28</v>
      </c>
      <c r="AS370" t="s">
        <v>114</v>
      </c>
      <c r="AT370" t="s">
        <v>108</v>
      </c>
      <c r="AU370">
        <v>41.98</v>
      </c>
      <c r="AV370">
        <v>33</v>
      </c>
      <c r="AW370">
        <v>5</v>
      </c>
      <c r="AX370">
        <v>1</v>
      </c>
      <c r="AY370">
        <v>25.2</v>
      </c>
      <c r="AZ370">
        <v>40</v>
      </c>
      <c r="BA370">
        <v>7098</v>
      </c>
      <c r="BB370">
        <v>74</v>
      </c>
      <c r="BC370">
        <v>73</v>
      </c>
      <c r="BD370">
        <v>73</v>
      </c>
      <c r="BE370">
        <v>3.5</v>
      </c>
      <c r="BF370" t="s">
        <v>29</v>
      </c>
      <c r="BG370">
        <v>-16</v>
      </c>
      <c r="BH370">
        <v>15</v>
      </c>
      <c r="BI370">
        <v>0.222</v>
      </c>
      <c r="BJ370" t="s">
        <v>236</v>
      </c>
      <c r="BK370">
        <v>0.40279999999999999</v>
      </c>
      <c r="BL370">
        <v>0.39389999999999997</v>
      </c>
      <c r="BM370">
        <v>1.33</v>
      </c>
      <c r="BN370">
        <v>1.3</v>
      </c>
    </row>
    <row r="371" spans="1:66" x14ac:dyDescent="0.25">
      <c r="A371">
        <v>2</v>
      </c>
      <c r="B371">
        <v>0</v>
      </c>
      <c r="C371">
        <v>0</v>
      </c>
      <c r="D371">
        <v>1.72</v>
      </c>
      <c r="E371">
        <v>3.5833333333333335</v>
      </c>
      <c r="F371">
        <v>4.6333333333333337</v>
      </c>
      <c r="G371" s="40">
        <v>0.36</v>
      </c>
      <c r="H371" s="40">
        <v>0.3</v>
      </c>
      <c r="I371" s="40">
        <v>0.34</v>
      </c>
      <c r="J371">
        <v>1.68</v>
      </c>
      <c r="K371">
        <v>3.45</v>
      </c>
      <c r="L371">
        <v>4.4000000000000004</v>
      </c>
      <c r="M371">
        <v>1.75</v>
      </c>
      <c r="N371">
        <v>3.6</v>
      </c>
      <c r="O371">
        <v>4.75</v>
      </c>
      <c r="P371">
        <v>1.73</v>
      </c>
      <c r="Q371">
        <v>3.7</v>
      </c>
      <c r="R371">
        <v>4.75</v>
      </c>
      <c r="S371">
        <v>0.55899448312097733</v>
      </c>
      <c r="T371">
        <v>0.22757125968737685</v>
      </c>
      <c r="U371">
        <v>0.21343425719164588</v>
      </c>
      <c r="V371">
        <v>0.53921955065037452</v>
      </c>
      <c r="W371">
        <v>0.26212061489948757</v>
      </c>
      <c r="X371">
        <v>0.19865983445013796</v>
      </c>
      <c r="Y371">
        <v>0.54591765418485105</v>
      </c>
      <c r="Z371">
        <v>0.25525338965940331</v>
      </c>
      <c r="AA371">
        <v>0.19882895615574572</v>
      </c>
      <c r="AB371">
        <v>0.54804389598540093</v>
      </c>
      <c r="AC371">
        <v>0.24831508808208924</v>
      </c>
      <c r="AD371">
        <v>0.20364101593250986</v>
      </c>
      <c r="AE371" t="s">
        <v>116</v>
      </c>
      <c r="AF371" t="s">
        <v>108</v>
      </c>
      <c r="AG371">
        <v>50.33</v>
      </c>
      <c r="AH371">
        <v>33</v>
      </c>
      <c r="AI371">
        <v>4</v>
      </c>
      <c r="AJ371">
        <v>1</v>
      </c>
      <c r="AK371">
        <v>25.3</v>
      </c>
      <c r="AL371">
        <v>75</v>
      </c>
      <c r="AM371">
        <v>5476</v>
      </c>
      <c r="AN371">
        <v>75</v>
      </c>
      <c r="AO371">
        <v>75</v>
      </c>
      <c r="AP371">
        <v>75</v>
      </c>
      <c r="AQ371">
        <v>4</v>
      </c>
      <c r="AR371" t="s">
        <v>29</v>
      </c>
      <c r="AS371" t="s">
        <v>118</v>
      </c>
      <c r="AT371" t="s">
        <v>108</v>
      </c>
      <c r="AU371">
        <v>36.35</v>
      </c>
      <c r="AV371">
        <v>43</v>
      </c>
      <c r="AW371">
        <v>3</v>
      </c>
      <c r="AX371">
        <v>0</v>
      </c>
      <c r="AY371">
        <v>25.3</v>
      </c>
      <c r="AZ371">
        <v>89</v>
      </c>
      <c r="BA371">
        <v>5108</v>
      </c>
      <c r="BB371">
        <v>71</v>
      </c>
      <c r="BC371">
        <v>74</v>
      </c>
      <c r="BD371">
        <v>72</v>
      </c>
      <c r="BE371">
        <v>3.5</v>
      </c>
      <c r="BF371" t="s">
        <v>29</v>
      </c>
      <c r="BG371">
        <v>-7</v>
      </c>
      <c r="BH371">
        <v>55</v>
      </c>
      <c r="BI371">
        <v>0.375</v>
      </c>
      <c r="BJ371" t="s">
        <v>236</v>
      </c>
      <c r="BK371">
        <v>0.44619999999999999</v>
      </c>
      <c r="BL371">
        <v>0.4839</v>
      </c>
      <c r="BM371">
        <v>1.69</v>
      </c>
      <c r="BN371">
        <v>1.52</v>
      </c>
    </row>
    <row r="372" spans="1:66" x14ac:dyDescent="0.25">
      <c r="A372">
        <v>1</v>
      </c>
      <c r="B372">
        <v>1</v>
      </c>
      <c r="C372">
        <v>3</v>
      </c>
      <c r="D372">
        <v>2.1766666666666667</v>
      </c>
      <c r="E372">
        <v>3.3833333333333333</v>
      </c>
      <c r="F372">
        <v>3.2166666666666663</v>
      </c>
      <c r="G372" s="40">
        <v>0.35</v>
      </c>
      <c r="H372" s="40">
        <v>0.22</v>
      </c>
      <c r="I372" s="40">
        <v>0.43000000000000005</v>
      </c>
      <c r="J372">
        <v>2.1</v>
      </c>
      <c r="K372">
        <v>3.25</v>
      </c>
      <c r="L372">
        <v>3.15</v>
      </c>
      <c r="M372">
        <v>2.25</v>
      </c>
      <c r="N372">
        <v>3.5</v>
      </c>
      <c r="O372">
        <v>3.3</v>
      </c>
      <c r="P372">
        <v>2.1800000000000002</v>
      </c>
      <c r="Q372">
        <v>3.4</v>
      </c>
      <c r="R372">
        <v>3.2</v>
      </c>
      <c r="S372">
        <v>0.44390915347556781</v>
      </c>
      <c r="T372">
        <v>0.26015141087405369</v>
      </c>
      <c r="U372">
        <v>0.29593943565037856</v>
      </c>
      <c r="V372">
        <v>0.43016759776536317</v>
      </c>
      <c r="W372">
        <v>0.27653631284916202</v>
      </c>
      <c r="X372">
        <v>0.29329608938547491</v>
      </c>
      <c r="Y372">
        <v>0.4305841380402089</v>
      </c>
      <c r="Z372">
        <v>0.27608041791989874</v>
      </c>
      <c r="AA372">
        <v>0.29333544403989237</v>
      </c>
      <c r="AB372">
        <v>0.43488696309371333</v>
      </c>
      <c r="AC372">
        <v>0.27092271388103817</v>
      </c>
      <c r="AD372">
        <v>0.29419032302524867</v>
      </c>
      <c r="AE372" t="s">
        <v>170</v>
      </c>
      <c r="AF372" t="s">
        <v>160</v>
      </c>
      <c r="AG372">
        <v>19.2</v>
      </c>
      <c r="AH372">
        <v>27</v>
      </c>
      <c r="AI372">
        <v>13</v>
      </c>
      <c r="AJ372">
        <v>3</v>
      </c>
      <c r="AK372">
        <v>24.8</v>
      </c>
      <c r="AL372">
        <v>315</v>
      </c>
      <c r="AM372">
        <v>2380</v>
      </c>
      <c r="AN372">
        <v>69</v>
      </c>
      <c r="AO372">
        <v>69</v>
      </c>
      <c r="AP372">
        <v>70</v>
      </c>
      <c r="AQ372">
        <v>3</v>
      </c>
      <c r="AR372" t="s">
        <v>29</v>
      </c>
      <c r="AS372" t="s">
        <v>172</v>
      </c>
      <c r="AT372" t="s">
        <v>160</v>
      </c>
      <c r="AU372">
        <v>20.079999999999998</v>
      </c>
      <c r="AV372">
        <v>28</v>
      </c>
      <c r="AW372">
        <v>17</v>
      </c>
      <c r="AX372">
        <v>5</v>
      </c>
      <c r="AY372">
        <v>25.6</v>
      </c>
      <c r="AZ372">
        <v>342</v>
      </c>
      <c r="BA372">
        <v>2219</v>
      </c>
      <c r="BB372">
        <v>70</v>
      </c>
      <c r="BC372">
        <v>68</v>
      </c>
      <c r="BD372">
        <v>66</v>
      </c>
      <c r="BE372">
        <v>2.5</v>
      </c>
      <c r="BF372" t="s">
        <v>29</v>
      </c>
      <c r="BG372">
        <v>1</v>
      </c>
      <c r="BH372">
        <v>20</v>
      </c>
      <c r="BI372">
        <v>0.46200000000000002</v>
      </c>
      <c r="BJ372" t="s">
        <v>234</v>
      </c>
      <c r="BK372">
        <v>0.375</v>
      </c>
      <c r="BL372">
        <v>0.44829999999999998</v>
      </c>
      <c r="BM372">
        <v>1.29</v>
      </c>
      <c r="BN372">
        <v>1.63</v>
      </c>
    </row>
    <row r="373" spans="1:66" x14ac:dyDescent="0.25">
      <c r="A373">
        <v>3</v>
      </c>
      <c r="B373">
        <v>-1</v>
      </c>
      <c r="C373">
        <v>1</v>
      </c>
      <c r="D373">
        <v>3.6166666666666667</v>
      </c>
      <c r="E373">
        <v>3.6666666666666665</v>
      </c>
      <c r="F373">
        <v>1.93</v>
      </c>
      <c r="G373" s="40">
        <v>0.33</v>
      </c>
      <c r="H373" s="40">
        <v>0.23</v>
      </c>
      <c r="I373" s="40">
        <v>0.43999999999999995</v>
      </c>
      <c r="J373">
        <v>3.45</v>
      </c>
      <c r="K373">
        <v>3.55</v>
      </c>
      <c r="L373">
        <v>1.89</v>
      </c>
      <c r="M373">
        <v>3.75</v>
      </c>
      <c r="N373">
        <v>3.75</v>
      </c>
      <c r="O373">
        <v>1.95</v>
      </c>
      <c r="P373">
        <v>3.65</v>
      </c>
      <c r="Q373">
        <v>3.7</v>
      </c>
      <c r="R373">
        <v>1.95</v>
      </c>
      <c r="S373">
        <v>0.27136810998973226</v>
      </c>
      <c r="T373">
        <v>0.23327740352107385</v>
      </c>
      <c r="U373">
        <v>0.49535448648919389</v>
      </c>
      <c r="V373">
        <v>0.25490196078431371</v>
      </c>
      <c r="W373">
        <v>0.25490196078431371</v>
      </c>
      <c r="X373">
        <v>0.49019607843137253</v>
      </c>
      <c r="Y373">
        <v>0.2591827570722946</v>
      </c>
      <c r="Z373">
        <v>0.25568028738212845</v>
      </c>
      <c r="AA373">
        <v>0.48513695554557706</v>
      </c>
      <c r="AB373">
        <v>0.26181760928211356</v>
      </c>
      <c r="AC373">
        <v>0.24795321722917199</v>
      </c>
      <c r="AD373">
        <v>0.49022917348871448</v>
      </c>
      <c r="AE373" t="s">
        <v>177</v>
      </c>
      <c r="AF373" t="s">
        <v>160</v>
      </c>
      <c r="AG373">
        <v>22.03</v>
      </c>
      <c r="AH373">
        <v>25</v>
      </c>
      <c r="AI373">
        <v>12</v>
      </c>
      <c r="AJ373">
        <v>3</v>
      </c>
      <c r="AK373">
        <v>27.6</v>
      </c>
      <c r="AL373">
        <v>596</v>
      </c>
      <c r="AM373">
        <v>1058</v>
      </c>
      <c r="AN373">
        <v>70</v>
      </c>
      <c r="AO373">
        <v>69</v>
      </c>
      <c r="AP373">
        <v>69</v>
      </c>
      <c r="AQ373">
        <v>3</v>
      </c>
      <c r="AR373" t="s">
        <v>29</v>
      </c>
      <c r="AS373" t="s">
        <v>168</v>
      </c>
      <c r="AT373" t="s">
        <v>160</v>
      </c>
      <c r="AU373">
        <v>19.649999999999999</v>
      </c>
      <c r="AV373">
        <v>28</v>
      </c>
      <c r="AW373">
        <v>11</v>
      </c>
      <c r="AX373">
        <v>1</v>
      </c>
      <c r="AY373">
        <v>26.8</v>
      </c>
      <c r="AZ373">
        <v>302</v>
      </c>
      <c r="BA373">
        <v>2441</v>
      </c>
      <c r="BB373">
        <v>71</v>
      </c>
      <c r="BC373">
        <v>69</v>
      </c>
      <c r="BD373">
        <v>68</v>
      </c>
      <c r="BE373">
        <v>3</v>
      </c>
      <c r="BF373" t="s">
        <v>29</v>
      </c>
      <c r="BG373">
        <v>0</v>
      </c>
      <c r="BH373">
        <v>3</v>
      </c>
      <c r="BI373">
        <v>0.5</v>
      </c>
      <c r="BJ373" t="s">
        <v>234</v>
      </c>
      <c r="BK373">
        <v>0.16669999999999999</v>
      </c>
      <c r="BL373">
        <v>0.39290000000000003</v>
      </c>
      <c r="BM373">
        <v>0.54</v>
      </c>
      <c r="BN373">
        <v>1.18</v>
      </c>
    </row>
    <row r="374" spans="1:66" x14ac:dyDescent="0.25">
      <c r="A374">
        <v>1</v>
      </c>
      <c r="B374">
        <v>1</v>
      </c>
      <c r="C374">
        <v>5</v>
      </c>
      <c r="D374">
        <v>1.5983333333333334</v>
      </c>
      <c r="E374">
        <v>3.9333333333333336</v>
      </c>
      <c r="F374">
        <v>5.1499999999999995</v>
      </c>
      <c r="G374" s="40">
        <v>0.4</v>
      </c>
      <c r="H374" s="40">
        <v>0.31</v>
      </c>
      <c r="I374" s="40">
        <v>0.28999999999999998</v>
      </c>
      <c r="J374">
        <v>1.55</v>
      </c>
      <c r="K374">
        <v>3.85</v>
      </c>
      <c r="L374">
        <v>5.0999999999999996</v>
      </c>
      <c r="M374">
        <v>1.615</v>
      </c>
      <c r="N374">
        <v>4</v>
      </c>
      <c r="O374">
        <v>5.75</v>
      </c>
      <c r="P374">
        <v>1.63</v>
      </c>
      <c r="Q374">
        <v>3.95</v>
      </c>
      <c r="R374">
        <v>4.5999999999999996</v>
      </c>
      <c r="S374">
        <v>0.61594969806387345</v>
      </c>
      <c r="T374">
        <v>0.1968499035049493</v>
      </c>
      <c r="U374">
        <v>0.18720039843117725</v>
      </c>
      <c r="V374">
        <v>0.59360583282253121</v>
      </c>
      <c r="W374">
        <v>0.23966835500209696</v>
      </c>
      <c r="X374">
        <v>0.1667258121753718</v>
      </c>
      <c r="Y374">
        <v>0.56592901748867053</v>
      </c>
      <c r="Z374">
        <v>0.23353526544469189</v>
      </c>
      <c r="AA374">
        <v>0.20053571706663761</v>
      </c>
      <c r="AB374">
        <v>0.59182818279169169</v>
      </c>
      <c r="AC374">
        <v>0.22335117465057941</v>
      </c>
      <c r="AD374">
        <v>0.18482064255772887</v>
      </c>
      <c r="AE374" t="s">
        <v>174</v>
      </c>
      <c r="AF374" t="s">
        <v>160</v>
      </c>
      <c r="AG374">
        <v>23.93</v>
      </c>
      <c r="AH374">
        <v>27</v>
      </c>
      <c r="AI374">
        <v>14</v>
      </c>
      <c r="AJ374">
        <v>4</v>
      </c>
      <c r="AK374">
        <v>27</v>
      </c>
      <c r="AL374">
        <v>374</v>
      </c>
      <c r="AM374">
        <v>1991</v>
      </c>
      <c r="AN374">
        <v>72</v>
      </c>
      <c r="AO374">
        <v>73</v>
      </c>
      <c r="AP374">
        <v>70</v>
      </c>
      <c r="AQ374">
        <v>3.5</v>
      </c>
      <c r="AR374" t="s">
        <v>29</v>
      </c>
      <c r="AS374" t="s">
        <v>176</v>
      </c>
      <c r="AT374" t="s">
        <v>160</v>
      </c>
      <c r="AU374">
        <v>18.73</v>
      </c>
      <c r="AV374">
        <v>29</v>
      </c>
      <c r="AW374">
        <v>21</v>
      </c>
      <c r="AX374">
        <v>8</v>
      </c>
      <c r="AY374">
        <v>26.5</v>
      </c>
      <c r="AZ374">
        <v>388</v>
      </c>
      <c r="BA374">
        <v>1901</v>
      </c>
      <c r="BB374">
        <v>67</v>
      </c>
      <c r="BC374">
        <v>71</v>
      </c>
      <c r="BD374">
        <v>69</v>
      </c>
      <c r="BE374">
        <v>3</v>
      </c>
      <c r="BF374" t="s">
        <v>46</v>
      </c>
      <c r="BG374">
        <v>-9</v>
      </c>
      <c r="BH374">
        <v>56</v>
      </c>
      <c r="BI374">
        <v>0.29799999999999999</v>
      </c>
      <c r="BJ374" t="s">
        <v>234</v>
      </c>
      <c r="BK374">
        <v>0.48</v>
      </c>
      <c r="BL374">
        <v>0.16669999999999999</v>
      </c>
      <c r="BM374">
        <v>1.68</v>
      </c>
      <c r="BN374">
        <v>1.29</v>
      </c>
    </row>
    <row r="375" spans="1:66" x14ac:dyDescent="0.25">
      <c r="A375">
        <v>3</v>
      </c>
      <c r="B375">
        <v>-2</v>
      </c>
      <c r="C375">
        <v>4</v>
      </c>
      <c r="D375">
        <v>5.45</v>
      </c>
      <c r="E375">
        <v>3.9333333333333336</v>
      </c>
      <c r="F375">
        <v>1.5066666666666666</v>
      </c>
      <c r="G375" s="40">
        <v>0.19</v>
      </c>
      <c r="H375" s="40">
        <v>0.21</v>
      </c>
      <c r="I375" s="40">
        <v>0.60000000000000009</v>
      </c>
      <c r="J375">
        <v>5.25</v>
      </c>
      <c r="K375">
        <v>3.6</v>
      </c>
      <c r="L375">
        <v>1.52</v>
      </c>
      <c r="M375">
        <v>5.5</v>
      </c>
      <c r="N375">
        <v>4</v>
      </c>
      <c r="O375">
        <v>1.5</v>
      </c>
      <c r="P375">
        <v>5.6</v>
      </c>
      <c r="Q375">
        <v>4.2</v>
      </c>
      <c r="R375">
        <v>1.5</v>
      </c>
      <c r="S375">
        <v>0.17837695377723825</v>
      </c>
      <c r="T375">
        <v>0.20551843613690585</v>
      </c>
      <c r="U375">
        <v>0.61610461008585582</v>
      </c>
      <c r="V375">
        <v>0.16551724137931037</v>
      </c>
      <c r="W375">
        <v>0.22758620689655173</v>
      </c>
      <c r="X375">
        <v>0.60689655172413792</v>
      </c>
      <c r="Y375">
        <v>0.16483516483516486</v>
      </c>
      <c r="Z375">
        <v>0.21978021978021978</v>
      </c>
      <c r="AA375">
        <v>0.61538461538461542</v>
      </c>
      <c r="AB375">
        <v>0.16957645333057117</v>
      </c>
      <c r="AC375">
        <v>0.21762828760455913</v>
      </c>
      <c r="AD375">
        <v>0.61279525906486965</v>
      </c>
      <c r="AE375" t="s">
        <v>243</v>
      </c>
      <c r="AF375" t="s">
        <v>238</v>
      </c>
      <c r="AG375">
        <v>3.43</v>
      </c>
      <c r="AH375">
        <v>35</v>
      </c>
      <c r="AI375">
        <v>11</v>
      </c>
      <c r="AJ375">
        <v>0</v>
      </c>
      <c r="AK375">
        <v>26.5</v>
      </c>
      <c r="AL375">
        <v>419</v>
      </c>
      <c r="AM375">
        <v>1470</v>
      </c>
      <c r="AN375">
        <v>62</v>
      </c>
      <c r="AO375">
        <v>60</v>
      </c>
      <c r="AP375">
        <v>61</v>
      </c>
      <c r="AQ375">
        <v>1</v>
      </c>
      <c r="AR375" t="s">
        <v>46</v>
      </c>
      <c r="AS375" t="s">
        <v>239</v>
      </c>
      <c r="AT375" t="s">
        <v>238</v>
      </c>
      <c r="AU375">
        <v>21.75</v>
      </c>
      <c r="AV375">
        <v>30</v>
      </c>
      <c r="AW375">
        <v>7</v>
      </c>
      <c r="AX375">
        <v>4</v>
      </c>
      <c r="AY375">
        <v>27.8</v>
      </c>
      <c r="AZ375">
        <v>129</v>
      </c>
      <c r="BA375">
        <v>4117</v>
      </c>
      <c r="BB375">
        <v>70</v>
      </c>
      <c r="BC375">
        <v>70</v>
      </c>
      <c r="BD375">
        <v>71</v>
      </c>
      <c r="BE375">
        <v>3</v>
      </c>
      <c r="BF375" t="s">
        <v>29</v>
      </c>
      <c r="BG375">
        <v>-11</v>
      </c>
      <c r="BH375">
        <v>15</v>
      </c>
      <c r="BI375">
        <v>0.188</v>
      </c>
      <c r="BJ375" t="s">
        <v>238</v>
      </c>
      <c r="BK375">
        <v>0.27029999999999998</v>
      </c>
      <c r="BL375">
        <v>0.5</v>
      </c>
      <c r="BM375">
        <v>1.1399999999999999</v>
      </c>
      <c r="BN375">
        <v>1.77</v>
      </c>
    </row>
    <row r="376" spans="1:66" x14ac:dyDescent="0.25">
      <c r="A376">
        <v>2</v>
      </c>
      <c r="B376">
        <v>0</v>
      </c>
      <c r="C376">
        <v>0</v>
      </c>
      <c r="D376">
        <v>3.8166666666666664</v>
      </c>
      <c r="E376">
        <v>3.1333333333333329</v>
      </c>
      <c r="F376">
        <v>2.0266666666666668</v>
      </c>
      <c r="G376" s="40">
        <v>0.27</v>
      </c>
      <c r="H376" s="40">
        <v>0.36</v>
      </c>
      <c r="I376" s="40">
        <v>0.37</v>
      </c>
      <c r="J376">
        <v>3.9</v>
      </c>
      <c r="K376">
        <v>3.05</v>
      </c>
      <c r="L376">
        <v>1.95</v>
      </c>
      <c r="M376">
        <v>3.8</v>
      </c>
      <c r="N376">
        <v>3.2</v>
      </c>
      <c r="O376">
        <v>2.0499999999999998</v>
      </c>
      <c r="P376">
        <v>3.75</v>
      </c>
      <c r="Q376">
        <v>3.15</v>
      </c>
      <c r="R376">
        <v>2.08</v>
      </c>
      <c r="S376">
        <v>0.24336793540945786</v>
      </c>
      <c r="T376">
        <v>0.26989619377162627</v>
      </c>
      <c r="U376">
        <v>0.48673587081891573</v>
      </c>
      <c r="V376">
        <v>0.24745379102225579</v>
      </c>
      <c r="W376">
        <v>0.2938513768389287</v>
      </c>
      <c r="X376">
        <v>0.45869483213881562</v>
      </c>
      <c r="Y376">
        <v>0.25041563951155188</v>
      </c>
      <c r="Z376">
        <v>0.29811385656137129</v>
      </c>
      <c r="AA376">
        <v>0.45147050392707677</v>
      </c>
      <c r="AB376">
        <v>0.2470791219810885</v>
      </c>
      <c r="AC376">
        <v>0.28728714239064207</v>
      </c>
      <c r="AD376">
        <v>0.46563373562826937</v>
      </c>
      <c r="AE376" t="s">
        <v>91</v>
      </c>
      <c r="AF376" t="s">
        <v>85</v>
      </c>
      <c r="AG376">
        <v>59.6</v>
      </c>
      <c r="AH376">
        <v>34</v>
      </c>
      <c r="AI376">
        <v>4</v>
      </c>
      <c r="AJ376">
        <v>3</v>
      </c>
      <c r="AK376">
        <v>27.8</v>
      </c>
      <c r="AL376">
        <v>97</v>
      </c>
      <c r="AM376">
        <v>4926</v>
      </c>
      <c r="AN376">
        <v>78</v>
      </c>
      <c r="AO376">
        <v>76</v>
      </c>
      <c r="AP376">
        <v>75</v>
      </c>
      <c r="AQ376">
        <v>4</v>
      </c>
      <c r="AR376" t="s">
        <v>29</v>
      </c>
      <c r="AS376" t="s">
        <v>86</v>
      </c>
      <c r="AT376" t="s">
        <v>85</v>
      </c>
      <c r="AU376">
        <v>80.2</v>
      </c>
      <c r="AV376">
        <v>31</v>
      </c>
      <c r="AW376">
        <v>6</v>
      </c>
      <c r="AX376">
        <v>4</v>
      </c>
      <c r="AY376">
        <v>26.9</v>
      </c>
      <c r="AZ376">
        <v>10</v>
      </c>
      <c r="BA376">
        <v>9954</v>
      </c>
      <c r="BB376">
        <v>75</v>
      </c>
      <c r="BC376">
        <v>76</v>
      </c>
      <c r="BD376">
        <v>76</v>
      </c>
      <c r="BE376">
        <v>4</v>
      </c>
      <c r="BF376" t="s">
        <v>46</v>
      </c>
      <c r="BG376">
        <v>-13</v>
      </c>
      <c r="BH376">
        <v>39</v>
      </c>
      <c r="BI376">
        <v>0.32400000000000001</v>
      </c>
      <c r="BJ376" t="s">
        <v>85</v>
      </c>
      <c r="BK376">
        <v>0.42859999999999998</v>
      </c>
      <c r="BL376">
        <v>0.56000000000000005</v>
      </c>
      <c r="BM376">
        <v>1.35</v>
      </c>
      <c r="BN376">
        <v>1.5</v>
      </c>
    </row>
    <row r="377" spans="1:66" x14ac:dyDescent="0.25">
      <c r="A377">
        <v>3</v>
      </c>
      <c r="B377">
        <v>-2</v>
      </c>
      <c r="C377">
        <v>2</v>
      </c>
      <c r="D377">
        <v>2.5749999999999997</v>
      </c>
      <c r="E377">
        <v>3.0833333333333335</v>
      </c>
      <c r="F377">
        <v>2.7600000000000002</v>
      </c>
      <c r="G377" s="40">
        <v>0.42</v>
      </c>
      <c r="H377" s="40">
        <v>0.35</v>
      </c>
      <c r="I377" s="40">
        <v>0.23000000000000009</v>
      </c>
      <c r="J377">
        <v>2.5</v>
      </c>
      <c r="K377">
        <v>3</v>
      </c>
      <c r="L377">
        <v>2.7</v>
      </c>
      <c r="M377">
        <v>2.625</v>
      </c>
      <c r="N377">
        <v>3.1</v>
      </c>
      <c r="O377">
        <v>2.8</v>
      </c>
      <c r="P377">
        <v>2.6</v>
      </c>
      <c r="Q377">
        <v>3.15</v>
      </c>
      <c r="R377">
        <v>2.78</v>
      </c>
      <c r="S377">
        <v>0.37049087565426508</v>
      </c>
      <c r="T377">
        <v>0.28646201725845244</v>
      </c>
      <c r="U377">
        <v>0.34304710708728248</v>
      </c>
      <c r="V377">
        <v>0.35916002896451843</v>
      </c>
      <c r="W377">
        <v>0.30412744388124546</v>
      </c>
      <c r="X377">
        <v>0.33671252715423605</v>
      </c>
      <c r="Y377">
        <v>0.36223371251292652</v>
      </c>
      <c r="Z377">
        <v>0.29898655635987587</v>
      </c>
      <c r="AA377">
        <v>0.3387797311271975</v>
      </c>
      <c r="AB377">
        <v>0.36396153904390333</v>
      </c>
      <c r="AC377">
        <v>0.29652533916652457</v>
      </c>
      <c r="AD377">
        <v>0.33951312178957199</v>
      </c>
      <c r="AE377" t="s">
        <v>87</v>
      </c>
      <c r="AF377" t="s">
        <v>85</v>
      </c>
      <c r="AG377">
        <v>42.88</v>
      </c>
      <c r="AH377">
        <v>27</v>
      </c>
      <c r="AI377">
        <v>4</v>
      </c>
      <c r="AJ377">
        <v>1</v>
      </c>
      <c r="AK377">
        <v>25.7</v>
      </c>
      <c r="AL377">
        <v>67</v>
      </c>
      <c r="AM377">
        <v>5744</v>
      </c>
      <c r="AN377">
        <v>74</v>
      </c>
      <c r="AO377">
        <v>73</v>
      </c>
      <c r="AP377">
        <v>74</v>
      </c>
      <c r="AQ377">
        <v>3.5</v>
      </c>
      <c r="AR377" t="s">
        <v>29</v>
      </c>
      <c r="AS377" t="s">
        <v>95</v>
      </c>
      <c r="AT377" t="s">
        <v>85</v>
      </c>
      <c r="AU377">
        <v>28.25</v>
      </c>
      <c r="AV377">
        <v>27</v>
      </c>
      <c r="AW377">
        <v>3</v>
      </c>
      <c r="AX377">
        <v>0</v>
      </c>
      <c r="AY377">
        <v>26.9</v>
      </c>
      <c r="AZ377">
        <v>130</v>
      </c>
      <c r="BA377">
        <v>4218</v>
      </c>
      <c r="BB377">
        <v>76</v>
      </c>
      <c r="BC377">
        <v>73</v>
      </c>
      <c r="BD377">
        <v>72</v>
      </c>
      <c r="BE377">
        <v>3.5</v>
      </c>
      <c r="BF377" t="s">
        <v>46</v>
      </c>
      <c r="BG377">
        <v>13</v>
      </c>
      <c r="BH377">
        <v>43</v>
      </c>
      <c r="BI377">
        <v>0.5</v>
      </c>
      <c r="BJ377" t="s">
        <v>85</v>
      </c>
      <c r="BK377">
        <v>0.43180000000000002</v>
      </c>
      <c r="BL377">
        <v>0.32429999999999998</v>
      </c>
      <c r="BM377">
        <v>1.23</v>
      </c>
      <c r="BN377">
        <v>1.03</v>
      </c>
    </row>
    <row r="378" spans="1:66" x14ac:dyDescent="0.25">
      <c r="A378">
        <v>3</v>
      </c>
      <c r="B378">
        <v>-1</v>
      </c>
      <c r="C378">
        <v>3</v>
      </c>
      <c r="D378">
        <v>1.36</v>
      </c>
      <c r="E378">
        <v>4.7</v>
      </c>
      <c r="F378">
        <v>7.2666666666666666</v>
      </c>
      <c r="G378" s="40">
        <v>0.56000000000000005</v>
      </c>
      <c r="H378" s="40">
        <v>0.21</v>
      </c>
      <c r="I378" s="40">
        <v>0.22999999999999995</v>
      </c>
      <c r="J378">
        <v>1.34</v>
      </c>
      <c r="K378">
        <v>4.5</v>
      </c>
      <c r="L378">
        <v>7</v>
      </c>
      <c r="M378">
        <v>1.36</v>
      </c>
      <c r="N378">
        <v>4.7</v>
      </c>
      <c r="O378">
        <v>7.3</v>
      </c>
      <c r="P378">
        <v>1.38</v>
      </c>
      <c r="Q378">
        <v>4.9000000000000004</v>
      </c>
      <c r="R378">
        <v>7.5</v>
      </c>
      <c r="S378">
        <v>0.7118428893437313</v>
      </c>
      <c r="T378">
        <v>0.15189004326761144</v>
      </c>
      <c r="U378">
        <v>0.13626706738865715</v>
      </c>
      <c r="V378">
        <v>0.67766146553426809</v>
      </c>
      <c r="W378">
        <v>0.19608927513332014</v>
      </c>
      <c r="X378">
        <v>0.12624925933241163</v>
      </c>
      <c r="Y378">
        <v>0.68229920908989639</v>
      </c>
      <c r="Z378">
        <v>0.19215773643756265</v>
      </c>
      <c r="AA378">
        <v>0.12554305447254094</v>
      </c>
      <c r="AB378">
        <v>0.6906011879892987</v>
      </c>
      <c r="AC378">
        <v>0.18004568494616477</v>
      </c>
      <c r="AD378">
        <v>0.12935312706453658</v>
      </c>
      <c r="AE378" t="s">
        <v>113</v>
      </c>
      <c r="AF378" t="s">
        <v>108</v>
      </c>
      <c r="AG378">
        <v>53.08</v>
      </c>
      <c r="AH378">
        <v>34</v>
      </c>
      <c r="AI378">
        <v>7</v>
      </c>
      <c r="AJ378">
        <v>4</v>
      </c>
      <c r="AK378">
        <v>26.8</v>
      </c>
      <c r="AL378">
        <v>33</v>
      </c>
      <c r="AM378">
        <v>7418</v>
      </c>
      <c r="AN378">
        <v>76</v>
      </c>
      <c r="AO378">
        <v>75</v>
      </c>
      <c r="AP378">
        <v>74</v>
      </c>
      <c r="AQ378">
        <v>3.5</v>
      </c>
      <c r="AR378" t="s">
        <v>29</v>
      </c>
      <c r="AS378" t="s">
        <v>120</v>
      </c>
      <c r="AT378" t="s">
        <v>108</v>
      </c>
      <c r="AU378">
        <v>16.53</v>
      </c>
      <c r="AV378">
        <v>31</v>
      </c>
      <c r="AW378">
        <v>3</v>
      </c>
      <c r="AX378">
        <v>0</v>
      </c>
      <c r="AY378">
        <v>28.7</v>
      </c>
      <c r="AZ378">
        <v>106</v>
      </c>
      <c r="BA378">
        <v>4727</v>
      </c>
      <c r="BB378">
        <v>68</v>
      </c>
      <c r="BC378">
        <v>71</v>
      </c>
      <c r="BD378">
        <v>70</v>
      </c>
      <c r="BE378">
        <v>3</v>
      </c>
      <c r="BF378" t="s">
        <v>28</v>
      </c>
      <c r="BG378">
        <v>4</v>
      </c>
      <c r="BH378">
        <v>11</v>
      </c>
      <c r="BI378">
        <v>0.375</v>
      </c>
      <c r="BJ378" t="s">
        <v>236</v>
      </c>
      <c r="BK378">
        <v>0.54390000000000005</v>
      </c>
      <c r="BL378">
        <v>0.4032</v>
      </c>
      <c r="BM378">
        <v>1.68</v>
      </c>
      <c r="BN378">
        <v>1.26</v>
      </c>
    </row>
    <row r="379" spans="1:66" x14ac:dyDescent="0.25">
      <c r="A379">
        <v>1</v>
      </c>
      <c r="B379">
        <v>1</v>
      </c>
      <c r="C379">
        <v>1</v>
      </c>
      <c r="D379">
        <v>1.72</v>
      </c>
      <c r="E379">
        <v>3.5666666666666664</v>
      </c>
      <c r="F379">
        <v>4.5</v>
      </c>
      <c r="G379" s="40">
        <v>0.43</v>
      </c>
      <c r="H379" s="40">
        <v>0.28999999999999998</v>
      </c>
      <c r="I379" s="40">
        <v>0.28000000000000008</v>
      </c>
      <c r="J379">
        <v>1.68</v>
      </c>
      <c r="K379">
        <v>3.4</v>
      </c>
      <c r="L379">
        <v>4.5</v>
      </c>
      <c r="M379">
        <v>1.78</v>
      </c>
      <c r="N379">
        <v>3.65</v>
      </c>
      <c r="O379">
        <v>4.5</v>
      </c>
      <c r="P379">
        <v>1.7</v>
      </c>
      <c r="Q379">
        <v>3.65</v>
      </c>
      <c r="R379">
        <v>4.5</v>
      </c>
      <c r="S379">
        <v>0.56061454554308388</v>
      </c>
      <c r="T379">
        <v>0.23008935745416473</v>
      </c>
      <c r="U379">
        <v>0.20929609700275134</v>
      </c>
      <c r="V379">
        <v>0.5310034915298073</v>
      </c>
      <c r="W379">
        <v>0.25895512737618004</v>
      </c>
      <c r="X379">
        <v>0.21004138109401266</v>
      </c>
      <c r="Y379">
        <v>0.54243725231175688</v>
      </c>
      <c r="Z379">
        <v>0.25264200792602381</v>
      </c>
      <c r="AA379">
        <v>0.20492073976221928</v>
      </c>
      <c r="AB379">
        <v>0.54468509646154928</v>
      </c>
      <c r="AC379">
        <v>0.24722883091878953</v>
      </c>
      <c r="AD379">
        <v>0.20808607261966108</v>
      </c>
      <c r="AE379" t="s">
        <v>107</v>
      </c>
      <c r="AF379" t="s">
        <v>108</v>
      </c>
      <c r="AG379">
        <v>118.25</v>
      </c>
      <c r="AH379">
        <v>29</v>
      </c>
      <c r="AI379">
        <v>3</v>
      </c>
      <c r="AJ379">
        <v>6</v>
      </c>
      <c r="AK379">
        <v>26.1</v>
      </c>
      <c r="AL379">
        <v>2</v>
      </c>
      <c r="AM379">
        <v>13486</v>
      </c>
      <c r="AN379">
        <v>78</v>
      </c>
      <c r="AO379">
        <v>76</v>
      </c>
      <c r="AP379">
        <v>74</v>
      </c>
      <c r="AQ379">
        <v>4</v>
      </c>
      <c r="AR379" t="s">
        <v>29</v>
      </c>
      <c r="AS379" t="s">
        <v>109</v>
      </c>
      <c r="AT379" t="s">
        <v>108</v>
      </c>
      <c r="AU379">
        <v>89.45</v>
      </c>
      <c r="AV379">
        <v>31</v>
      </c>
      <c r="AW379">
        <v>4</v>
      </c>
      <c r="AX379">
        <v>4</v>
      </c>
      <c r="AY379">
        <v>27.3</v>
      </c>
      <c r="AZ379">
        <v>5</v>
      </c>
      <c r="BA379">
        <v>11026</v>
      </c>
      <c r="BB379">
        <v>79</v>
      </c>
      <c r="BC379">
        <v>76</v>
      </c>
      <c r="BD379">
        <v>74</v>
      </c>
      <c r="BE379">
        <v>4</v>
      </c>
      <c r="BF379" t="s">
        <v>29</v>
      </c>
      <c r="BG379">
        <v>2</v>
      </c>
      <c r="BH379">
        <v>43</v>
      </c>
      <c r="BI379">
        <v>0.33300000000000002</v>
      </c>
      <c r="BJ379" t="s">
        <v>236</v>
      </c>
      <c r="BK379">
        <v>0.62860000000000005</v>
      </c>
      <c r="BL379">
        <v>0.50649999999999995</v>
      </c>
      <c r="BM379">
        <v>1.87</v>
      </c>
      <c r="BN379">
        <v>1.56</v>
      </c>
    </row>
    <row r="380" spans="1:66" x14ac:dyDescent="0.25">
      <c r="A380">
        <v>1</v>
      </c>
      <c r="B380">
        <v>1</v>
      </c>
      <c r="C380">
        <v>1</v>
      </c>
      <c r="D380">
        <v>2.5333333333333337</v>
      </c>
      <c r="E380">
        <v>3.2833333333333332</v>
      </c>
      <c r="F380">
        <v>2.813333333333333</v>
      </c>
      <c r="G380" s="40">
        <v>0.39</v>
      </c>
      <c r="H380" s="40">
        <v>0.37</v>
      </c>
      <c r="I380" s="40">
        <v>0.24</v>
      </c>
      <c r="J380">
        <v>2.2000000000000002</v>
      </c>
      <c r="K380">
        <v>3.25</v>
      </c>
      <c r="L380">
        <v>2.8</v>
      </c>
      <c r="M380">
        <v>2.7</v>
      </c>
      <c r="N380">
        <v>3.3</v>
      </c>
      <c r="O380">
        <v>2.82</v>
      </c>
      <c r="P380">
        <v>2.7</v>
      </c>
      <c r="Q380">
        <v>3.3</v>
      </c>
      <c r="R380">
        <v>2.82</v>
      </c>
      <c r="S380">
        <v>0.41420118343195261</v>
      </c>
      <c r="T380">
        <v>0.26035502958579881</v>
      </c>
      <c r="U380">
        <v>0.32544378698224852</v>
      </c>
      <c r="V380">
        <v>0.36027874564459927</v>
      </c>
      <c r="W380">
        <v>0.2947735191637631</v>
      </c>
      <c r="X380">
        <v>0.34494773519163768</v>
      </c>
      <c r="Y380">
        <v>0.36027874564459927</v>
      </c>
      <c r="Z380">
        <v>0.2947735191637631</v>
      </c>
      <c r="AA380">
        <v>0.34494773519163768</v>
      </c>
      <c r="AB380">
        <v>0.37825289157371705</v>
      </c>
      <c r="AC380">
        <v>0.28330068930444169</v>
      </c>
      <c r="AD380">
        <v>0.33844641912184131</v>
      </c>
      <c r="AE380" t="s">
        <v>140</v>
      </c>
      <c r="AF380" t="s">
        <v>134</v>
      </c>
      <c r="AG380">
        <v>8.83</v>
      </c>
      <c r="AH380">
        <v>24</v>
      </c>
      <c r="AI380">
        <v>7</v>
      </c>
      <c r="AJ380">
        <v>1</v>
      </c>
      <c r="AK380">
        <v>28</v>
      </c>
      <c r="AL380">
        <v>956</v>
      </c>
      <c r="AM380">
        <v>119</v>
      </c>
      <c r="AN380">
        <v>68</v>
      </c>
      <c r="AO380">
        <v>66</v>
      </c>
      <c r="AP380">
        <v>63</v>
      </c>
      <c r="AQ380">
        <v>2</v>
      </c>
      <c r="AR380" t="s">
        <v>29</v>
      </c>
      <c r="AS380" t="s">
        <v>138</v>
      </c>
      <c r="AT380" t="s">
        <v>134</v>
      </c>
      <c r="AU380">
        <v>11.98</v>
      </c>
      <c r="AV380">
        <v>29</v>
      </c>
      <c r="AW380">
        <v>10</v>
      </c>
      <c r="AX380">
        <v>4</v>
      </c>
      <c r="AY380">
        <v>27.3</v>
      </c>
      <c r="AZ380">
        <v>817</v>
      </c>
      <c r="BA380">
        <v>297</v>
      </c>
      <c r="BB380">
        <v>65</v>
      </c>
      <c r="BC380">
        <v>65</v>
      </c>
      <c r="BD380">
        <v>65</v>
      </c>
      <c r="BE380">
        <v>2</v>
      </c>
      <c r="BF380" t="s">
        <v>29</v>
      </c>
      <c r="BG380">
        <v>4</v>
      </c>
      <c r="BH380">
        <v>14</v>
      </c>
      <c r="BI380">
        <v>0.5</v>
      </c>
      <c r="BJ380" t="s">
        <v>134</v>
      </c>
      <c r="BK380">
        <v>0.375</v>
      </c>
      <c r="BL380">
        <v>0.375</v>
      </c>
      <c r="BM380">
        <v>1.1599999999999999</v>
      </c>
      <c r="BN380">
        <v>1.91</v>
      </c>
    </row>
    <row r="381" spans="1:66" x14ac:dyDescent="0.25">
      <c r="A381">
        <v>2</v>
      </c>
      <c r="B381">
        <v>0</v>
      </c>
      <c r="C381">
        <v>0</v>
      </c>
      <c r="D381">
        <v>2.0866666666666664</v>
      </c>
      <c r="E381">
        <v>3.65</v>
      </c>
      <c r="F381">
        <v>2.9333333333333336</v>
      </c>
      <c r="G381" s="40">
        <v>0.42</v>
      </c>
      <c r="H381" s="40">
        <v>0.3</v>
      </c>
      <c r="I381" s="40">
        <v>0.28000000000000008</v>
      </c>
      <c r="J381">
        <v>2.06</v>
      </c>
      <c r="K381">
        <v>3.45</v>
      </c>
      <c r="L381">
        <v>2.88</v>
      </c>
      <c r="M381">
        <v>2.1</v>
      </c>
      <c r="N381">
        <v>3.75</v>
      </c>
      <c r="O381">
        <v>2.96</v>
      </c>
      <c r="P381">
        <v>2.1</v>
      </c>
      <c r="Q381">
        <v>3.75</v>
      </c>
      <c r="R381">
        <v>2.96</v>
      </c>
      <c r="S381">
        <v>0.44148164311821503</v>
      </c>
      <c r="T381">
        <v>0.24273634826250615</v>
      </c>
      <c r="U381">
        <v>0.3157820086192788</v>
      </c>
      <c r="V381">
        <v>0.44063355960462075</v>
      </c>
      <c r="W381">
        <v>0.24675479337858763</v>
      </c>
      <c r="X381">
        <v>0.31261164701679173</v>
      </c>
      <c r="Y381">
        <v>0.44063355960462075</v>
      </c>
      <c r="Z381">
        <v>0.24675479337858763</v>
      </c>
      <c r="AA381">
        <v>0.31261164701679173</v>
      </c>
      <c r="AB381">
        <v>0.44091625410915219</v>
      </c>
      <c r="AC381">
        <v>0.24541531167322714</v>
      </c>
      <c r="AD381">
        <v>0.31366843421762075</v>
      </c>
      <c r="AE381" t="s">
        <v>136</v>
      </c>
      <c r="AF381" t="s">
        <v>134</v>
      </c>
      <c r="AG381">
        <v>13.58</v>
      </c>
      <c r="AH381">
        <v>24</v>
      </c>
      <c r="AI381">
        <v>6</v>
      </c>
      <c r="AJ381">
        <v>3</v>
      </c>
      <c r="AK381">
        <v>27</v>
      </c>
      <c r="AL381">
        <v>359</v>
      </c>
      <c r="AM381">
        <v>2085</v>
      </c>
      <c r="AN381">
        <v>67</v>
      </c>
      <c r="AO381">
        <v>67</v>
      </c>
      <c r="AP381">
        <v>64</v>
      </c>
      <c r="AQ381">
        <v>2.5</v>
      </c>
      <c r="AR381" t="s">
        <v>46</v>
      </c>
      <c r="AS381" t="s">
        <v>133</v>
      </c>
      <c r="AT381" t="s">
        <v>134</v>
      </c>
      <c r="AU381">
        <v>11.73</v>
      </c>
      <c r="AV381">
        <v>21</v>
      </c>
      <c r="AW381">
        <v>7</v>
      </c>
      <c r="AX381">
        <v>2</v>
      </c>
      <c r="AY381">
        <v>27.2</v>
      </c>
      <c r="AZ381">
        <v>192</v>
      </c>
      <c r="BA381">
        <v>3470</v>
      </c>
      <c r="BB381">
        <v>67</v>
      </c>
      <c r="BC381">
        <v>72</v>
      </c>
      <c r="BD381">
        <v>68</v>
      </c>
      <c r="BE381">
        <v>3</v>
      </c>
      <c r="BF381" t="s">
        <v>29</v>
      </c>
      <c r="BG381">
        <v>-9</v>
      </c>
      <c r="BH381">
        <v>40</v>
      </c>
      <c r="BI381">
        <v>0.313</v>
      </c>
      <c r="BJ381" t="s">
        <v>134</v>
      </c>
      <c r="BK381">
        <v>0.44119999999999998</v>
      </c>
      <c r="BL381">
        <v>0.5</v>
      </c>
      <c r="BM381">
        <v>1.62</v>
      </c>
      <c r="BN381">
        <v>1.95</v>
      </c>
    </row>
    <row r="382" spans="1:66" x14ac:dyDescent="0.25">
      <c r="A382">
        <v>1</v>
      </c>
      <c r="B382">
        <v>2</v>
      </c>
      <c r="C382">
        <v>2</v>
      </c>
      <c r="D382">
        <v>2.2866666666666666</v>
      </c>
      <c r="E382">
        <v>3.0666666666666664</v>
      </c>
      <c r="F382">
        <v>3.4</v>
      </c>
      <c r="G382" s="40">
        <v>0.28000000000000003</v>
      </c>
      <c r="H382" s="40">
        <v>0.43</v>
      </c>
      <c r="I382" s="40">
        <v>0.28999999999999998</v>
      </c>
      <c r="J382">
        <v>2.23</v>
      </c>
      <c r="K382">
        <v>3.1</v>
      </c>
      <c r="L382">
        <v>3.5</v>
      </c>
      <c r="M382">
        <v>2.31</v>
      </c>
      <c r="N382">
        <v>3.1</v>
      </c>
      <c r="O382">
        <v>3.3</v>
      </c>
      <c r="P382">
        <v>2.3199999999999998</v>
      </c>
      <c r="Q382">
        <v>3</v>
      </c>
      <c r="R382">
        <v>3.4</v>
      </c>
      <c r="S382">
        <v>0.44121012891803008</v>
      </c>
      <c r="T382">
        <v>0.27767598894276779</v>
      </c>
      <c r="U382">
        <v>0.28111388213920202</v>
      </c>
      <c r="V382">
        <v>0.40897097625329809</v>
      </c>
      <c r="W382">
        <v>0.30474934036939311</v>
      </c>
      <c r="X382">
        <v>0.28627968337730864</v>
      </c>
      <c r="Y382">
        <v>0.40721814116895561</v>
      </c>
      <c r="Z382">
        <v>0.31491536250399227</v>
      </c>
      <c r="AA382">
        <v>0.27786649632705201</v>
      </c>
      <c r="AB382">
        <v>0.41913308211342798</v>
      </c>
      <c r="AC382">
        <v>0.29911356393871774</v>
      </c>
      <c r="AD382">
        <v>0.28175335394785422</v>
      </c>
      <c r="AE382" t="s">
        <v>64</v>
      </c>
      <c r="AF382" t="s">
        <v>63</v>
      </c>
      <c r="AG382">
        <v>14.58</v>
      </c>
      <c r="AH382">
        <v>27</v>
      </c>
      <c r="AI382">
        <v>2</v>
      </c>
      <c r="AJ382">
        <v>2</v>
      </c>
      <c r="AK382">
        <v>25.6</v>
      </c>
      <c r="AL382">
        <v>71</v>
      </c>
      <c r="AM382">
        <v>5560</v>
      </c>
      <c r="AN382">
        <v>67</v>
      </c>
      <c r="AO382">
        <v>66</v>
      </c>
      <c r="AP382">
        <v>67</v>
      </c>
      <c r="AQ382">
        <v>2.5</v>
      </c>
      <c r="AR382" t="s">
        <v>29</v>
      </c>
      <c r="AS382" t="s">
        <v>62</v>
      </c>
      <c r="AT382" t="s">
        <v>63</v>
      </c>
      <c r="AU382">
        <v>20.65</v>
      </c>
      <c r="AV382">
        <v>29</v>
      </c>
      <c r="AW382">
        <v>2</v>
      </c>
      <c r="AX382">
        <v>2</v>
      </c>
      <c r="AY382">
        <v>26</v>
      </c>
      <c r="AZ382">
        <v>66</v>
      </c>
      <c r="BA382">
        <v>5865</v>
      </c>
      <c r="BB382">
        <v>67</v>
      </c>
      <c r="BC382">
        <v>69</v>
      </c>
      <c r="BD382">
        <v>69</v>
      </c>
      <c r="BE382">
        <v>3</v>
      </c>
      <c r="BF382" t="s">
        <v>29</v>
      </c>
      <c r="BG382">
        <v>-14</v>
      </c>
      <c r="BH382">
        <v>35</v>
      </c>
      <c r="BI382">
        <v>0.23499999999999999</v>
      </c>
      <c r="BJ382" t="s">
        <v>63</v>
      </c>
      <c r="BK382">
        <v>0.37930000000000003</v>
      </c>
      <c r="BL382">
        <v>0.4375</v>
      </c>
      <c r="BM382">
        <v>1.48</v>
      </c>
      <c r="BN382">
        <v>1.25</v>
      </c>
    </row>
    <row r="383" spans="1:66" x14ac:dyDescent="0.25">
      <c r="A383">
        <v>1</v>
      </c>
      <c r="B383">
        <v>3</v>
      </c>
      <c r="C383">
        <v>3</v>
      </c>
      <c r="D383">
        <v>2.5333333333333332</v>
      </c>
      <c r="E383">
        <v>2.91</v>
      </c>
      <c r="F383">
        <v>2.9666666666666668</v>
      </c>
      <c r="G383" s="40">
        <v>0.19</v>
      </c>
      <c r="H383" s="40">
        <v>0.28000000000000003</v>
      </c>
      <c r="I383" s="40">
        <v>0.53</v>
      </c>
      <c r="J383">
        <v>2.5499999999999998</v>
      </c>
      <c r="K383">
        <v>2.8</v>
      </c>
      <c r="L383">
        <v>2.85</v>
      </c>
      <c r="M383">
        <v>2.5499999999999998</v>
      </c>
      <c r="N383">
        <v>2.95</v>
      </c>
      <c r="O383">
        <v>3</v>
      </c>
      <c r="P383">
        <v>2.5</v>
      </c>
      <c r="Q383">
        <v>2.98</v>
      </c>
      <c r="R383">
        <v>3.05</v>
      </c>
      <c r="S383">
        <v>0.36557775663389364</v>
      </c>
      <c r="T383">
        <v>0.30732635585156987</v>
      </c>
      <c r="U383">
        <v>0.32709588751453639</v>
      </c>
      <c r="V383">
        <v>0.36840462066812363</v>
      </c>
      <c r="W383">
        <v>0.31845145176397122</v>
      </c>
      <c r="X383">
        <v>0.3131439275679051</v>
      </c>
      <c r="Y383">
        <v>0.37613805661314348</v>
      </c>
      <c r="Z383">
        <v>0.31555206091706672</v>
      </c>
      <c r="AA383">
        <v>0.3083098824697898</v>
      </c>
      <c r="AB383">
        <v>0.37004014463838691</v>
      </c>
      <c r="AC383">
        <v>0.3137766228442026</v>
      </c>
      <c r="AD383">
        <v>0.31618323251741048</v>
      </c>
      <c r="AE383" t="s">
        <v>95</v>
      </c>
      <c r="AF383" t="s">
        <v>85</v>
      </c>
      <c r="AG383">
        <v>28.25</v>
      </c>
      <c r="AH383">
        <v>27</v>
      </c>
      <c r="AI383">
        <v>3</v>
      </c>
      <c r="AJ383">
        <v>0</v>
      </c>
      <c r="AK383">
        <v>26.9</v>
      </c>
      <c r="AL383">
        <v>130</v>
      </c>
      <c r="AM383">
        <v>4218</v>
      </c>
      <c r="AN383">
        <v>76</v>
      </c>
      <c r="AO383">
        <v>73</v>
      </c>
      <c r="AP383">
        <v>72</v>
      </c>
      <c r="AQ383">
        <v>3.5</v>
      </c>
      <c r="AR383" t="s">
        <v>46</v>
      </c>
      <c r="AS383" t="s">
        <v>91</v>
      </c>
      <c r="AT383" t="s">
        <v>85</v>
      </c>
      <c r="AU383">
        <v>59.6</v>
      </c>
      <c r="AV383">
        <v>34</v>
      </c>
      <c r="AW383">
        <v>4</v>
      </c>
      <c r="AX383">
        <v>3</v>
      </c>
      <c r="AY383">
        <v>27.8</v>
      </c>
      <c r="AZ383">
        <v>97</v>
      </c>
      <c r="BA383">
        <v>4926</v>
      </c>
      <c r="BB383">
        <v>78</v>
      </c>
      <c r="BC383">
        <v>76</v>
      </c>
      <c r="BD383">
        <v>75</v>
      </c>
      <c r="BE383">
        <v>4</v>
      </c>
      <c r="BF383" t="s">
        <v>29</v>
      </c>
      <c r="BG383">
        <v>-9</v>
      </c>
      <c r="BH383">
        <v>30</v>
      </c>
      <c r="BI383">
        <v>0.26900000000000002</v>
      </c>
      <c r="BJ383" t="s">
        <v>85</v>
      </c>
      <c r="BK383">
        <v>0.32429999999999998</v>
      </c>
      <c r="BL383">
        <v>0.42859999999999998</v>
      </c>
      <c r="BM383">
        <v>1.03</v>
      </c>
      <c r="BN383">
        <v>1.35</v>
      </c>
    </row>
    <row r="384" spans="1:66" x14ac:dyDescent="0.25">
      <c r="A384">
        <v>1</v>
      </c>
      <c r="B384">
        <v>3</v>
      </c>
      <c r="C384">
        <v>6</v>
      </c>
      <c r="D384">
        <v>3.2333333333333329</v>
      </c>
      <c r="E384">
        <v>2.91</v>
      </c>
      <c r="F384">
        <v>2.3566666666666669</v>
      </c>
      <c r="G384" s="40">
        <v>0.3</v>
      </c>
      <c r="H384" s="40">
        <v>0.34</v>
      </c>
      <c r="I384" s="40">
        <v>0.35999999999999993</v>
      </c>
      <c r="J384">
        <v>3.05</v>
      </c>
      <c r="K384">
        <v>2.85</v>
      </c>
      <c r="L384">
        <v>2.3199999999999998</v>
      </c>
      <c r="M384">
        <v>3.35</v>
      </c>
      <c r="N384">
        <v>2.95</v>
      </c>
      <c r="O384">
        <v>2.35</v>
      </c>
      <c r="P384">
        <v>3.3</v>
      </c>
      <c r="Q384">
        <v>2.93</v>
      </c>
      <c r="R384">
        <v>2.4</v>
      </c>
      <c r="S384">
        <v>0.30287334226191731</v>
      </c>
      <c r="T384">
        <v>0.29895265174719993</v>
      </c>
      <c r="U384">
        <v>0.39817400599088271</v>
      </c>
      <c r="V384">
        <v>0.2808101265822785</v>
      </c>
      <c r="W384">
        <v>0.31888607594936702</v>
      </c>
      <c r="X384">
        <v>0.40030379746835443</v>
      </c>
      <c r="Y384">
        <v>0.28560984525405142</v>
      </c>
      <c r="Z384">
        <v>0.32167661752162785</v>
      </c>
      <c r="AA384">
        <v>0.39271353722432067</v>
      </c>
      <c r="AB384">
        <v>0.28976443803274904</v>
      </c>
      <c r="AC384">
        <v>0.31317178173939825</v>
      </c>
      <c r="AD384">
        <v>0.39706378022785255</v>
      </c>
      <c r="AE384" t="s">
        <v>120</v>
      </c>
      <c r="AF384" t="s">
        <v>108</v>
      </c>
      <c r="AG384">
        <v>16.53</v>
      </c>
      <c r="AH384">
        <v>31</v>
      </c>
      <c r="AI384">
        <v>3</v>
      </c>
      <c r="AJ384">
        <v>0</v>
      </c>
      <c r="AK384">
        <v>28.7</v>
      </c>
      <c r="AL384">
        <v>106</v>
      </c>
      <c r="AM384">
        <v>4727</v>
      </c>
      <c r="AN384">
        <v>68</v>
      </c>
      <c r="AO384">
        <v>71</v>
      </c>
      <c r="AP384">
        <v>70</v>
      </c>
      <c r="AQ384">
        <v>3</v>
      </c>
      <c r="AR384" t="s">
        <v>28</v>
      </c>
      <c r="AS384" t="s">
        <v>112</v>
      </c>
      <c r="AT384" t="s">
        <v>108</v>
      </c>
      <c r="AU384">
        <v>55.08</v>
      </c>
      <c r="AV384">
        <v>36</v>
      </c>
      <c r="AW384">
        <v>7</v>
      </c>
      <c r="AX384">
        <v>2</v>
      </c>
      <c r="AY384">
        <v>26.4</v>
      </c>
      <c r="AZ384">
        <v>17</v>
      </c>
      <c r="BA384">
        <v>9035</v>
      </c>
      <c r="BB384">
        <v>73</v>
      </c>
      <c r="BC384">
        <v>74</v>
      </c>
      <c r="BD384">
        <v>74</v>
      </c>
      <c r="BE384">
        <v>3.5</v>
      </c>
      <c r="BF384" t="s">
        <v>29</v>
      </c>
      <c r="BG384">
        <v>-5</v>
      </c>
      <c r="BH384">
        <v>8</v>
      </c>
      <c r="BI384">
        <v>0.2</v>
      </c>
      <c r="BJ384" t="s">
        <v>236</v>
      </c>
      <c r="BK384">
        <v>0.4032</v>
      </c>
      <c r="BL384">
        <v>0.52939999999999998</v>
      </c>
      <c r="BM384">
        <v>1.26</v>
      </c>
      <c r="BN384">
        <v>1.5</v>
      </c>
    </row>
    <row r="385" spans="1:66" x14ac:dyDescent="0.25">
      <c r="A385">
        <v>1</v>
      </c>
      <c r="B385">
        <v>1</v>
      </c>
      <c r="C385">
        <v>5</v>
      </c>
      <c r="D385">
        <v>1.6966666666666665</v>
      </c>
      <c r="E385">
        <v>3.3666666666666667</v>
      </c>
      <c r="F385">
        <v>5.75</v>
      </c>
      <c r="G385" s="40">
        <v>0.28999999999999998</v>
      </c>
      <c r="H385" s="40">
        <v>0.41</v>
      </c>
      <c r="I385" s="40">
        <v>0.3</v>
      </c>
      <c r="J385">
        <v>1.7</v>
      </c>
      <c r="K385">
        <v>3.35</v>
      </c>
      <c r="L385">
        <v>5.75</v>
      </c>
      <c r="M385">
        <v>1.66</v>
      </c>
      <c r="N385">
        <v>3.4</v>
      </c>
      <c r="O385">
        <v>6</v>
      </c>
      <c r="P385">
        <v>1.73</v>
      </c>
      <c r="Q385">
        <v>3.35</v>
      </c>
      <c r="R385">
        <v>5.5</v>
      </c>
      <c r="S385">
        <v>0.59606312969541664</v>
      </c>
      <c r="T385">
        <v>0.22770951022072097</v>
      </c>
      <c r="U385">
        <v>0.17622736008386231</v>
      </c>
      <c r="V385">
        <v>0.56660371069881121</v>
      </c>
      <c r="W385">
        <v>0.27663592934118431</v>
      </c>
      <c r="X385">
        <v>0.15676035996000443</v>
      </c>
      <c r="Y385">
        <v>0.54616057269048923</v>
      </c>
      <c r="Z385">
        <v>0.28204710171777503</v>
      </c>
      <c r="AA385">
        <v>0.17179232559173571</v>
      </c>
      <c r="AB385">
        <v>0.56960913769490562</v>
      </c>
      <c r="AC385">
        <v>0.26213084709322676</v>
      </c>
      <c r="AD385">
        <v>0.16826001521186748</v>
      </c>
      <c r="AE385" t="s">
        <v>66</v>
      </c>
      <c r="AF385" t="s">
        <v>63</v>
      </c>
      <c r="AG385">
        <v>23.33</v>
      </c>
      <c r="AH385">
        <v>27</v>
      </c>
      <c r="AI385">
        <v>2</v>
      </c>
      <c r="AJ385">
        <v>1</v>
      </c>
      <c r="AK385">
        <v>29.3</v>
      </c>
      <c r="AL385">
        <v>93</v>
      </c>
      <c r="AM385">
        <v>5011</v>
      </c>
      <c r="AN385">
        <v>74</v>
      </c>
      <c r="AO385">
        <v>69</v>
      </c>
      <c r="AP385">
        <v>68</v>
      </c>
      <c r="AQ385">
        <v>3</v>
      </c>
      <c r="AR385" t="s">
        <v>28</v>
      </c>
      <c r="AS385" t="s">
        <v>70</v>
      </c>
      <c r="AT385" t="s">
        <v>63</v>
      </c>
      <c r="AU385">
        <v>16.05</v>
      </c>
      <c r="AV385">
        <v>30</v>
      </c>
      <c r="AW385">
        <v>3</v>
      </c>
      <c r="AX385">
        <v>0</v>
      </c>
      <c r="AY385">
        <v>26.3</v>
      </c>
      <c r="AZ385">
        <v>200</v>
      </c>
      <c r="BA385">
        <v>3276</v>
      </c>
      <c r="BB385">
        <v>69</v>
      </c>
      <c r="BC385">
        <v>69</v>
      </c>
      <c r="BD385">
        <v>64</v>
      </c>
      <c r="BE385">
        <v>3</v>
      </c>
      <c r="BF385" t="s">
        <v>29</v>
      </c>
      <c r="BG385">
        <v>6</v>
      </c>
      <c r="BH385">
        <v>54</v>
      </c>
      <c r="BI385">
        <v>0.45500000000000002</v>
      </c>
      <c r="BJ385" t="s">
        <v>63</v>
      </c>
      <c r="BK385">
        <v>0.4</v>
      </c>
      <c r="BL385">
        <v>0.36</v>
      </c>
      <c r="BM385">
        <v>1.28</v>
      </c>
      <c r="BN385">
        <v>1.44</v>
      </c>
    </row>
    <row r="386" spans="1:66" x14ac:dyDescent="0.25">
      <c r="A386">
        <v>2</v>
      </c>
      <c r="B386">
        <v>0</v>
      </c>
      <c r="C386">
        <v>2</v>
      </c>
      <c r="D386">
        <v>1.8966666666666665</v>
      </c>
      <c r="E386">
        <v>3.1833333333333336</v>
      </c>
      <c r="F386">
        <v>4.6000000000000005</v>
      </c>
      <c r="G386" s="40">
        <v>0.33</v>
      </c>
      <c r="H386" s="40">
        <v>0.41</v>
      </c>
      <c r="I386" s="40">
        <v>0.25999999999999995</v>
      </c>
      <c r="J386">
        <v>1.88</v>
      </c>
      <c r="K386">
        <v>3.2</v>
      </c>
      <c r="L386">
        <v>4.7</v>
      </c>
      <c r="M386">
        <v>1.91</v>
      </c>
      <c r="N386">
        <v>3.2</v>
      </c>
      <c r="O386">
        <v>4.5</v>
      </c>
      <c r="P386">
        <v>1.9</v>
      </c>
      <c r="Q386">
        <v>3.15</v>
      </c>
      <c r="R386">
        <v>4.5999999999999996</v>
      </c>
      <c r="S386">
        <v>0.53340517241379326</v>
      </c>
      <c r="T386">
        <v>0.25323275862068961</v>
      </c>
      <c r="U386">
        <v>0.21336206896551727</v>
      </c>
      <c r="V386">
        <v>0.49472635448517543</v>
      </c>
      <c r="W386">
        <v>0.29528979283333906</v>
      </c>
      <c r="X386">
        <v>0.20998385268148553</v>
      </c>
      <c r="Y386">
        <v>0.49597809344514809</v>
      </c>
      <c r="Z386">
        <v>0.29916138969707345</v>
      </c>
      <c r="AA386">
        <v>0.20486051685777856</v>
      </c>
      <c r="AB386">
        <v>0.50803654011470556</v>
      </c>
      <c r="AC386">
        <v>0.28256131371703402</v>
      </c>
      <c r="AD386">
        <v>0.20940214616826044</v>
      </c>
      <c r="AE386" t="s">
        <v>62</v>
      </c>
      <c r="AF386" t="s">
        <v>63</v>
      </c>
      <c r="AG386">
        <v>20.65</v>
      </c>
      <c r="AH386">
        <v>29</v>
      </c>
      <c r="AI386">
        <v>2</v>
      </c>
      <c r="AJ386">
        <v>2</v>
      </c>
      <c r="AK386">
        <v>26</v>
      </c>
      <c r="AL386">
        <v>66</v>
      </c>
      <c r="AM386">
        <v>5865</v>
      </c>
      <c r="AN386">
        <v>67</v>
      </c>
      <c r="AO386">
        <v>69</v>
      </c>
      <c r="AP386">
        <v>69</v>
      </c>
      <c r="AQ386">
        <v>3</v>
      </c>
      <c r="AR386" t="s">
        <v>29</v>
      </c>
      <c r="AS386" t="s">
        <v>71</v>
      </c>
      <c r="AT386" t="s">
        <v>63</v>
      </c>
      <c r="AU386">
        <v>12.88</v>
      </c>
      <c r="AV386">
        <v>35</v>
      </c>
      <c r="AW386">
        <v>4</v>
      </c>
      <c r="AX386">
        <v>0</v>
      </c>
      <c r="AY386">
        <v>26.7</v>
      </c>
      <c r="AZ386">
        <v>205</v>
      </c>
      <c r="BA386">
        <v>3223</v>
      </c>
      <c r="BB386">
        <v>73</v>
      </c>
      <c r="BC386">
        <v>66</v>
      </c>
      <c r="BD386">
        <v>65</v>
      </c>
      <c r="BE386">
        <v>2.5</v>
      </c>
      <c r="BF386" t="s">
        <v>29</v>
      </c>
      <c r="BG386">
        <v>18</v>
      </c>
      <c r="BH386">
        <v>49</v>
      </c>
      <c r="BI386">
        <v>0.51900000000000002</v>
      </c>
      <c r="BJ386" t="s">
        <v>63</v>
      </c>
      <c r="BK386">
        <v>0.4375</v>
      </c>
      <c r="BL386">
        <v>0.3846</v>
      </c>
      <c r="BM386">
        <v>1.25</v>
      </c>
      <c r="BN386">
        <v>1.42</v>
      </c>
    </row>
    <row r="387" spans="1:66" x14ac:dyDescent="0.25">
      <c r="A387">
        <v>1</v>
      </c>
      <c r="B387">
        <v>2</v>
      </c>
      <c r="C387">
        <v>4</v>
      </c>
      <c r="D387">
        <v>1.7833333333333332</v>
      </c>
      <c r="E387">
        <v>3.6333333333333333</v>
      </c>
      <c r="F387">
        <v>4.1610000000000005</v>
      </c>
      <c r="G387" s="40">
        <v>0.36</v>
      </c>
      <c r="H387" s="40">
        <v>0.4</v>
      </c>
      <c r="I387" s="40">
        <v>0.24</v>
      </c>
      <c r="J387">
        <v>1.75</v>
      </c>
      <c r="K387">
        <v>3.55</v>
      </c>
      <c r="L387">
        <v>3.85</v>
      </c>
      <c r="M387">
        <v>1.8</v>
      </c>
      <c r="N387">
        <v>3.65</v>
      </c>
      <c r="O387">
        <v>4.3330000000000002</v>
      </c>
      <c r="P387">
        <v>1.8</v>
      </c>
      <c r="Q387">
        <v>3.7</v>
      </c>
      <c r="R387">
        <v>4.3</v>
      </c>
      <c r="S387">
        <v>0.53152622274602246</v>
      </c>
      <c r="T387">
        <v>0.22687094873305838</v>
      </c>
      <c r="U387">
        <v>0.2416028285209193</v>
      </c>
      <c r="V387">
        <v>0.52395324144396949</v>
      </c>
      <c r="W387">
        <v>0.25838789989017674</v>
      </c>
      <c r="X387">
        <v>0.21765885866585391</v>
      </c>
      <c r="Y387">
        <v>0.52490927086770034</v>
      </c>
      <c r="Z387">
        <v>0.255361266908611</v>
      </c>
      <c r="AA387">
        <v>0.21972946222368853</v>
      </c>
      <c r="AB387">
        <v>0.52679624501923072</v>
      </c>
      <c r="AC387">
        <v>0.24687337184394867</v>
      </c>
      <c r="AD387">
        <v>0.22633038313682055</v>
      </c>
      <c r="AE387" t="s">
        <v>109</v>
      </c>
      <c r="AF387" t="s">
        <v>108</v>
      </c>
      <c r="AG387">
        <v>89.45</v>
      </c>
      <c r="AH387">
        <v>31</v>
      </c>
      <c r="AI387">
        <v>4</v>
      </c>
      <c r="AJ387">
        <v>4</v>
      </c>
      <c r="AK387">
        <v>27.3</v>
      </c>
      <c r="AL387">
        <v>5</v>
      </c>
      <c r="AM387">
        <v>11026</v>
      </c>
      <c r="AN387">
        <v>79</v>
      </c>
      <c r="AO387">
        <v>76</v>
      </c>
      <c r="AP387">
        <v>74</v>
      </c>
      <c r="AQ387">
        <v>4</v>
      </c>
      <c r="AR387" t="s">
        <v>29</v>
      </c>
      <c r="AS387" t="s">
        <v>115</v>
      </c>
      <c r="AT387" t="s">
        <v>108</v>
      </c>
      <c r="AU387">
        <v>62.68</v>
      </c>
      <c r="AV387">
        <v>34</v>
      </c>
      <c r="AW387">
        <v>5</v>
      </c>
      <c r="AX387">
        <v>3</v>
      </c>
      <c r="AY387">
        <v>25.6</v>
      </c>
      <c r="AZ387">
        <v>64</v>
      </c>
      <c r="BA387">
        <v>6079</v>
      </c>
      <c r="BB387">
        <v>72</v>
      </c>
      <c r="BC387">
        <v>74</v>
      </c>
      <c r="BD387">
        <v>72</v>
      </c>
      <c r="BE387">
        <v>3.5</v>
      </c>
      <c r="BF387" t="s">
        <v>29</v>
      </c>
      <c r="BG387">
        <v>16</v>
      </c>
      <c r="BH387">
        <v>65</v>
      </c>
      <c r="BI387">
        <v>0.439</v>
      </c>
      <c r="BJ387" t="s">
        <v>236</v>
      </c>
      <c r="BK387">
        <v>0.50649999999999995</v>
      </c>
      <c r="BL387">
        <v>0.3448</v>
      </c>
      <c r="BM387">
        <v>1.56</v>
      </c>
      <c r="BN387">
        <v>1.1599999999999999</v>
      </c>
    </row>
    <row r="388" spans="1:66" x14ac:dyDescent="0.25">
      <c r="A388">
        <v>1</v>
      </c>
      <c r="B388">
        <v>1</v>
      </c>
      <c r="C388">
        <v>1</v>
      </c>
      <c r="D388">
        <v>2.1266666666666669</v>
      </c>
      <c r="E388">
        <v>3.25</v>
      </c>
      <c r="F388">
        <v>3.3333333333333335</v>
      </c>
      <c r="G388" s="40">
        <v>0.46</v>
      </c>
      <c r="H388" s="40">
        <v>0.31</v>
      </c>
      <c r="I388" s="40">
        <v>0.23000000000000004</v>
      </c>
      <c r="J388">
        <v>2.06</v>
      </c>
      <c r="K388">
        <v>3.15</v>
      </c>
      <c r="L388">
        <v>3.2</v>
      </c>
      <c r="M388">
        <v>2.15</v>
      </c>
      <c r="N388">
        <v>3.3</v>
      </c>
      <c r="O388">
        <v>3.4</v>
      </c>
      <c r="P388">
        <v>2.17</v>
      </c>
      <c r="Q388">
        <v>3.3</v>
      </c>
      <c r="R388">
        <v>3.4</v>
      </c>
      <c r="S388">
        <v>0.44637375184463096</v>
      </c>
      <c r="T388">
        <v>0.26627314540538799</v>
      </c>
      <c r="U388">
        <v>0.28735310274998116</v>
      </c>
      <c r="V388">
        <v>0.43785365853658537</v>
      </c>
      <c r="W388">
        <v>0.28526829268292681</v>
      </c>
      <c r="X388">
        <v>0.27687804878048777</v>
      </c>
      <c r="Y388">
        <v>0.43557591521409988</v>
      </c>
      <c r="Z388">
        <v>0.2864241624286657</v>
      </c>
      <c r="AA388">
        <v>0.27799992235723431</v>
      </c>
      <c r="AB388">
        <v>0.43993444186510539</v>
      </c>
      <c r="AC388">
        <v>0.27932186683899346</v>
      </c>
      <c r="AD388">
        <v>0.2807436912959011</v>
      </c>
      <c r="AE388" t="s">
        <v>113</v>
      </c>
      <c r="AF388" t="s">
        <v>108</v>
      </c>
      <c r="AG388">
        <v>53.08</v>
      </c>
      <c r="AH388">
        <v>34</v>
      </c>
      <c r="AI388">
        <v>7</v>
      </c>
      <c r="AJ388">
        <v>4</v>
      </c>
      <c r="AK388">
        <v>26.8</v>
      </c>
      <c r="AL388">
        <v>33</v>
      </c>
      <c r="AM388">
        <v>7418</v>
      </c>
      <c r="AN388">
        <v>76</v>
      </c>
      <c r="AO388">
        <v>75</v>
      </c>
      <c r="AP388">
        <v>74</v>
      </c>
      <c r="AQ388">
        <v>3.5</v>
      </c>
      <c r="AR388" t="s">
        <v>29</v>
      </c>
      <c r="AS388" t="s">
        <v>116</v>
      </c>
      <c r="AT388" t="s">
        <v>108</v>
      </c>
      <c r="AU388">
        <v>50.33</v>
      </c>
      <c r="AV388">
        <v>33</v>
      </c>
      <c r="AW388">
        <v>4</v>
      </c>
      <c r="AX388">
        <v>1</v>
      </c>
      <c r="AY388">
        <v>25.3</v>
      </c>
      <c r="AZ388">
        <v>75</v>
      </c>
      <c r="BA388">
        <v>5476</v>
      </c>
      <c r="BB388">
        <v>75</v>
      </c>
      <c r="BC388">
        <v>75</v>
      </c>
      <c r="BD388">
        <v>75</v>
      </c>
      <c r="BE388">
        <v>4</v>
      </c>
      <c r="BF388" t="s">
        <v>29</v>
      </c>
      <c r="BG388">
        <v>-9</v>
      </c>
      <c r="BH388">
        <v>60</v>
      </c>
      <c r="BI388">
        <v>0.36399999999999999</v>
      </c>
      <c r="BJ388" t="s">
        <v>236</v>
      </c>
      <c r="BK388">
        <v>0.54390000000000005</v>
      </c>
      <c r="BL388">
        <v>0.44619999999999999</v>
      </c>
      <c r="BM388">
        <v>1.68</v>
      </c>
      <c r="BN388">
        <v>1.69</v>
      </c>
    </row>
    <row r="389" spans="1:66" x14ac:dyDescent="0.25">
      <c r="A389">
        <v>3</v>
      </c>
      <c r="B389">
        <v>-1</v>
      </c>
      <c r="C389">
        <v>1</v>
      </c>
      <c r="D389">
        <v>1.8066666666666666</v>
      </c>
      <c r="E389">
        <v>3.3000000000000003</v>
      </c>
      <c r="F389">
        <v>4.5666666666666664</v>
      </c>
      <c r="G389" s="40">
        <v>0.3</v>
      </c>
      <c r="H389" s="40">
        <v>0.24</v>
      </c>
      <c r="I389" s="40">
        <v>0.45999999999999996</v>
      </c>
      <c r="J389">
        <v>1.8</v>
      </c>
      <c r="K389">
        <v>3.15</v>
      </c>
      <c r="L389">
        <v>4.2</v>
      </c>
      <c r="M389">
        <v>1.8</v>
      </c>
      <c r="N389">
        <v>3.4</v>
      </c>
      <c r="O389">
        <v>4.75</v>
      </c>
      <c r="P389">
        <v>1.82</v>
      </c>
      <c r="Q389">
        <v>3.35</v>
      </c>
      <c r="R389">
        <v>4.75</v>
      </c>
      <c r="S389">
        <v>0.52217741935483875</v>
      </c>
      <c r="T389">
        <v>0.25403225806451613</v>
      </c>
      <c r="U389">
        <v>0.22379032258064516</v>
      </c>
      <c r="V389">
        <v>0.5240103828682674</v>
      </c>
      <c r="W389">
        <v>0.27741726151849444</v>
      </c>
      <c r="X389">
        <v>0.19857235561323813</v>
      </c>
      <c r="Y389">
        <v>0.51909181359996082</v>
      </c>
      <c r="Z389">
        <v>0.28201405992594886</v>
      </c>
      <c r="AA389">
        <v>0.19889412647409024</v>
      </c>
      <c r="AB389">
        <v>0.52175987194102225</v>
      </c>
      <c r="AC389">
        <v>0.27115452650298649</v>
      </c>
      <c r="AD389">
        <v>0.20708560155599118</v>
      </c>
      <c r="AE389" t="s">
        <v>110</v>
      </c>
      <c r="AF389" t="s">
        <v>108</v>
      </c>
      <c r="AG389">
        <v>68.63</v>
      </c>
      <c r="AH389">
        <v>35</v>
      </c>
      <c r="AI389">
        <v>2</v>
      </c>
      <c r="AJ389">
        <v>3</v>
      </c>
      <c r="AK389">
        <v>27.4</v>
      </c>
      <c r="AL389">
        <v>9</v>
      </c>
      <c r="AM389">
        <v>10366</v>
      </c>
      <c r="AN389">
        <v>72</v>
      </c>
      <c r="AO389">
        <v>75</v>
      </c>
      <c r="AP389">
        <v>74</v>
      </c>
      <c r="AQ389">
        <v>4</v>
      </c>
      <c r="AR389" t="s">
        <v>29</v>
      </c>
      <c r="AS389" t="s">
        <v>111</v>
      </c>
      <c r="AT389" t="s">
        <v>108</v>
      </c>
      <c r="AU389">
        <v>33.93</v>
      </c>
      <c r="AV389">
        <v>41</v>
      </c>
      <c r="AW389">
        <v>4</v>
      </c>
      <c r="AX389">
        <v>2</v>
      </c>
      <c r="AY389">
        <v>24.7</v>
      </c>
      <c r="AZ389">
        <v>15</v>
      </c>
      <c r="BA389">
        <v>9286</v>
      </c>
      <c r="BB389">
        <v>70</v>
      </c>
      <c r="BC389">
        <v>71</v>
      </c>
      <c r="BD389">
        <v>72</v>
      </c>
      <c r="BE389">
        <v>3.5</v>
      </c>
      <c r="BF389" t="s">
        <v>29</v>
      </c>
      <c r="BG389">
        <v>16</v>
      </c>
      <c r="BH389">
        <v>58</v>
      </c>
      <c r="BI389">
        <v>0.5</v>
      </c>
      <c r="BJ389" t="s">
        <v>236</v>
      </c>
      <c r="BK389">
        <v>0.47299999999999998</v>
      </c>
      <c r="BL389">
        <v>0.43940000000000001</v>
      </c>
      <c r="BM389">
        <v>1.36</v>
      </c>
      <c r="BN389">
        <v>1.29</v>
      </c>
    </row>
    <row r="390" spans="1:66" x14ac:dyDescent="0.25">
      <c r="A390">
        <v>3</v>
      </c>
      <c r="B390">
        <v>-1</v>
      </c>
      <c r="C390">
        <v>1</v>
      </c>
      <c r="D390">
        <v>2.813333333333333</v>
      </c>
      <c r="E390">
        <v>3.1666666666666665</v>
      </c>
      <c r="F390">
        <v>2.48</v>
      </c>
      <c r="G390" s="40">
        <v>0.43</v>
      </c>
      <c r="H390" s="40">
        <v>0.27</v>
      </c>
      <c r="I390" s="40">
        <v>0.30000000000000004</v>
      </c>
      <c r="J390">
        <v>2.7</v>
      </c>
      <c r="K390">
        <v>3.1</v>
      </c>
      <c r="L390">
        <v>2.4</v>
      </c>
      <c r="M390">
        <v>2.9</v>
      </c>
      <c r="N390">
        <v>3.2</v>
      </c>
      <c r="O390">
        <v>2.5</v>
      </c>
      <c r="P390">
        <v>2.84</v>
      </c>
      <c r="Q390">
        <v>3.2</v>
      </c>
      <c r="R390">
        <v>2.54</v>
      </c>
      <c r="S390">
        <v>0.34071550255536626</v>
      </c>
      <c r="T390">
        <v>0.27597955706984661</v>
      </c>
      <c r="U390">
        <v>0.38330494037478707</v>
      </c>
      <c r="V390">
        <v>0.32613126783530377</v>
      </c>
      <c r="W390">
        <v>0.29555646147574399</v>
      </c>
      <c r="X390">
        <v>0.37831227068895235</v>
      </c>
      <c r="Y390">
        <v>0.3327111373088385</v>
      </c>
      <c r="Z390">
        <v>0.29528113436159414</v>
      </c>
      <c r="AA390">
        <v>0.37200772832956741</v>
      </c>
      <c r="AB390">
        <v>0.33318596923316951</v>
      </c>
      <c r="AC390">
        <v>0.28893905096906164</v>
      </c>
      <c r="AD390">
        <v>0.37787497979776896</v>
      </c>
      <c r="AE390" t="s">
        <v>117</v>
      </c>
      <c r="AF390" t="s">
        <v>108</v>
      </c>
      <c r="AG390">
        <v>24.2</v>
      </c>
      <c r="AH390">
        <v>32</v>
      </c>
      <c r="AI390">
        <v>0</v>
      </c>
      <c r="AJ390">
        <v>0</v>
      </c>
      <c r="AK390">
        <v>26.9</v>
      </c>
      <c r="AL390">
        <v>84</v>
      </c>
      <c r="AM390">
        <v>5249</v>
      </c>
      <c r="AN390">
        <v>70</v>
      </c>
      <c r="AO390">
        <v>72</v>
      </c>
      <c r="AP390">
        <v>71</v>
      </c>
      <c r="AQ390">
        <v>3.5</v>
      </c>
      <c r="AR390" t="s">
        <v>28</v>
      </c>
      <c r="AS390" t="s">
        <v>112</v>
      </c>
      <c r="AT390" t="s">
        <v>108</v>
      </c>
      <c r="AU390">
        <v>55.08</v>
      </c>
      <c r="AV390">
        <v>36</v>
      </c>
      <c r="AW390">
        <v>7</v>
      </c>
      <c r="AX390">
        <v>2</v>
      </c>
      <c r="AY390">
        <v>26.4</v>
      </c>
      <c r="AZ390">
        <v>17</v>
      </c>
      <c r="BA390">
        <v>9035</v>
      </c>
      <c r="BB390">
        <v>73</v>
      </c>
      <c r="BC390">
        <v>74</v>
      </c>
      <c r="BD390">
        <v>74</v>
      </c>
      <c r="BE390">
        <v>3.5</v>
      </c>
      <c r="BF390" t="s">
        <v>29</v>
      </c>
      <c r="BG390">
        <v>-11</v>
      </c>
      <c r="BH390">
        <v>20</v>
      </c>
      <c r="BI390">
        <v>0.22700000000000001</v>
      </c>
      <c r="BJ390" t="s">
        <v>236</v>
      </c>
      <c r="BK390">
        <v>0.40279999999999999</v>
      </c>
      <c r="BL390">
        <v>0.52939999999999998</v>
      </c>
      <c r="BM390">
        <v>1.33</v>
      </c>
      <c r="BN390">
        <v>1.5</v>
      </c>
    </row>
    <row r="391" spans="1:66" x14ac:dyDescent="0.25">
      <c r="A391">
        <v>1</v>
      </c>
      <c r="B391">
        <v>2</v>
      </c>
      <c r="C391">
        <v>2</v>
      </c>
      <c r="D391">
        <v>2.0566666666666666</v>
      </c>
      <c r="E391">
        <v>3.2333333333333329</v>
      </c>
      <c r="F391">
        <v>3.9</v>
      </c>
      <c r="G391" s="40">
        <v>0.35</v>
      </c>
      <c r="H391" s="40">
        <v>0.36</v>
      </c>
      <c r="I391" s="40">
        <v>0.29000000000000004</v>
      </c>
      <c r="J391">
        <v>1.98</v>
      </c>
      <c r="K391">
        <v>3.4</v>
      </c>
      <c r="L391">
        <v>3.9</v>
      </c>
      <c r="M391">
        <v>2.11</v>
      </c>
      <c r="N391">
        <v>3</v>
      </c>
      <c r="O391">
        <v>3.95</v>
      </c>
      <c r="P391">
        <v>2.08</v>
      </c>
      <c r="Q391">
        <v>3.3</v>
      </c>
      <c r="R391">
        <v>3.85</v>
      </c>
      <c r="S391">
        <v>0.49912187367800326</v>
      </c>
      <c r="T391">
        <v>0.24747779045470278</v>
      </c>
      <c r="U391">
        <v>0.25340033586729394</v>
      </c>
      <c r="V391">
        <v>0.44692526730656806</v>
      </c>
      <c r="W391">
        <v>0.31433743800561958</v>
      </c>
      <c r="X391">
        <v>0.23873729468781235</v>
      </c>
      <c r="Y391">
        <v>0.4607100119664938</v>
      </c>
      <c r="Z391">
        <v>0.29038691663342642</v>
      </c>
      <c r="AA391">
        <v>0.24890307140007978</v>
      </c>
      <c r="AB391">
        <v>0.46891905098368841</v>
      </c>
      <c r="AC391">
        <v>0.28406738169791623</v>
      </c>
      <c r="AD391">
        <v>0.24701356731839538</v>
      </c>
      <c r="AE391" t="s">
        <v>70</v>
      </c>
      <c r="AF391" t="s">
        <v>63</v>
      </c>
      <c r="AG391">
        <v>16.05</v>
      </c>
      <c r="AH391">
        <v>30</v>
      </c>
      <c r="AI391">
        <v>3</v>
      </c>
      <c r="AJ391">
        <v>0</v>
      </c>
      <c r="AK391">
        <v>26.3</v>
      </c>
      <c r="AL391">
        <v>200</v>
      </c>
      <c r="AM391">
        <v>3276</v>
      </c>
      <c r="AN391">
        <v>69</v>
      </c>
      <c r="AO391">
        <v>69</v>
      </c>
      <c r="AP391">
        <v>64</v>
      </c>
      <c r="AQ391">
        <v>3</v>
      </c>
      <c r="AR391" t="s">
        <v>29</v>
      </c>
      <c r="AS391" t="s">
        <v>66</v>
      </c>
      <c r="AT391" t="s">
        <v>63</v>
      </c>
      <c r="AU391">
        <v>23.33</v>
      </c>
      <c r="AV391">
        <v>27</v>
      </c>
      <c r="AW391">
        <v>2</v>
      </c>
      <c r="AX391">
        <v>1</v>
      </c>
      <c r="AY391">
        <v>29.3</v>
      </c>
      <c r="AZ391">
        <v>93</v>
      </c>
      <c r="BA391">
        <v>5011</v>
      </c>
      <c r="BB391">
        <v>74</v>
      </c>
      <c r="BC391">
        <v>69</v>
      </c>
      <c r="BD391">
        <v>68</v>
      </c>
      <c r="BE391">
        <v>3</v>
      </c>
      <c r="BF391" t="s">
        <v>28</v>
      </c>
      <c r="BG391">
        <v>-6</v>
      </c>
      <c r="BH391">
        <v>36</v>
      </c>
      <c r="BI391">
        <v>0.27300000000000002</v>
      </c>
      <c r="BJ391" t="s">
        <v>63</v>
      </c>
      <c r="BK391">
        <v>0.36</v>
      </c>
      <c r="BL391">
        <v>0.4</v>
      </c>
      <c r="BM391">
        <v>1.44</v>
      </c>
      <c r="BN391">
        <v>1.28</v>
      </c>
    </row>
    <row r="392" spans="1:66" x14ac:dyDescent="0.25">
      <c r="A392">
        <v>3</v>
      </c>
      <c r="B392">
        <v>-1</v>
      </c>
      <c r="C392">
        <v>3</v>
      </c>
      <c r="D392">
        <v>2.6066666666666669</v>
      </c>
      <c r="E392">
        <v>2.9133333333333336</v>
      </c>
      <c r="F392">
        <v>3.0500000000000003</v>
      </c>
      <c r="G392" s="40">
        <v>0.32</v>
      </c>
      <c r="H392" s="40">
        <v>0.43</v>
      </c>
      <c r="I392" s="40">
        <v>0.24999999999999994</v>
      </c>
      <c r="J392">
        <v>2.6</v>
      </c>
      <c r="K392">
        <v>2.9</v>
      </c>
      <c r="L392">
        <v>3.05</v>
      </c>
      <c r="M392">
        <v>2.6</v>
      </c>
      <c r="N392">
        <v>2.9</v>
      </c>
      <c r="O392">
        <v>3</v>
      </c>
      <c r="P392">
        <v>2.62</v>
      </c>
      <c r="Q392">
        <v>2.94</v>
      </c>
      <c r="R392">
        <v>3.1</v>
      </c>
      <c r="S392">
        <v>0.37700865265760192</v>
      </c>
      <c r="T392">
        <v>0.30160692212608159</v>
      </c>
      <c r="U392">
        <v>0.32138442521631638</v>
      </c>
      <c r="V392">
        <v>0.36189683860232946</v>
      </c>
      <c r="W392">
        <v>0.32445923460898507</v>
      </c>
      <c r="X392">
        <v>0.31364392678868552</v>
      </c>
      <c r="Y392">
        <v>0.3654546329414407</v>
      </c>
      <c r="Z392">
        <v>0.32567725792740632</v>
      </c>
      <c r="AA392">
        <v>0.30886810913115309</v>
      </c>
      <c r="AB392">
        <v>0.36812004140045734</v>
      </c>
      <c r="AC392">
        <v>0.31724780488749099</v>
      </c>
      <c r="AD392">
        <v>0.31463215371205167</v>
      </c>
      <c r="AE392" t="s">
        <v>71</v>
      </c>
      <c r="AF392" t="s">
        <v>63</v>
      </c>
      <c r="AG392">
        <v>12.88</v>
      </c>
      <c r="AH392">
        <v>35</v>
      </c>
      <c r="AI392">
        <v>4</v>
      </c>
      <c r="AJ392">
        <v>0</v>
      </c>
      <c r="AK392">
        <v>26.7</v>
      </c>
      <c r="AL392">
        <v>205</v>
      </c>
      <c r="AM392">
        <v>3223</v>
      </c>
      <c r="AN392">
        <v>73</v>
      </c>
      <c r="AO392">
        <v>66</v>
      </c>
      <c r="AP392">
        <v>65</v>
      </c>
      <c r="AQ392">
        <v>2.5</v>
      </c>
      <c r="AR392" t="s">
        <v>29</v>
      </c>
      <c r="AS392" t="s">
        <v>62</v>
      </c>
      <c r="AT392" t="s">
        <v>63</v>
      </c>
      <c r="AU392">
        <v>20.65</v>
      </c>
      <c r="AV392">
        <v>29</v>
      </c>
      <c r="AW392">
        <v>2</v>
      </c>
      <c r="AX392">
        <v>2</v>
      </c>
      <c r="AY392">
        <v>26</v>
      </c>
      <c r="AZ392">
        <v>66</v>
      </c>
      <c r="BA392">
        <v>5865</v>
      </c>
      <c r="BB392">
        <v>67</v>
      </c>
      <c r="BC392">
        <v>69</v>
      </c>
      <c r="BD392">
        <v>69</v>
      </c>
      <c r="BE392">
        <v>3</v>
      </c>
      <c r="BF392" t="s">
        <v>29</v>
      </c>
      <c r="BG392">
        <v>-18</v>
      </c>
      <c r="BH392">
        <v>25</v>
      </c>
      <c r="BI392">
        <v>0.222</v>
      </c>
      <c r="BJ392" t="s">
        <v>63</v>
      </c>
      <c r="BK392">
        <v>0.3846</v>
      </c>
      <c r="BL392">
        <v>0.4375</v>
      </c>
      <c r="BM392">
        <v>1.42</v>
      </c>
      <c r="BN392">
        <v>1.25</v>
      </c>
    </row>
    <row r="393" spans="1:66" x14ac:dyDescent="0.25">
      <c r="A393">
        <v>1</v>
      </c>
      <c r="B393">
        <v>0</v>
      </c>
      <c r="C393">
        <v>2</v>
      </c>
      <c r="D393">
        <v>2.38</v>
      </c>
      <c r="E393">
        <v>2.8533333333333335</v>
      </c>
      <c r="F393">
        <v>3.4</v>
      </c>
      <c r="G393" s="40">
        <v>0.33</v>
      </c>
      <c r="H393" s="40">
        <v>0.37</v>
      </c>
      <c r="I393" s="40">
        <v>0.29999999999999993</v>
      </c>
      <c r="J393">
        <v>2.4</v>
      </c>
      <c r="K393">
        <v>2.85</v>
      </c>
      <c r="L393">
        <v>3.45</v>
      </c>
      <c r="M393">
        <v>2.2999999999999998</v>
      </c>
      <c r="N393">
        <v>2.85</v>
      </c>
      <c r="O393">
        <v>3.45</v>
      </c>
      <c r="P393">
        <v>2.44</v>
      </c>
      <c r="Q393">
        <v>2.86</v>
      </c>
      <c r="R393">
        <v>3.3</v>
      </c>
      <c r="S393">
        <v>0.41082715031602091</v>
      </c>
      <c r="T393">
        <v>0.30338004946413849</v>
      </c>
      <c r="U393">
        <v>0.2857928002198406</v>
      </c>
      <c r="V393">
        <v>0.4042553191489362</v>
      </c>
      <c r="W393">
        <v>0.32624113475177308</v>
      </c>
      <c r="X393">
        <v>0.26950354609929078</v>
      </c>
      <c r="Y393">
        <v>0.38572199244740157</v>
      </c>
      <c r="Z393">
        <v>0.32907750404603492</v>
      </c>
      <c r="AA393">
        <v>0.28520050350656356</v>
      </c>
      <c r="AB393">
        <v>0.40026815397078624</v>
      </c>
      <c r="AC393">
        <v>0.31956622942064888</v>
      </c>
      <c r="AD393">
        <v>0.28016561660856504</v>
      </c>
      <c r="AE393" t="s">
        <v>62</v>
      </c>
      <c r="AF393" t="s">
        <v>63</v>
      </c>
      <c r="AG393">
        <v>20.65</v>
      </c>
      <c r="AH393">
        <v>29</v>
      </c>
      <c r="AI393">
        <v>2</v>
      </c>
      <c r="AJ393">
        <v>2</v>
      </c>
      <c r="AK393">
        <v>26</v>
      </c>
      <c r="AL393">
        <v>66</v>
      </c>
      <c r="AM393">
        <v>5865</v>
      </c>
      <c r="AN393">
        <v>67</v>
      </c>
      <c r="AO393">
        <v>69</v>
      </c>
      <c r="AP393">
        <v>69</v>
      </c>
      <c r="AQ393">
        <v>3</v>
      </c>
      <c r="AR393" t="s">
        <v>29</v>
      </c>
      <c r="AS393" t="s">
        <v>70</v>
      </c>
      <c r="AT393" t="s">
        <v>63</v>
      </c>
      <c r="AU393">
        <v>16.05</v>
      </c>
      <c r="AV393">
        <v>30</v>
      </c>
      <c r="AW393">
        <v>3</v>
      </c>
      <c r="AX393">
        <v>0</v>
      </c>
      <c r="AY393">
        <v>26.3</v>
      </c>
      <c r="AZ393">
        <v>200</v>
      </c>
      <c r="BA393">
        <v>3276</v>
      </c>
      <c r="BB393">
        <v>69</v>
      </c>
      <c r="BC393">
        <v>69</v>
      </c>
      <c r="BD393">
        <v>64</v>
      </c>
      <c r="BE393">
        <v>3</v>
      </c>
      <c r="BF393" t="s">
        <v>29</v>
      </c>
      <c r="BG393">
        <v>-2</v>
      </c>
      <c r="BH393">
        <v>34</v>
      </c>
      <c r="BI393">
        <v>0.36</v>
      </c>
      <c r="BJ393" t="s">
        <v>63</v>
      </c>
      <c r="BK393">
        <v>0.4375</v>
      </c>
      <c r="BL393">
        <v>0.36</v>
      </c>
      <c r="BM393">
        <v>1.25</v>
      </c>
      <c r="BN393">
        <v>1.44</v>
      </c>
    </row>
    <row r="394" spans="1:66" x14ac:dyDescent="0.25">
      <c r="A394">
        <v>3</v>
      </c>
      <c r="B394">
        <v>-1</v>
      </c>
      <c r="C394">
        <v>1</v>
      </c>
      <c r="D394">
        <v>2.6833333333333336</v>
      </c>
      <c r="E394">
        <v>3.0833333333333335</v>
      </c>
      <c r="F394">
        <v>2.6666666666666665</v>
      </c>
      <c r="G394" s="40">
        <v>0.35</v>
      </c>
      <c r="H394" s="40">
        <v>0.32</v>
      </c>
      <c r="I394" s="40">
        <v>0.33</v>
      </c>
      <c r="J394">
        <v>2.6</v>
      </c>
      <c r="K394">
        <v>3</v>
      </c>
      <c r="L394">
        <v>2.6</v>
      </c>
      <c r="M394">
        <v>2.75</v>
      </c>
      <c r="N394">
        <v>3.1</v>
      </c>
      <c r="O394">
        <v>2.7</v>
      </c>
      <c r="P394">
        <v>2.7</v>
      </c>
      <c r="Q394">
        <v>3.15</v>
      </c>
      <c r="R394">
        <v>2.7</v>
      </c>
      <c r="S394">
        <v>0.35661764705882354</v>
      </c>
      <c r="T394">
        <v>0.28676470588235303</v>
      </c>
      <c r="U394">
        <v>0.35661764705882354</v>
      </c>
      <c r="V394">
        <v>0.34416118421052638</v>
      </c>
      <c r="W394">
        <v>0.30530427631578949</v>
      </c>
      <c r="X394">
        <v>0.35053453947368424</v>
      </c>
      <c r="Y394">
        <v>0.35</v>
      </c>
      <c r="Z394">
        <v>0.30000000000000004</v>
      </c>
      <c r="AA394">
        <v>0.35</v>
      </c>
      <c r="AB394">
        <v>0.35025961042311665</v>
      </c>
      <c r="AC394">
        <v>0.29735632739938084</v>
      </c>
      <c r="AD394">
        <v>0.35238406217750257</v>
      </c>
      <c r="AE394" t="s">
        <v>112</v>
      </c>
      <c r="AF394" t="s">
        <v>108</v>
      </c>
      <c r="AG394">
        <v>55.08</v>
      </c>
      <c r="AH394">
        <v>36</v>
      </c>
      <c r="AI394">
        <v>7</v>
      </c>
      <c r="AJ394">
        <v>2</v>
      </c>
      <c r="AK394">
        <v>26.4</v>
      </c>
      <c r="AL394">
        <v>17</v>
      </c>
      <c r="AM394">
        <v>9035</v>
      </c>
      <c r="AN394">
        <v>73</v>
      </c>
      <c r="AO394">
        <v>74</v>
      </c>
      <c r="AP394">
        <v>74</v>
      </c>
      <c r="AQ394">
        <v>3.5</v>
      </c>
      <c r="AR394" t="s">
        <v>29</v>
      </c>
      <c r="AS394" t="s">
        <v>113</v>
      </c>
      <c r="AT394" t="s">
        <v>108</v>
      </c>
      <c r="AU394">
        <v>53.08</v>
      </c>
      <c r="AV394">
        <v>34</v>
      </c>
      <c r="AW394">
        <v>7</v>
      </c>
      <c r="AX394">
        <v>4</v>
      </c>
      <c r="AY394">
        <v>26.8</v>
      </c>
      <c r="AZ394">
        <v>33</v>
      </c>
      <c r="BA394">
        <v>7418</v>
      </c>
      <c r="BB394">
        <v>76</v>
      </c>
      <c r="BC394">
        <v>75</v>
      </c>
      <c r="BD394">
        <v>74</v>
      </c>
      <c r="BE394">
        <v>3.5</v>
      </c>
      <c r="BF394" t="s">
        <v>29</v>
      </c>
      <c r="BG394">
        <v>19</v>
      </c>
      <c r="BH394">
        <v>61</v>
      </c>
      <c r="BI394">
        <v>0.5</v>
      </c>
      <c r="BJ394" t="s">
        <v>236</v>
      </c>
      <c r="BK394">
        <v>0.52939999999999998</v>
      </c>
      <c r="BL394">
        <v>0.54390000000000005</v>
      </c>
      <c r="BM394">
        <v>1.5</v>
      </c>
      <c r="BN394">
        <v>1.68</v>
      </c>
    </row>
    <row r="395" spans="1:66" x14ac:dyDescent="0.25">
      <c r="A395">
        <v>1</v>
      </c>
      <c r="B395">
        <v>1</v>
      </c>
      <c r="C395">
        <v>1</v>
      </c>
      <c r="D395">
        <v>2.0166666666666666</v>
      </c>
      <c r="E395">
        <v>3.2333333333333329</v>
      </c>
      <c r="F395">
        <v>3.6999999999999997</v>
      </c>
      <c r="G395" s="40">
        <v>0.44</v>
      </c>
      <c r="H395" s="40">
        <v>0.35</v>
      </c>
      <c r="I395" s="40">
        <v>0.21000000000000008</v>
      </c>
      <c r="J395">
        <v>1.95</v>
      </c>
      <c r="K395">
        <v>3.15</v>
      </c>
      <c r="L395">
        <v>3.6</v>
      </c>
      <c r="M395">
        <v>2.0499999999999998</v>
      </c>
      <c r="N395">
        <v>3.25</v>
      </c>
      <c r="O395">
        <v>3.75</v>
      </c>
      <c r="P395">
        <v>2.0499999999999998</v>
      </c>
      <c r="Q395">
        <v>3.3</v>
      </c>
      <c r="R395">
        <v>3.75</v>
      </c>
      <c r="S395">
        <v>0.47824866685377498</v>
      </c>
      <c r="T395">
        <v>0.26269997193376371</v>
      </c>
      <c r="U395">
        <v>0.25905136121246142</v>
      </c>
      <c r="V395">
        <v>0.45925577013659913</v>
      </c>
      <c r="W395">
        <v>0.28968440885539332</v>
      </c>
      <c r="X395">
        <v>0.25105982100800756</v>
      </c>
      <c r="Y395">
        <v>0.46128040257198766</v>
      </c>
      <c r="Z395">
        <v>0.28655297735532564</v>
      </c>
      <c r="AA395">
        <v>0.25216662007268659</v>
      </c>
      <c r="AB395">
        <v>0.46626161318745396</v>
      </c>
      <c r="AC395">
        <v>0.27964578604816087</v>
      </c>
      <c r="AD395">
        <v>0.25409260076438517</v>
      </c>
      <c r="AE395" t="s">
        <v>118</v>
      </c>
      <c r="AF395" t="s">
        <v>108</v>
      </c>
      <c r="AG395">
        <v>36.35</v>
      </c>
      <c r="AH395">
        <v>43</v>
      </c>
      <c r="AI395">
        <v>3</v>
      </c>
      <c r="AJ395">
        <v>0</v>
      </c>
      <c r="AK395">
        <v>25.3</v>
      </c>
      <c r="AL395">
        <v>89</v>
      </c>
      <c r="AM395">
        <v>5108</v>
      </c>
      <c r="AN395">
        <v>71</v>
      </c>
      <c r="AO395">
        <v>74</v>
      </c>
      <c r="AP395">
        <v>72</v>
      </c>
      <c r="AQ395">
        <v>3.5</v>
      </c>
      <c r="AR395" t="s">
        <v>29</v>
      </c>
      <c r="AS395" t="s">
        <v>114</v>
      </c>
      <c r="AT395" t="s">
        <v>108</v>
      </c>
      <c r="AU395">
        <v>41.98</v>
      </c>
      <c r="AV395">
        <v>33</v>
      </c>
      <c r="AW395">
        <v>5</v>
      </c>
      <c r="AX395">
        <v>1</v>
      </c>
      <c r="AY395">
        <v>25.2</v>
      </c>
      <c r="AZ395">
        <v>40</v>
      </c>
      <c r="BA395">
        <v>7098</v>
      </c>
      <c r="BB395">
        <v>74</v>
      </c>
      <c r="BC395">
        <v>73</v>
      </c>
      <c r="BD395">
        <v>73</v>
      </c>
      <c r="BE395">
        <v>3.5</v>
      </c>
      <c r="BF395" t="s">
        <v>29</v>
      </c>
      <c r="BG395">
        <v>-13</v>
      </c>
      <c r="BH395">
        <v>52</v>
      </c>
      <c r="BI395">
        <v>0.39500000000000002</v>
      </c>
      <c r="BJ395" t="s">
        <v>236</v>
      </c>
      <c r="BK395">
        <v>0.4839</v>
      </c>
      <c r="BL395">
        <v>0.39389999999999997</v>
      </c>
      <c r="BM395">
        <v>1.52</v>
      </c>
      <c r="BN395">
        <v>1.3</v>
      </c>
    </row>
    <row r="396" spans="1:66" x14ac:dyDescent="0.25">
      <c r="A396">
        <v>3</v>
      </c>
      <c r="B396">
        <v>-1</v>
      </c>
      <c r="C396">
        <v>3</v>
      </c>
      <c r="D396">
        <v>2.0666666666666669</v>
      </c>
      <c r="E396">
        <v>3.3333333333333335</v>
      </c>
      <c r="F396">
        <v>3.7000000000000006</v>
      </c>
      <c r="G396" s="40">
        <v>0.33</v>
      </c>
      <c r="H396" s="40">
        <v>0.41</v>
      </c>
      <c r="I396" s="40">
        <v>0.25999999999999995</v>
      </c>
      <c r="J396">
        <v>2.0699999999999998</v>
      </c>
      <c r="K396">
        <v>3.3</v>
      </c>
      <c r="L396">
        <v>3.65</v>
      </c>
      <c r="M396">
        <v>2.0499999999999998</v>
      </c>
      <c r="N396">
        <v>3.35</v>
      </c>
      <c r="O396">
        <v>3.7</v>
      </c>
      <c r="P396">
        <v>2.08</v>
      </c>
      <c r="Q396">
        <v>3.35</v>
      </c>
      <c r="R396">
        <v>3.75</v>
      </c>
      <c r="S396">
        <v>0.47373020915138164</v>
      </c>
      <c r="T396">
        <v>0.25760635716550612</v>
      </c>
      <c r="U396">
        <v>0.2686634336831123</v>
      </c>
      <c r="V396">
        <v>0.46168172083061748</v>
      </c>
      <c r="W396">
        <v>0.28252165006052704</v>
      </c>
      <c r="X396">
        <v>0.25579662910885559</v>
      </c>
      <c r="Y396">
        <v>0.45965130531823417</v>
      </c>
      <c r="Z396">
        <v>0.28539543733191852</v>
      </c>
      <c r="AA396">
        <v>0.25495325734984725</v>
      </c>
      <c r="AB396">
        <v>0.46502107843341117</v>
      </c>
      <c r="AC396">
        <v>0.27517448151931717</v>
      </c>
      <c r="AD396">
        <v>0.25980444004727171</v>
      </c>
      <c r="AE396" t="s">
        <v>70</v>
      </c>
      <c r="AF396" t="s">
        <v>63</v>
      </c>
      <c r="AG396">
        <v>16.05</v>
      </c>
      <c r="AH396">
        <v>30</v>
      </c>
      <c r="AI396">
        <v>3</v>
      </c>
      <c r="AJ396">
        <v>0</v>
      </c>
      <c r="AK396">
        <v>26.3</v>
      </c>
      <c r="AL396">
        <v>200</v>
      </c>
      <c r="AM396">
        <v>3276</v>
      </c>
      <c r="AN396">
        <v>69</v>
      </c>
      <c r="AO396">
        <v>69</v>
      </c>
      <c r="AP396">
        <v>64</v>
      </c>
      <c r="AQ396">
        <v>3</v>
      </c>
      <c r="AR396" t="s">
        <v>29</v>
      </c>
      <c r="AS396" t="s">
        <v>62</v>
      </c>
      <c r="AT396" t="s">
        <v>63</v>
      </c>
      <c r="AU396">
        <v>20.65</v>
      </c>
      <c r="AV396">
        <v>29</v>
      </c>
      <c r="AW396">
        <v>2</v>
      </c>
      <c r="AX396">
        <v>2</v>
      </c>
      <c r="AY396">
        <v>26</v>
      </c>
      <c r="AZ396">
        <v>66</v>
      </c>
      <c r="BA396">
        <v>5865</v>
      </c>
      <c r="BB396">
        <v>67</v>
      </c>
      <c r="BC396">
        <v>69</v>
      </c>
      <c r="BD396">
        <v>69</v>
      </c>
      <c r="BE396">
        <v>3</v>
      </c>
      <c r="BF396" t="s">
        <v>29</v>
      </c>
      <c r="BG396">
        <v>2</v>
      </c>
      <c r="BH396">
        <v>34</v>
      </c>
      <c r="BI396">
        <v>0.36</v>
      </c>
      <c r="BJ396" t="s">
        <v>63</v>
      </c>
      <c r="BK396">
        <v>0.36</v>
      </c>
      <c r="BL396">
        <v>0.4375</v>
      </c>
      <c r="BM396">
        <v>1.44</v>
      </c>
      <c r="BN396">
        <v>1.25</v>
      </c>
    </row>
    <row r="397" spans="1:66" x14ac:dyDescent="0.25">
      <c r="A397">
        <v>1</v>
      </c>
      <c r="B397">
        <v>2</v>
      </c>
      <c r="C397">
        <v>2</v>
      </c>
      <c r="D397">
        <v>1.5866666666666667</v>
      </c>
      <c r="E397">
        <v>3.75</v>
      </c>
      <c r="F397">
        <v>6.45</v>
      </c>
      <c r="G397" s="40">
        <v>0.53</v>
      </c>
      <c r="H397" s="40">
        <v>0.28999999999999998</v>
      </c>
      <c r="I397" s="40">
        <v>0.18</v>
      </c>
      <c r="J397">
        <v>1.55</v>
      </c>
      <c r="K397">
        <v>3.7</v>
      </c>
      <c r="L397">
        <v>6.75</v>
      </c>
      <c r="M397">
        <v>1.6</v>
      </c>
      <c r="N397">
        <v>3.75</v>
      </c>
      <c r="O397">
        <v>6.6</v>
      </c>
      <c r="P397">
        <v>1.61</v>
      </c>
      <c r="Q397">
        <v>3.8</v>
      </c>
      <c r="R397">
        <v>6</v>
      </c>
      <c r="S397">
        <v>0.65457597090773456</v>
      </c>
      <c r="T397">
        <v>0.19511399132826704</v>
      </c>
      <c r="U397">
        <v>0.15031003776399832</v>
      </c>
      <c r="V397">
        <v>0.59912854030501084</v>
      </c>
      <c r="W397">
        <v>0.25562817719680464</v>
      </c>
      <c r="X397">
        <v>0.14524328249818447</v>
      </c>
      <c r="Y397">
        <v>0.59101042044688679</v>
      </c>
      <c r="Z397">
        <v>0.25040178339986524</v>
      </c>
      <c r="AA397">
        <v>0.15858779615324797</v>
      </c>
      <c r="AB397">
        <v>0.61490497721987747</v>
      </c>
      <c r="AC397">
        <v>0.23371465064164562</v>
      </c>
      <c r="AD397">
        <v>0.15138037213847691</v>
      </c>
      <c r="AE397" t="s">
        <v>67</v>
      </c>
      <c r="AF397" t="s">
        <v>63</v>
      </c>
      <c r="AG397">
        <v>21.85</v>
      </c>
      <c r="AH397">
        <v>29</v>
      </c>
      <c r="AI397">
        <v>2</v>
      </c>
      <c r="AJ397">
        <v>4</v>
      </c>
      <c r="AK397">
        <v>25.7</v>
      </c>
      <c r="AL397">
        <v>104</v>
      </c>
      <c r="AM397">
        <v>4793</v>
      </c>
      <c r="AN397">
        <v>67</v>
      </c>
      <c r="AO397">
        <v>70</v>
      </c>
      <c r="AP397">
        <v>67</v>
      </c>
      <c r="AQ397">
        <v>2.5</v>
      </c>
      <c r="AR397" t="s">
        <v>29</v>
      </c>
      <c r="AS397" t="s">
        <v>71</v>
      </c>
      <c r="AT397" t="s">
        <v>63</v>
      </c>
      <c r="AU397">
        <v>11.5</v>
      </c>
      <c r="AV397">
        <v>28</v>
      </c>
      <c r="AW397">
        <v>3</v>
      </c>
      <c r="AX397">
        <v>0</v>
      </c>
      <c r="AY397">
        <v>27</v>
      </c>
      <c r="AZ397">
        <v>205</v>
      </c>
      <c r="BA397">
        <v>3223</v>
      </c>
      <c r="BB397">
        <v>65</v>
      </c>
      <c r="BC397">
        <v>67</v>
      </c>
      <c r="BD397">
        <v>63</v>
      </c>
      <c r="BE397">
        <v>2</v>
      </c>
      <c r="BF397" t="s">
        <v>29</v>
      </c>
      <c r="BG397">
        <v>14</v>
      </c>
      <c r="BH397">
        <v>41</v>
      </c>
      <c r="BI397">
        <v>0.39300000000000002</v>
      </c>
      <c r="BJ397" t="s">
        <v>63</v>
      </c>
      <c r="BK397">
        <v>0.42859999999999998</v>
      </c>
      <c r="BL397">
        <v>0.38479999999999998</v>
      </c>
      <c r="BM397">
        <v>1.75</v>
      </c>
      <c r="BN397">
        <v>1.42</v>
      </c>
    </row>
    <row r="398" spans="1:66" x14ac:dyDescent="0.25">
      <c r="A398">
        <v>3</v>
      </c>
      <c r="B398">
        <v>-1</v>
      </c>
      <c r="C398">
        <v>3</v>
      </c>
      <c r="D398">
        <v>3.0666666666666664</v>
      </c>
      <c r="E398">
        <v>3.2333333333333329</v>
      </c>
      <c r="F398">
        <v>2.4099999999999997</v>
      </c>
      <c r="G398" s="40">
        <v>0.27</v>
      </c>
      <c r="H398" s="40">
        <v>0.41</v>
      </c>
      <c r="I398" s="40">
        <v>0.32</v>
      </c>
      <c r="J398">
        <v>3.15</v>
      </c>
      <c r="K398">
        <v>3.3</v>
      </c>
      <c r="L398">
        <v>2.38</v>
      </c>
      <c r="M398">
        <v>3.05</v>
      </c>
      <c r="N398">
        <v>3.2</v>
      </c>
      <c r="O398">
        <v>2.4500000000000002</v>
      </c>
      <c r="P398">
        <v>3</v>
      </c>
      <c r="Q398">
        <v>3.2</v>
      </c>
      <c r="R398">
        <v>2.4</v>
      </c>
      <c r="S398">
        <v>0.31595323011742116</v>
      </c>
      <c r="T398">
        <v>0.26587337708010961</v>
      </c>
      <c r="U398">
        <v>0.41817339280246918</v>
      </c>
      <c r="V398">
        <v>0.31269318974972582</v>
      </c>
      <c r="W398">
        <v>0.29803569648020739</v>
      </c>
      <c r="X398">
        <v>0.38927111377006679</v>
      </c>
      <c r="Y398">
        <v>0.31372549019607848</v>
      </c>
      <c r="Z398">
        <v>0.29411764705882348</v>
      </c>
      <c r="AA398">
        <v>0.39215686274509809</v>
      </c>
      <c r="AB398">
        <v>0.31412397002107512</v>
      </c>
      <c r="AC398">
        <v>0.28600890687304686</v>
      </c>
      <c r="AD398">
        <v>0.39986712310587796</v>
      </c>
      <c r="AE398" t="s">
        <v>150</v>
      </c>
      <c r="AF398" t="s">
        <v>141</v>
      </c>
      <c r="AG398">
        <v>88.35</v>
      </c>
      <c r="AH398">
        <v>25</v>
      </c>
      <c r="AI398">
        <v>11</v>
      </c>
      <c r="AJ398">
        <v>6</v>
      </c>
      <c r="AK398">
        <v>28.4</v>
      </c>
      <c r="AL398">
        <v>103</v>
      </c>
      <c r="AM398">
        <v>4803</v>
      </c>
      <c r="AN398">
        <v>77</v>
      </c>
      <c r="AO398">
        <v>78</v>
      </c>
      <c r="AP398">
        <v>77</v>
      </c>
      <c r="AQ398">
        <v>4</v>
      </c>
      <c r="AR398" t="s">
        <v>46</v>
      </c>
      <c r="AS398" t="s">
        <v>152</v>
      </c>
      <c r="AT398" t="s">
        <v>141</v>
      </c>
      <c r="AU398">
        <v>223.4</v>
      </c>
      <c r="AV398">
        <v>28</v>
      </c>
      <c r="AW398">
        <v>11</v>
      </c>
      <c r="AX398">
        <v>11</v>
      </c>
      <c r="AY398">
        <v>28.5</v>
      </c>
      <c r="AZ398">
        <v>125</v>
      </c>
      <c r="BA398">
        <v>4257</v>
      </c>
      <c r="BB398">
        <v>79</v>
      </c>
      <c r="BC398">
        <v>79</v>
      </c>
      <c r="BD398">
        <v>78</v>
      </c>
      <c r="BE398">
        <v>4</v>
      </c>
      <c r="BF398" t="s">
        <v>29</v>
      </c>
      <c r="BG398">
        <v>-5</v>
      </c>
      <c r="BH398">
        <v>46</v>
      </c>
      <c r="BI398">
        <v>0.308</v>
      </c>
      <c r="BJ398" t="s">
        <v>270</v>
      </c>
      <c r="BK398">
        <v>0.43099999999999999</v>
      </c>
      <c r="BL398">
        <v>0.4884</v>
      </c>
      <c r="BM398">
        <v>1.43</v>
      </c>
      <c r="BN398">
        <v>1.42</v>
      </c>
    </row>
    <row r="399" spans="1:66" x14ac:dyDescent="0.25">
      <c r="A399">
        <v>3</v>
      </c>
      <c r="B399">
        <v>-3</v>
      </c>
      <c r="C399">
        <v>3</v>
      </c>
      <c r="D399">
        <v>3.5</v>
      </c>
      <c r="E399">
        <v>3.9833333333333329</v>
      </c>
      <c r="F399">
        <v>1.9666666666666668</v>
      </c>
      <c r="G399" s="40">
        <v>0.27</v>
      </c>
      <c r="H399" s="40">
        <v>0.31</v>
      </c>
      <c r="I399" s="40">
        <v>0.42</v>
      </c>
      <c r="J399">
        <v>3.6</v>
      </c>
      <c r="K399">
        <v>4.0999999999999996</v>
      </c>
      <c r="L399">
        <v>1.96</v>
      </c>
      <c r="M399">
        <v>3.4</v>
      </c>
      <c r="N399">
        <v>3.8</v>
      </c>
      <c r="O399">
        <v>1.99</v>
      </c>
      <c r="P399">
        <v>3.5</v>
      </c>
      <c r="Q399">
        <v>4.05</v>
      </c>
      <c r="R399">
        <v>1.95</v>
      </c>
      <c r="S399">
        <v>0.27904723646588997</v>
      </c>
      <c r="T399">
        <v>0.20841702308655685</v>
      </c>
      <c r="U399">
        <v>0.51253574044755312</v>
      </c>
      <c r="V399">
        <v>0.27752495596007043</v>
      </c>
      <c r="W399">
        <v>0.24831180270111566</v>
      </c>
      <c r="X399">
        <v>0.47416324133881382</v>
      </c>
      <c r="Y399">
        <v>0.2732935375032442</v>
      </c>
      <c r="Z399">
        <v>0.23617960031144561</v>
      </c>
      <c r="AA399">
        <v>0.49052686218531011</v>
      </c>
      <c r="AB399">
        <v>0.27662190997640157</v>
      </c>
      <c r="AC399">
        <v>0.23096947536637269</v>
      </c>
      <c r="AD399">
        <v>0.49240861465722574</v>
      </c>
      <c r="AE399" t="s">
        <v>137</v>
      </c>
      <c r="AF399" t="s">
        <v>141</v>
      </c>
      <c r="AG399">
        <v>676</v>
      </c>
      <c r="AH399">
        <v>26</v>
      </c>
      <c r="AI399">
        <v>15</v>
      </c>
      <c r="AJ399">
        <v>21</v>
      </c>
      <c r="AK399">
        <v>26.1</v>
      </c>
      <c r="AL399">
        <v>3</v>
      </c>
      <c r="AM399">
        <v>13105</v>
      </c>
      <c r="AN399">
        <v>84</v>
      </c>
      <c r="AO399">
        <v>82</v>
      </c>
      <c r="AP399">
        <v>81</v>
      </c>
      <c r="AQ399">
        <v>5</v>
      </c>
      <c r="AR399" t="s">
        <v>28</v>
      </c>
      <c r="AS399" t="s">
        <v>31</v>
      </c>
      <c r="AT399" t="s">
        <v>26</v>
      </c>
      <c r="AU399">
        <v>852.4</v>
      </c>
      <c r="AV399">
        <v>25</v>
      </c>
      <c r="AW399">
        <v>15</v>
      </c>
      <c r="AX399">
        <v>17</v>
      </c>
      <c r="AY399">
        <v>26.1</v>
      </c>
      <c r="AZ399">
        <v>6</v>
      </c>
      <c r="BA399">
        <v>10885</v>
      </c>
      <c r="BB399">
        <v>92</v>
      </c>
      <c r="BC399">
        <v>85</v>
      </c>
      <c r="BD399">
        <v>82</v>
      </c>
      <c r="BE399">
        <v>5</v>
      </c>
      <c r="BF399" t="s">
        <v>29</v>
      </c>
      <c r="BG399">
        <v>-10</v>
      </c>
      <c r="BH399">
        <v>8</v>
      </c>
      <c r="BI399">
        <v>0.182</v>
      </c>
      <c r="BJ399" t="s">
        <v>282</v>
      </c>
      <c r="BK399">
        <v>0.62960000000000005</v>
      </c>
      <c r="BL399">
        <v>0.72919999999999996</v>
      </c>
      <c r="BM399">
        <v>2.2599999999999998</v>
      </c>
      <c r="BN399">
        <v>2.83</v>
      </c>
    </row>
    <row r="400" spans="1:66" x14ac:dyDescent="0.25">
      <c r="A400">
        <v>2</v>
      </c>
      <c r="B400">
        <v>0</v>
      </c>
      <c r="C400">
        <v>0</v>
      </c>
      <c r="D400">
        <v>2.813333333333333</v>
      </c>
      <c r="E400">
        <v>3.3000000000000003</v>
      </c>
      <c r="F400">
        <v>2.5866666666666664</v>
      </c>
      <c r="G400" s="40">
        <v>0.2</v>
      </c>
      <c r="H400" s="40">
        <v>0.26</v>
      </c>
      <c r="I400" s="40">
        <v>0.54</v>
      </c>
      <c r="J400">
        <v>2.8</v>
      </c>
      <c r="K400">
        <v>3.4</v>
      </c>
      <c r="L400">
        <v>2.63</v>
      </c>
      <c r="M400">
        <v>2.8</v>
      </c>
      <c r="N400">
        <v>3.25</v>
      </c>
      <c r="O400">
        <v>2.5499999999999998</v>
      </c>
      <c r="P400">
        <v>2.84</v>
      </c>
      <c r="Q400">
        <v>3.25</v>
      </c>
      <c r="R400">
        <v>2.58</v>
      </c>
      <c r="S400">
        <v>0.3580157709749362</v>
      </c>
      <c r="T400">
        <v>0.26082675422285034</v>
      </c>
      <c r="U400">
        <v>0.3811574748022134</v>
      </c>
      <c r="V400">
        <v>0.33788604627458979</v>
      </c>
      <c r="W400">
        <v>0.29110182448272348</v>
      </c>
      <c r="X400">
        <v>0.37101212924268678</v>
      </c>
      <c r="Y400">
        <v>0.33617724178300235</v>
      </c>
      <c r="Z400">
        <v>0.29376718974268512</v>
      </c>
      <c r="AA400">
        <v>0.37005556847431259</v>
      </c>
      <c r="AB400">
        <v>0.34402635301084272</v>
      </c>
      <c r="AC400">
        <v>0.28189858948275298</v>
      </c>
      <c r="AD400">
        <v>0.3740750575064043</v>
      </c>
      <c r="AE400" t="s">
        <v>33</v>
      </c>
      <c r="AF400" t="s">
        <v>23</v>
      </c>
      <c r="AG400">
        <v>272</v>
      </c>
      <c r="AH400">
        <v>26</v>
      </c>
      <c r="AI400">
        <v>20</v>
      </c>
      <c r="AJ400">
        <v>12</v>
      </c>
      <c r="AK400">
        <v>25.4</v>
      </c>
      <c r="AL400">
        <v>131</v>
      </c>
      <c r="AM400">
        <v>4207</v>
      </c>
      <c r="AN400">
        <v>78</v>
      </c>
      <c r="AO400">
        <v>78</v>
      </c>
      <c r="AP400">
        <v>78</v>
      </c>
      <c r="AQ400">
        <v>4</v>
      </c>
      <c r="AR400" t="s">
        <v>29</v>
      </c>
      <c r="AS400" t="s">
        <v>274</v>
      </c>
      <c r="AT400" t="s">
        <v>26</v>
      </c>
      <c r="AU400">
        <v>287.75</v>
      </c>
      <c r="AV400">
        <v>31</v>
      </c>
      <c r="AW400">
        <v>20</v>
      </c>
      <c r="AX400">
        <v>11</v>
      </c>
      <c r="AY400">
        <v>25.4</v>
      </c>
      <c r="AZ400">
        <v>65</v>
      </c>
      <c r="BA400">
        <v>5919</v>
      </c>
      <c r="BB400">
        <v>78</v>
      </c>
      <c r="BC400">
        <v>78</v>
      </c>
      <c r="BD400">
        <v>77</v>
      </c>
      <c r="BE400">
        <v>4</v>
      </c>
      <c r="BF400" t="s">
        <v>46</v>
      </c>
      <c r="BG400">
        <v>-3</v>
      </c>
      <c r="BH400">
        <v>1</v>
      </c>
      <c r="BI400">
        <v>0</v>
      </c>
      <c r="BJ400" t="s">
        <v>282</v>
      </c>
      <c r="BK400">
        <v>0.59179999999999999</v>
      </c>
      <c r="BL400">
        <v>0.53659999999999997</v>
      </c>
      <c r="BM400">
        <v>1.71</v>
      </c>
      <c r="BN400">
        <v>1.88</v>
      </c>
    </row>
    <row r="401" spans="1:66" x14ac:dyDescent="0.25">
      <c r="A401">
        <v>2</v>
      </c>
      <c r="B401">
        <v>0</v>
      </c>
      <c r="C401">
        <v>0</v>
      </c>
      <c r="D401">
        <v>1.8010000000000002</v>
      </c>
      <c r="E401">
        <v>3.2833333333333332</v>
      </c>
      <c r="F401">
        <v>4.8166666666666664</v>
      </c>
      <c r="G401" s="40">
        <v>0.37</v>
      </c>
      <c r="H401" s="40">
        <v>0.47</v>
      </c>
      <c r="I401" s="40">
        <v>0.16000000000000003</v>
      </c>
      <c r="J401">
        <v>1.77</v>
      </c>
      <c r="K401">
        <v>3.2</v>
      </c>
      <c r="L401">
        <v>4.5</v>
      </c>
      <c r="M401">
        <v>1.833</v>
      </c>
      <c r="N401">
        <v>3.35</v>
      </c>
      <c r="O401">
        <v>5</v>
      </c>
      <c r="P401">
        <v>1.8</v>
      </c>
      <c r="Q401">
        <v>3.3</v>
      </c>
      <c r="R401">
        <v>4.95</v>
      </c>
      <c r="S401">
        <v>0.53987550666795248</v>
      </c>
      <c r="T401">
        <v>0.24777346070931955</v>
      </c>
      <c r="U401">
        <v>0.21235103262272798</v>
      </c>
      <c r="V401">
        <v>0.52253041984929294</v>
      </c>
      <c r="W401">
        <v>0.28590992823395639</v>
      </c>
      <c r="X401">
        <v>0.19155965191675078</v>
      </c>
      <c r="Y401">
        <v>0.52380952380952384</v>
      </c>
      <c r="Z401">
        <v>0.28571428571428575</v>
      </c>
      <c r="AA401">
        <v>0.19047619047619047</v>
      </c>
      <c r="AB401">
        <v>0.52873848344225649</v>
      </c>
      <c r="AC401">
        <v>0.27313255821918725</v>
      </c>
      <c r="AD401">
        <v>0.1981289583385564</v>
      </c>
      <c r="AE401" t="s">
        <v>86</v>
      </c>
      <c r="AF401" t="s">
        <v>85</v>
      </c>
      <c r="AG401">
        <v>86.53</v>
      </c>
      <c r="AH401">
        <v>28</v>
      </c>
      <c r="AI401">
        <v>7</v>
      </c>
      <c r="AJ401">
        <v>8</v>
      </c>
      <c r="AK401">
        <v>26.1</v>
      </c>
      <c r="AL401">
        <v>10</v>
      </c>
      <c r="AM401">
        <v>9954</v>
      </c>
      <c r="AN401">
        <v>76</v>
      </c>
      <c r="AO401">
        <v>73</v>
      </c>
      <c r="AP401">
        <v>75</v>
      </c>
      <c r="AQ401">
        <v>4</v>
      </c>
      <c r="AR401" t="s">
        <v>46</v>
      </c>
      <c r="AS401" t="s">
        <v>94</v>
      </c>
      <c r="AT401" t="s">
        <v>85</v>
      </c>
      <c r="AU401">
        <v>28.25</v>
      </c>
      <c r="AV401">
        <v>30</v>
      </c>
      <c r="AW401">
        <v>5</v>
      </c>
      <c r="AX401">
        <v>0</v>
      </c>
      <c r="AY401">
        <v>26.1</v>
      </c>
      <c r="AZ401">
        <v>126</v>
      </c>
      <c r="BA401">
        <v>4236</v>
      </c>
      <c r="BB401">
        <v>74</v>
      </c>
      <c r="BC401">
        <v>71</v>
      </c>
      <c r="BD401">
        <v>71</v>
      </c>
      <c r="BE401">
        <v>3.5</v>
      </c>
      <c r="BF401" t="s">
        <v>28</v>
      </c>
      <c r="BG401">
        <v>6</v>
      </c>
      <c r="BH401">
        <v>19</v>
      </c>
      <c r="BI401">
        <v>0.75</v>
      </c>
      <c r="BJ401" t="s">
        <v>85</v>
      </c>
      <c r="BK401">
        <v>0.54900000000000004</v>
      </c>
      <c r="BL401">
        <v>0.4239</v>
      </c>
      <c r="BM401">
        <v>1.47</v>
      </c>
      <c r="BN401">
        <v>1.29</v>
      </c>
    </row>
    <row r="402" spans="1:66" x14ac:dyDescent="0.25">
      <c r="A402">
        <v>1</v>
      </c>
      <c r="B402">
        <v>3</v>
      </c>
      <c r="C402">
        <v>9</v>
      </c>
      <c r="D402">
        <v>1.3066666666666666</v>
      </c>
      <c r="E402">
        <v>5.5333333333333341</v>
      </c>
      <c r="F402">
        <v>10.200000000000001</v>
      </c>
      <c r="G402" s="40">
        <v>0.55000000000000004</v>
      </c>
      <c r="H402" s="40">
        <v>0.23</v>
      </c>
      <c r="I402" s="40">
        <v>0.21999999999999995</v>
      </c>
      <c r="J402">
        <v>1.3</v>
      </c>
      <c r="K402">
        <v>6</v>
      </c>
      <c r="L402">
        <v>11</v>
      </c>
      <c r="M402">
        <v>1.32</v>
      </c>
      <c r="N402">
        <v>5</v>
      </c>
      <c r="O402">
        <v>10</v>
      </c>
      <c r="P402">
        <v>1.3</v>
      </c>
      <c r="Q402">
        <v>5.6</v>
      </c>
      <c r="R402">
        <v>9.6</v>
      </c>
      <c r="S402">
        <v>0.79770358060129931</v>
      </c>
      <c r="T402">
        <v>0.1080223598730926</v>
      </c>
      <c r="U402">
        <v>9.4274059525608106E-2</v>
      </c>
      <c r="V402">
        <v>0.71633237822349571</v>
      </c>
      <c r="W402">
        <v>0.18911174785100288</v>
      </c>
      <c r="X402">
        <v>9.4555873925501438E-2</v>
      </c>
      <c r="Y402">
        <v>0.73122959738846571</v>
      </c>
      <c r="Z402">
        <v>0.16974972796517956</v>
      </c>
      <c r="AA402">
        <v>9.9020674646354737E-2</v>
      </c>
      <c r="AB402">
        <v>0.74842185207108691</v>
      </c>
      <c r="AC402">
        <v>0.15562794522975834</v>
      </c>
      <c r="AD402">
        <v>9.5950202699154774E-2</v>
      </c>
      <c r="AE402" t="s">
        <v>254</v>
      </c>
      <c r="AF402" t="s">
        <v>253</v>
      </c>
      <c r="AG402">
        <v>1040</v>
      </c>
      <c r="AH402">
        <v>22</v>
      </c>
      <c r="AI402">
        <v>16</v>
      </c>
      <c r="AJ402">
        <v>19</v>
      </c>
      <c r="AK402">
        <v>27.6</v>
      </c>
      <c r="AL402">
        <v>8</v>
      </c>
      <c r="AM402">
        <v>10390</v>
      </c>
      <c r="AN402">
        <v>85</v>
      </c>
      <c r="AO402">
        <v>86</v>
      </c>
      <c r="AP402">
        <v>83</v>
      </c>
      <c r="AQ402">
        <v>5</v>
      </c>
      <c r="AR402" t="s">
        <v>28</v>
      </c>
      <c r="AS402" t="s">
        <v>25</v>
      </c>
      <c r="AT402" t="s">
        <v>26</v>
      </c>
      <c r="AU402">
        <v>505.55</v>
      </c>
      <c r="AV402">
        <v>28</v>
      </c>
      <c r="AW402">
        <v>21</v>
      </c>
      <c r="AX402">
        <v>16</v>
      </c>
      <c r="AY402">
        <v>24.1</v>
      </c>
      <c r="AZ402">
        <v>16</v>
      </c>
      <c r="BA402">
        <v>9221</v>
      </c>
      <c r="BB402">
        <v>78</v>
      </c>
      <c r="BC402">
        <v>81</v>
      </c>
      <c r="BD402">
        <v>80</v>
      </c>
      <c r="BE402">
        <v>4.5</v>
      </c>
      <c r="BF402" t="s">
        <v>29</v>
      </c>
      <c r="BG402">
        <v>0</v>
      </c>
      <c r="BH402">
        <v>0</v>
      </c>
      <c r="BI402">
        <v>0</v>
      </c>
      <c r="BJ402" t="s">
        <v>282</v>
      </c>
      <c r="BK402">
        <v>0.77049999999999996</v>
      </c>
      <c r="BL402">
        <v>0.58330000000000004</v>
      </c>
      <c r="BM402">
        <v>2.15</v>
      </c>
      <c r="BN402">
        <v>1.79</v>
      </c>
    </row>
    <row r="403" spans="1:66" x14ac:dyDescent="0.25">
      <c r="A403">
        <v>2</v>
      </c>
      <c r="B403">
        <v>0</v>
      </c>
      <c r="C403">
        <v>2</v>
      </c>
      <c r="D403">
        <v>1.8766666666666667</v>
      </c>
      <c r="E403">
        <v>3.1833333333333336</v>
      </c>
      <c r="F403">
        <v>4.6000000000000005</v>
      </c>
      <c r="G403" s="40">
        <v>0.3</v>
      </c>
      <c r="H403" s="40">
        <v>0.42</v>
      </c>
      <c r="I403" s="40">
        <v>0.27999999999999997</v>
      </c>
      <c r="J403">
        <v>1.88</v>
      </c>
      <c r="K403">
        <v>3</v>
      </c>
      <c r="L403">
        <v>4.3</v>
      </c>
      <c r="M403">
        <v>1.9</v>
      </c>
      <c r="N403">
        <v>3.3</v>
      </c>
      <c r="O403">
        <v>4.75</v>
      </c>
      <c r="P403">
        <v>1.85</v>
      </c>
      <c r="Q403">
        <v>3.25</v>
      </c>
      <c r="R403">
        <v>4.75</v>
      </c>
      <c r="S403">
        <v>0.50882837845024731</v>
      </c>
      <c r="T403">
        <v>0.26870712120406315</v>
      </c>
      <c r="U403">
        <v>0.22246450034568954</v>
      </c>
      <c r="V403">
        <v>0.50613496932515334</v>
      </c>
      <c r="W403">
        <v>0.29141104294478526</v>
      </c>
      <c r="X403">
        <v>0.20245398773006135</v>
      </c>
      <c r="Y403">
        <v>0.51054154609342706</v>
      </c>
      <c r="Z403">
        <v>0.29061595700702769</v>
      </c>
      <c r="AA403">
        <v>0.19884249689954525</v>
      </c>
      <c r="AB403">
        <v>0.50850163128960923</v>
      </c>
      <c r="AC403">
        <v>0.28357804038529205</v>
      </c>
      <c r="AD403">
        <v>0.20792032832509869</v>
      </c>
      <c r="AE403" t="s">
        <v>89</v>
      </c>
      <c r="AF403" t="s">
        <v>85</v>
      </c>
      <c r="AG403">
        <v>31.6</v>
      </c>
      <c r="AH403">
        <v>27</v>
      </c>
      <c r="AI403">
        <v>3</v>
      </c>
      <c r="AJ403">
        <v>1</v>
      </c>
      <c r="AK403">
        <v>27.6</v>
      </c>
      <c r="AL403">
        <v>78</v>
      </c>
      <c r="AM403">
        <v>5364</v>
      </c>
      <c r="AN403">
        <v>71</v>
      </c>
      <c r="AO403">
        <v>71</v>
      </c>
      <c r="AP403">
        <v>72</v>
      </c>
      <c r="AQ403">
        <v>3.5</v>
      </c>
      <c r="AR403" t="s">
        <v>29</v>
      </c>
      <c r="AS403" t="s">
        <v>104</v>
      </c>
      <c r="AT403" t="s">
        <v>85</v>
      </c>
      <c r="AU403">
        <v>8.68</v>
      </c>
      <c r="AV403">
        <v>32</v>
      </c>
      <c r="AW403">
        <v>5</v>
      </c>
      <c r="AX403">
        <v>0</v>
      </c>
      <c r="AY403">
        <v>27.6</v>
      </c>
      <c r="AZ403">
        <v>277</v>
      </c>
      <c r="BA403">
        <v>2592</v>
      </c>
      <c r="BB403">
        <v>65</v>
      </c>
      <c r="BC403">
        <v>66</v>
      </c>
      <c r="BD403">
        <v>66</v>
      </c>
      <c r="BE403">
        <v>2.5</v>
      </c>
      <c r="BF403" t="s">
        <v>43</v>
      </c>
      <c r="BG403">
        <v>-2</v>
      </c>
      <c r="BH403">
        <v>1</v>
      </c>
      <c r="BI403">
        <v>0</v>
      </c>
      <c r="BJ403" t="s">
        <v>85</v>
      </c>
      <c r="BK403">
        <v>0.47499999999999998</v>
      </c>
      <c r="BL403">
        <v>0.1842</v>
      </c>
      <c r="BM403">
        <v>1</v>
      </c>
      <c r="BN403">
        <v>0.84</v>
      </c>
    </row>
    <row r="404" spans="1:66" x14ac:dyDescent="0.25">
      <c r="A404">
        <v>3</v>
      </c>
      <c r="B404">
        <v>-1</v>
      </c>
      <c r="C404">
        <v>3</v>
      </c>
      <c r="D404">
        <v>2.14</v>
      </c>
      <c r="E404">
        <v>3.2166666666666663</v>
      </c>
      <c r="F404">
        <v>3.1</v>
      </c>
      <c r="G404" s="40">
        <v>0.26</v>
      </c>
      <c r="H404" s="40">
        <v>0.43</v>
      </c>
      <c r="I404" s="40">
        <v>0.31</v>
      </c>
      <c r="J404">
        <v>2.12</v>
      </c>
      <c r="K404">
        <v>3.1</v>
      </c>
      <c r="L404">
        <v>3.25</v>
      </c>
      <c r="M404">
        <v>2.15</v>
      </c>
      <c r="N404">
        <v>3.3</v>
      </c>
      <c r="O404">
        <v>2.5499999999999998</v>
      </c>
      <c r="P404">
        <v>2.15</v>
      </c>
      <c r="Q404">
        <v>3.25</v>
      </c>
      <c r="R404">
        <v>3.5</v>
      </c>
      <c r="S404">
        <v>0.4402208391200727</v>
      </c>
      <c r="T404">
        <v>0.27261972120775674</v>
      </c>
      <c r="U404">
        <v>0.2871594396721705</v>
      </c>
      <c r="V404">
        <v>0.40085744908896032</v>
      </c>
      <c r="W404">
        <v>0.26116470167917111</v>
      </c>
      <c r="X404">
        <v>0.33797784923186852</v>
      </c>
      <c r="Y404">
        <v>0.43940125543215836</v>
      </c>
      <c r="Z404">
        <v>0.29068083051665861</v>
      </c>
      <c r="AA404">
        <v>0.26991791405118298</v>
      </c>
      <c r="AB404">
        <v>0.42682651454706377</v>
      </c>
      <c r="AC404">
        <v>0.27482175113452884</v>
      </c>
      <c r="AD404">
        <v>0.29835173431840734</v>
      </c>
      <c r="AE404" t="s">
        <v>102</v>
      </c>
      <c r="AF404" t="s">
        <v>85</v>
      </c>
      <c r="AG404">
        <v>27.13</v>
      </c>
      <c r="AH404">
        <v>27</v>
      </c>
      <c r="AI404">
        <v>2</v>
      </c>
      <c r="AJ404">
        <v>0</v>
      </c>
      <c r="AK404">
        <v>25.3</v>
      </c>
      <c r="AL404">
        <v>232</v>
      </c>
      <c r="AM404">
        <v>3005</v>
      </c>
      <c r="AN404">
        <v>65</v>
      </c>
      <c r="AO404">
        <v>70</v>
      </c>
      <c r="AP404">
        <v>65</v>
      </c>
      <c r="AQ404">
        <v>3</v>
      </c>
      <c r="AR404" t="s">
        <v>46</v>
      </c>
      <c r="AS404" t="s">
        <v>93</v>
      </c>
      <c r="AT404" t="s">
        <v>85</v>
      </c>
      <c r="AU404">
        <v>19.079999999999998</v>
      </c>
      <c r="AV404">
        <v>33</v>
      </c>
      <c r="AW404">
        <v>5</v>
      </c>
      <c r="AX404">
        <v>0</v>
      </c>
      <c r="AY404">
        <v>25.7</v>
      </c>
      <c r="AZ404">
        <v>100</v>
      </c>
      <c r="BA404">
        <v>4829</v>
      </c>
      <c r="BB404">
        <v>72</v>
      </c>
      <c r="BC404">
        <v>70</v>
      </c>
      <c r="BD404">
        <v>67</v>
      </c>
      <c r="BE404">
        <v>3</v>
      </c>
      <c r="BF404" t="s">
        <v>29</v>
      </c>
      <c r="BG404">
        <v>8</v>
      </c>
      <c r="BH404">
        <v>36</v>
      </c>
      <c r="BI404">
        <v>0.36399999999999999</v>
      </c>
      <c r="BJ404" t="s">
        <v>85</v>
      </c>
      <c r="BK404">
        <v>0.3846</v>
      </c>
      <c r="BL404">
        <v>0.38890000000000002</v>
      </c>
      <c r="BM404">
        <v>1.1299999999999999</v>
      </c>
      <c r="BN404">
        <v>1.36</v>
      </c>
    </row>
    <row r="405" spans="1:66" x14ac:dyDescent="0.25">
      <c r="A405">
        <v>3</v>
      </c>
      <c r="B405">
        <v>-3</v>
      </c>
      <c r="C405">
        <v>4</v>
      </c>
      <c r="D405">
        <v>4.5333333333333332</v>
      </c>
      <c r="E405">
        <v>3.7166666666666668</v>
      </c>
      <c r="F405">
        <v>1.7290000000000001</v>
      </c>
      <c r="G405" s="40">
        <v>0.25</v>
      </c>
      <c r="H405" s="40">
        <v>0.32</v>
      </c>
      <c r="I405" s="40">
        <v>0.43</v>
      </c>
      <c r="J405">
        <v>4.25</v>
      </c>
      <c r="K405">
        <v>3.5</v>
      </c>
      <c r="L405">
        <v>1.73</v>
      </c>
      <c r="M405">
        <v>4.75</v>
      </c>
      <c r="N405">
        <v>3.85</v>
      </c>
      <c r="O405">
        <v>1.7270000000000001</v>
      </c>
      <c r="P405">
        <v>4.5999999999999996</v>
      </c>
      <c r="Q405">
        <v>3.8</v>
      </c>
      <c r="R405">
        <v>1.73</v>
      </c>
      <c r="S405">
        <v>0.22329991653557479</v>
      </c>
      <c r="T405">
        <v>0.22813092434523868</v>
      </c>
      <c r="U405">
        <v>0.54856915911918669</v>
      </c>
      <c r="V405">
        <v>0.20063398280612074</v>
      </c>
      <c r="W405">
        <v>0.24753543333222694</v>
      </c>
      <c r="X405">
        <v>0.55183058386165229</v>
      </c>
      <c r="Y405">
        <v>0.20536048981631891</v>
      </c>
      <c r="Z405">
        <v>0.24859427714607024</v>
      </c>
      <c r="AA405">
        <v>0.54604523303761099</v>
      </c>
      <c r="AB405">
        <v>0.20976479638600484</v>
      </c>
      <c r="AC405">
        <v>0.2414202116078453</v>
      </c>
      <c r="AD405">
        <v>0.54881499200614992</v>
      </c>
      <c r="AE405" t="s">
        <v>96</v>
      </c>
      <c r="AF405" t="s">
        <v>85</v>
      </c>
      <c r="AG405">
        <v>21.6</v>
      </c>
      <c r="AH405">
        <v>31</v>
      </c>
      <c r="AI405">
        <v>2</v>
      </c>
      <c r="AJ405">
        <v>0</v>
      </c>
      <c r="AK405">
        <v>26.5</v>
      </c>
      <c r="AL405">
        <v>146</v>
      </c>
      <c r="AM405">
        <v>4001</v>
      </c>
      <c r="AN405">
        <v>70</v>
      </c>
      <c r="AO405">
        <v>69</v>
      </c>
      <c r="AP405">
        <v>71</v>
      </c>
      <c r="AQ405">
        <v>3.5</v>
      </c>
      <c r="AR405" t="s">
        <v>29</v>
      </c>
      <c r="AS405" t="s">
        <v>84</v>
      </c>
      <c r="AT405" t="s">
        <v>85</v>
      </c>
      <c r="AU405">
        <v>103.93</v>
      </c>
      <c r="AV405">
        <v>29</v>
      </c>
      <c r="AW405">
        <v>5</v>
      </c>
      <c r="AX405">
        <v>6</v>
      </c>
      <c r="AY405">
        <v>27.7</v>
      </c>
      <c r="AZ405">
        <v>4</v>
      </c>
      <c r="BA405">
        <v>11425</v>
      </c>
      <c r="BB405">
        <v>76</v>
      </c>
      <c r="BC405">
        <v>76</v>
      </c>
      <c r="BD405">
        <v>75</v>
      </c>
      <c r="BE405">
        <v>4</v>
      </c>
      <c r="BF405" t="s">
        <v>29</v>
      </c>
      <c r="BG405">
        <v>4</v>
      </c>
      <c r="BH405">
        <v>38</v>
      </c>
      <c r="BI405">
        <v>0.45800000000000002</v>
      </c>
      <c r="BJ405" t="s">
        <v>85</v>
      </c>
      <c r="BK405">
        <v>0.43240000000000001</v>
      </c>
      <c r="BL405">
        <v>0.64</v>
      </c>
      <c r="BM405">
        <v>1.46</v>
      </c>
      <c r="BN405">
        <v>2.08</v>
      </c>
    </row>
    <row r="406" spans="1:66" x14ac:dyDescent="0.25">
      <c r="A406">
        <v>1</v>
      </c>
      <c r="B406">
        <v>1</v>
      </c>
      <c r="C406">
        <v>1</v>
      </c>
      <c r="D406">
        <v>1.5143333333333331</v>
      </c>
      <c r="E406">
        <v>3.7333333333333329</v>
      </c>
      <c r="F406">
        <v>5.8</v>
      </c>
      <c r="G406" s="40">
        <v>0.4</v>
      </c>
      <c r="H406" s="40">
        <v>0.42</v>
      </c>
      <c r="I406" s="40">
        <v>0.18</v>
      </c>
      <c r="J406">
        <v>1.47</v>
      </c>
      <c r="K406">
        <v>3.65</v>
      </c>
      <c r="L406">
        <v>5.8</v>
      </c>
      <c r="M406">
        <v>1.5329999999999999</v>
      </c>
      <c r="N406">
        <v>3.75</v>
      </c>
      <c r="O406">
        <v>6</v>
      </c>
      <c r="P406">
        <v>1.54</v>
      </c>
      <c r="Q406">
        <v>3.8</v>
      </c>
      <c r="R406">
        <v>5.6</v>
      </c>
      <c r="S406">
        <v>0.64088693473712377</v>
      </c>
      <c r="T406">
        <v>0.19668137663122587</v>
      </c>
      <c r="U406">
        <v>0.16243168863165033</v>
      </c>
      <c r="V406">
        <v>0.60085321156041582</v>
      </c>
      <c r="W406">
        <v>0.24562879288589795</v>
      </c>
      <c r="X406">
        <v>0.1535179955536862</v>
      </c>
      <c r="Y406">
        <v>0.59514487079091616</v>
      </c>
      <c r="Z406">
        <v>0.24119028974158183</v>
      </c>
      <c r="AA406">
        <v>0.16366483946750196</v>
      </c>
      <c r="AB406">
        <v>0.61229500569615192</v>
      </c>
      <c r="AC406">
        <v>0.22783348641956855</v>
      </c>
      <c r="AD406">
        <v>0.15987150788427951</v>
      </c>
      <c r="AE406" t="s">
        <v>113</v>
      </c>
      <c r="AF406" t="s">
        <v>108</v>
      </c>
      <c r="AG406">
        <v>98.45</v>
      </c>
      <c r="AH406">
        <v>29</v>
      </c>
      <c r="AI406">
        <v>8</v>
      </c>
      <c r="AJ406">
        <v>7</v>
      </c>
      <c r="AK406">
        <v>27.3</v>
      </c>
      <c r="AL406">
        <v>33</v>
      </c>
      <c r="AM406">
        <v>7418</v>
      </c>
      <c r="AN406">
        <v>81</v>
      </c>
      <c r="AO406">
        <v>75</v>
      </c>
      <c r="AP406">
        <v>75</v>
      </c>
      <c r="AQ406">
        <v>4</v>
      </c>
      <c r="AR406" t="s">
        <v>29</v>
      </c>
      <c r="AS406" t="s">
        <v>118</v>
      </c>
      <c r="AT406" t="s">
        <v>108</v>
      </c>
      <c r="AU406">
        <v>65.8</v>
      </c>
      <c r="AV406">
        <v>34</v>
      </c>
      <c r="AW406">
        <v>4</v>
      </c>
      <c r="AX406">
        <v>2</v>
      </c>
      <c r="AY406">
        <v>27.6</v>
      </c>
      <c r="AZ406">
        <v>89</v>
      </c>
      <c r="BA406">
        <v>5108</v>
      </c>
      <c r="BB406">
        <v>70</v>
      </c>
      <c r="BC406">
        <v>73</v>
      </c>
      <c r="BD406">
        <v>72</v>
      </c>
      <c r="BE406">
        <v>3.5</v>
      </c>
      <c r="BF406" t="s">
        <v>29</v>
      </c>
      <c r="BG406">
        <v>10</v>
      </c>
      <c r="BH406">
        <v>57</v>
      </c>
      <c r="BI406">
        <v>0.40500000000000003</v>
      </c>
      <c r="BJ406" t="s">
        <v>108</v>
      </c>
      <c r="BK406">
        <v>0.54390000000000005</v>
      </c>
      <c r="BL406">
        <v>0.4839</v>
      </c>
      <c r="BM406">
        <v>1.68</v>
      </c>
      <c r="BN406">
        <v>1.52</v>
      </c>
    </row>
    <row r="407" spans="1:66" x14ac:dyDescent="0.25">
      <c r="A407">
        <v>1</v>
      </c>
      <c r="B407">
        <v>2</v>
      </c>
      <c r="C407">
        <v>2</v>
      </c>
      <c r="D407">
        <v>1.3643333333333334</v>
      </c>
      <c r="E407">
        <v>4.416666666666667</v>
      </c>
      <c r="F407">
        <v>7.4666666666666659</v>
      </c>
      <c r="G407" s="40">
        <v>0.41</v>
      </c>
      <c r="H407" s="40">
        <v>0.34</v>
      </c>
      <c r="I407" s="40">
        <v>0.25000000000000006</v>
      </c>
      <c r="J407">
        <v>1.37</v>
      </c>
      <c r="K407">
        <v>4.2</v>
      </c>
      <c r="L407">
        <v>6.5</v>
      </c>
      <c r="M407">
        <v>1.363</v>
      </c>
      <c r="N407">
        <v>4.5</v>
      </c>
      <c r="O407">
        <v>8.5</v>
      </c>
      <c r="P407">
        <v>1.36</v>
      </c>
      <c r="Q407">
        <v>4.55</v>
      </c>
      <c r="R407">
        <v>7.4</v>
      </c>
      <c r="S407">
        <v>0.68958848364679559</v>
      </c>
      <c r="T407">
        <v>0.16506748210764885</v>
      </c>
      <c r="U407">
        <v>0.14534403424555539</v>
      </c>
      <c r="V407">
        <v>0.6834140327681395</v>
      </c>
      <c r="W407">
        <v>0.2069985170362165</v>
      </c>
      <c r="X407">
        <v>0.10958745019564402</v>
      </c>
      <c r="Y407">
        <v>0.67445214534674092</v>
      </c>
      <c r="Z407">
        <v>0.20159448740034452</v>
      </c>
      <c r="AA407">
        <v>0.12395336725291453</v>
      </c>
      <c r="AB407">
        <v>0.68248488725389189</v>
      </c>
      <c r="AC407">
        <v>0.19122016218140328</v>
      </c>
      <c r="AD407">
        <v>0.12629495056470463</v>
      </c>
      <c r="AE407" t="s">
        <v>107</v>
      </c>
      <c r="AF407" t="s">
        <v>108</v>
      </c>
      <c r="AG407">
        <v>148.6</v>
      </c>
      <c r="AH407">
        <v>32</v>
      </c>
      <c r="AI407">
        <v>2</v>
      </c>
      <c r="AJ407">
        <v>7</v>
      </c>
      <c r="AK407">
        <v>27.2</v>
      </c>
      <c r="AL407">
        <v>2</v>
      </c>
      <c r="AM407">
        <v>13486</v>
      </c>
      <c r="AN407">
        <v>77</v>
      </c>
      <c r="AO407">
        <v>75</v>
      </c>
      <c r="AP407">
        <v>75</v>
      </c>
      <c r="AQ407">
        <v>4</v>
      </c>
      <c r="AR407" t="s">
        <v>29</v>
      </c>
      <c r="AS407" t="s">
        <v>110</v>
      </c>
      <c r="AT407" t="s">
        <v>108</v>
      </c>
      <c r="AU407">
        <v>84.95</v>
      </c>
      <c r="AV407">
        <v>33</v>
      </c>
      <c r="AW407">
        <v>5</v>
      </c>
      <c r="AX407">
        <v>4</v>
      </c>
      <c r="AY407">
        <v>26.9</v>
      </c>
      <c r="AZ407">
        <v>9</v>
      </c>
      <c r="BA407">
        <v>10366</v>
      </c>
      <c r="BB407">
        <v>75</v>
      </c>
      <c r="BC407">
        <v>72</v>
      </c>
      <c r="BD407">
        <v>75</v>
      </c>
      <c r="BE407">
        <v>3.5</v>
      </c>
      <c r="BF407" t="s">
        <v>29</v>
      </c>
      <c r="BG407">
        <v>1</v>
      </c>
      <c r="BH407">
        <v>57</v>
      </c>
      <c r="BI407">
        <v>0.38100000000000001</v>
      </c>
      <c r="BJ407" t="s">
        <v>108</v>
      </c>
      <c r="BK407">
        <v>0.62860000000000005</v>
      </c>
      <c r="BL407">
        <v>0.47299999999999998</v>
      </c>
      <c r="BM407">
        <v>1.87</v>
      </c>
      <c r="BN407">
        <v>1.36</v>
      </c>
    </row>
    <row r="408" spans="1:66" x14ac:dyDescent="0.25">
      <c r="A408">
        <v>1</v>
      </c>
      <c r="B408">
        <v>2</v>
      </c>
      <c r="C408">
        <v>4</v>
      </c>
      <c r="D408">
        <v>2.5366666666666666</v>
      </c>
      <c r="E408">
        <v>3</v>
      </c>
      <c r="F408">
        <v>2.6633333333333336</v>
      </c>
      <c r="G408" s="40">
        <v>0.31</v>
      </c>
      <c r="H408" s="40">
        <v>0.43</v>
      </c>
      <c r="I408" s="40">
        <v>0.25999999999999995</v>
      </c>
      <c r="J408">
        <v>2.4300000000000002</v>
      </c>
      <c r="K408">
        <v>2.95</v>
      </c>
      <c r="L408">
        <v>2.7</v>
      </c>
      <c r="M408">
        <v>2.6</v>
      </c>
      <c r="N408">
        <v>3</v>
      </c>
      <c r="O408">
        <v>2.65</v>
      </c>
      <c r="P408">
        <v>2.58</v>
      </c>
      <c r="Q408">
        <v>3.05</v>
      </c>
      <c r="R408">
        <v>2.64</v>
      </c>
      <c r="S408">
        <v>0.37410243186416475</v>
      </c>
      <c r="T408">
        <v>0.289205379458087</v>
      </c>
      <c r="U408">
        <v>0.33669218867774831</v>
      </c>
      <c r="V408">
        <v>0.35114840989399293</v>
      </c>
      <c r="W408">
        <v>0.30432862190812721</v>
      </c>
      <c r="X408">
        <v>0.34452296819787986</v>
      </c>
      <c r="Y408">
        <v>0.35421120701032016</v>
      </c>
      <c r="Z408">
        <v>0.29962784068413967</v>
      </c>
      <c r="AA408">
        <v>0.34616095230554017</v>
      </c>
      <c r="AB408">
        <v>0.35982068292282593</v>
      </c>
      <c r="AC408">
        <v>0.29772061401678462</v>
      </c>
      <c r="AD408">
        <v>0.34245870306038945</v>
      </c>
      <c r="AE408" t="s">
        <v>120</v>
      </c>
      <c r="AF408" t="s">
        <v>108</v>
      </c>
      <c r="AG408">
        <v>22.38</v>
      </c>
      <c r="AH408">
        <v>31</v>
      </c>
      <c r="AI408">
        <v>2</v>
      </c>
      <c r="AJ408">
        <v>1</v>
      </c>
      <c r="AK408">
        <v>27.8</v>
      </c>
      <c r="AL408">
        <v>106</v>
      </c>
      <c r="AM408">
        <v>4727</v>
      </c>
      <c r="AN408">
        <v>70</v>
      </c>
      <c r="AO408">
        <v>71</v>
      </c>
      <c r="AP408">
        <v>72</v>
      </c>
      <c r="AQ408">
        <v>3.5</v>
      </c>
      <c r="AR408" t="s">
        <v>28</v>
      </c>
      <c r="AS408" t="s">
        <v>116</v>
      </c>
      <c r="AT408" t="s">
        <v>108</v>
      </c>
      <c r="AU408">
        <v>83.05</v>
      </c>
      <c r="AV408">
        <v>34</v>
      </c>
      <c r="AW408">
        <v>9</v>
      </c>
      <c r="AX408">
        <v>5</v>
      </c>
      <c r="AY408">
        <v>26.4</v>
      </c>
      <c r="AZ408">
        <v>75</v>
      </c>
      <c r="BA408">
        <v>5476</v>
      </c>
      <c r="BB408">
        <v>78</v>
      </c>
      <c r="BC408">
        <v>75</v>
      </c>
      <c r="BD408">
        <v>76</v>
      </c>
      <c r="BE408">
        <v>4</v>
      </c>
      <c r="BF408" t="s">
        <v>29</v>
      </c>
      <c r="BG408">
        <v>-7</v>
      </c>
      <c r="BH408">
        <v>12</v>
      </c>
      <c r="BI408">
        <v>0.214</v>
      </c>
      <c r="BJ408" t="s">
        <v>108</v>
      </c>
      <c r="BK408">
        <v>0.4032</v>
      </c>
      <c r="BL408">
        <v>0.44619999999999999</v>
      </c>
      <c r="BM408">
        <v>1.26</v>
      </c>
      <c r="BN408">
        <v>1.69</v>
      </c>
    </row>
    <row r="409" spans="1:66" x14ac:dyDescent="0.25">
      <c r="A409">
        <v>1</v>
      </c>
      <c r="B409">
        <v>3</v>
      </c>
      <c r="C409">
        <v>4</v>
      </c>
      <c r="D409">
        <v>1.5369999999999999</v>
      </c>
      <c r="E409">
        <v>4.2110000000000003</v>
      </c>
      <c r="F409">
        <v>5.6000000000000005</v>
      </c>
      <c r="G409" s="40">
        <v>0.49</v>
      </c>
      <c r="H409" s="40">
        <v>0.27</v>
      </c>
      <c r="I409" s="40">
        <v>0.24</v>
      </c>
      <c r="J409">
        <v>1.46</v>
      </c>
      <c r="K409">
        <v>4.0999999999999996</v>
      </c>
      <c r="L409">
        <v>5.75</v>
      </c>
      <c r="M409">
        <v>1.571</v>
      </c>
      <c r="N409">
        <v>4.3330000000000002</v>
      </c>
      <c r="O409">
        <v>5.75</v>
      </c>
      <c r="P409">
        <v>1.58</v>
      </c>
      <c r="Q409">
        <v>4.2</v>
      </c>
      <c r="R409">
        <v>5.3</v>
      </c>
      <c r="S409">
        <v>0.65539652790012037</v>
      </c>
      <c r="T409">
        <v>0.17818974501567519</v>
      </c>
      <c r="U409">
        <v>0.16641372708420449</v>
      </c>
      <c r="V409">
        <v>0.61132775316234322</v>
      </c>
      <c r="W409">
        <v>0.22164687288669307</v>
      </c>
      <c r="X409">
        <v>0.16702537395096367</v>
      </c>
      <c r="Y409">
        <v>0.59726321438154018</v>
      </c>
      <c r="Z409">
        <v>0.22468473302924605</v>
      </c>
      <c r="AA409">
        <v>0.17805205258921386</v>
      </c>
      <c r="AB409">
        <v>0.62132916514800118</v>
      </c>
      <c r="AC409">
        <v>0.20817378364387143</v>
      </c>
      <c r="AD409">
        <v>0.17049705120812733</v>
      </c>
      <c r="AE409" t="s">
        <v>159</v>
      </c>
      <c r="AF409" t="s">
        <v>160</v>
      </c>
      <c r="AG409">
        <v>69.349999999999994</v>
      </c>
      <c r="AH409">
        <v>30</v>
      </c>
      <c r="AI409">
        <v>16</v>
      </c>
      <c r="AJ409">
        <v>5</v>
      </c>
      <c r="AK409">
        <v>24.9</v>
      </c>
      <c r="AL409">
        <v>87</v>
      </c>
      <c r="AM409">
        <v>5184</v>
      </c>
      <c r="AN409">
        <v>72</v>
      </c>
      <c r="AO409">
        <v>69</v>
      </c>
      <c r="AP409">
        <v>68</v>
      </c>
      <c r="AQ409">
        <v>3</v>
      </c>
      <c r="AR409" t="s">
        <v>29</v>
      </c>
      <c r="AS409" t="s">
        <v>177</v>
      </c>
      <c r="AT409" t="s">
        <v>160</v>
      </c>
      <c r="AU409">
        <v>31.08</v>
      </c>
      <c r="AV409">
        <v>30</v>
      </c>
      <c r="AW409">
        <v>17</v>
      </c>
      <c r="AX409">
        <v>3</v>
      </c>
      <c r="AY409">
        <v>26.8</v>
      </c>
      <c r="AZ409">
        <v>596</v>
      </c>
      <c r="BA409">
        <v>1058</v>
      </c>
      <c r="BB409">
        <v>71</v>
      </c>
      <c r="BC409">
        <v>68</v>
      </c>
      <c r="BD409">
        <v>67</v>
      </c>
      <c r="BE409">
        <v>2.5</v>
      </c>
      <c r="BF409" t="s">
        <v>29</v>
      </c>
      <c r="BG409">
        <v>4</v>
      </c>
      <c r="BH409">
        <v>11</v>
      </c>
      <c r="BI409">
        <v>0.5</v>
      </c>
      <c r="BJ409" t="s">
        <v>234</v>
      </c>
      <c r="BK409">
        <v>0.32140000000000002</v>
      </c>
      <c r="BL409">
        <v>0.16669999999999999</v>
      </c>
      <c r="BM409">
        <v>1.1100000000000001</v>
      </c>
      <c r="BN409">
        <v>0.54</v>
      </c>
    </row>
    <row r="410" spans="1:66" x14ac:dyDescent="0.25">
      <c r="A410">
        <v>1</v>
      </c>
      <c r="B410">
        <v>3</v>
      </c>
      <c r="C410">
        <v>4</v>
      </c>
      <c r="D410">
        <v>1.76</v>
      </c>
      <c r="E410">
        <v>3.8833333333333333</v>
      </c>
      <c r="F410">
        <v>4.1499999999999995</v>
      </c>
      <c r="G410" s="40">
        <v>0.39</v>
      </c>
      <c r="H410" s="40">
        <v>0.42</v>
      </c>
      <c r="I410" s="40">
        <v>0.19</v>
      </c>
      <c r="J410">
        <v>1.7</v>
      </c>
      <c r="K410">
        <v>3.85</v>
      </c>
      <c r="L410">
        <v>4.0999999999999996</v>
      </c>
      <c r="M410">
        <v>1.8</v>
      </c>
      <c r="N410">
        <v>3.95</v>
      </c>
      <c r="O410">
        <v>4.2</v>
      </c>
      <c r="P410">
        <v>1.78</v>
      </c>
      <c r="Q410">
        <v>3.85</v>
      </c>
      <c r="R410">
        <v>4.1500000000000004</v>
      </c>
      <c r="S410">
        <v>0.55962937132609336</v>
      </c>
      <c r="T410">
        <v>0.20832918202650191</v>
      </c>
      <c r="U410">
        <v>0.23204144664740459</v>
      </c>
      <c r="V410">
        <v>0.53071017274472165</v>
      </c>
      <c r="W410">
        <v>0.24184261036468327</v>
      </c>
      <c r="X410">
        <v>0.22744721689059497</v>
      </c>
      <c r="Y410">
        <v>0.52874989658310589</v>
      </c>
      <c r="Z410">
        <v>0.24446099114751388</v>
      </c>
      <c r="AA410">
        <v>0.22678911226938031</v>
      </c>
      <c r="AB410">
        <v>0.53969648021797367</v>
      </c>
      <c r="AC410">
        <v>0.23154426117956636</v>
      </c>
      <c r="AD410">
        <v>0.22875925860245994</v>
      </c>
      <c r="AE410" t="s">
        <v>174</v>
      </c>
      <c r="AF410" t="s">
        <v>160</v>
      </c>
      <c r="AG410">
        <v>30.15</v>
      </c>
      <c r="AH410">
        <v>29</v>
      </c>
      <c r="AI410">
        <v>12</v>
      </c>
      <c r="AJ410">
        <v>3</v>
      </c>
      <c r="AK410">
        <v>26.1</v>
      </c>
      <c r="AL410">
        <v>374</v>
      </c>
      <c r="AM410">
        <v>1991</v>
      </c>
      <c r="AN410">
        <v>71</v>
      </c>
      <c r="AO410">
        <v>67</v>
      </c>
      <c r="AP410">
        <v>69</v>
      </c>
      <c r="AQ410">
        <v>3</v>
      </c>
      <c r="AR410" t="s">
        <v>29</v>
      </c>
      <c r="AS410" t="s">
        <v>162</v>
      </c>
      <c r="AT410" t="s">
        <v>160</v>
      </c>
      <c r="AU410">
        <v>42.95</v>
      </c>
      <c r="AV410">
        <v>26</v>
      </c>
      <c r="AW410">
        <v>15</v>
      </c>
      <c r="AX410">
        <v>6</v>
      </c>
      <c r="AY410">
        <v>27.5</v>
      </c>
      <c r="AZ410">
        <v>185</v>
      </c>
      <c r="BA410">
        <v>3516</v>
      </c>
      <c r="BB410">
        <v>74</v>
      </c>
      <c r="BC410">
        <v>70</v>
      </c>
      <c r="BD410">
        <v>70</v>
      </c>
      <c r="BE410">
        <v>3.5</v>
      </c>
      <c r="BF410" t="s">
        <v>29</v>
      </c>
      <c r="BG410">
        <v>5</v>
      </c>
      <c r="BH410">
        <v>24</v>
      </c>
      <c r="BI410">
        <v>0.46700000000000003</v>
      </c>
      <c r="BJ410" t="s">
        <v>234</v>
      </c>
      <c r="BK410">
        <v>0.48</v>
      </c>
      <c r="BL410">
        <v>0.44440000000000002</v>
      </c>
      <c r="BM410">
        <v>1.68</v>
      </c>
      <c r="BN410">
        <v>1.85</v>
      </c>
    </row>
    <row r="411" spans="1:66" x14ac:dyDescent="0.25">
      <c r="A411">
        <v>1</v>
      </c>
      <c r="B411">
        <v>1</v>
      </c>
      <c r="C411">
        <v>1</v>
      </c>
      <c r="D411">
        <v>1.76</v>
      </c>
      <c r="E411">
        <v>3.4</v>
      </c>
      <c r="F411">
        <v>5.05</v>
      </c>
      <c r="G411" s="40">
        <v>0.51</v>
      </c>
      <c r="H411" s="40">
        <v>0.22</v>
      </c>
      <c r="I411" s="40">
        <v>0.27</v>
      </c>
      <c r="J411">
        <v>1.75</v>
      </c>
      <c r="K411">
        <v>3.25</v>
      </c>
      <c r="L411">
        <v>5.5</v>
      </c>
      <c r="M411">
        <v>1.76</v>
      </c>
      <c r="N411">
        <v>3.5</v>
      </c>
      <c r="O411">
        <v>4.75</v>
      </c>
      <c r="P411">
        <v>1.77</v>
      </c>
      <c r="Q411">
        <v>3.45</v>
      </c>
      <c r="R411">
        <v>4.9000000000000004</v>
      </c>
      <c r="S411">
        <v>0.57805255023183932</v>
      </c>
      <c r="T411">
        <v>0.23802163833075737</v>
      </c>
      <c r="U411">
        <v>0.18392581143740341</v>
      </c>
      <c r="V411">
        <v>0.53379354631562048</v>
      </c>
      <c r="W411">
        <v>0.26842189757585488</v>
      </c>
      <c r="X411">
        <v>0.19778455610852463</v>
      </c>
      <c r="Y411">
        <v>0.53354163707806657</v>
      </c>
      <c r="Z411">
        <v>0.27373005728352978</v>
      </c>
      <c r="AA411">
        <v>0.1927283056384036</v>
      </c>
      <c r="AB411">
        <v>0.54846257787517549</v>
      </c>
      <c r="AC411">
        <v>0.26005786439671402</v>
      </c>
      <c r="AD411">
        <v>0.19147955772811054</v>
      </c>
      <c r="AE411" t="s">
        <v>67</v>
      </c>
      <c r="AF411" t="s">
        <v>63</v>
      </c>
      <c r="AG411">
        <v>21.85</v>
      </c>
      <c r="AH411">
        <v>29</v>
      </c>
      <c r="AI411">
        <v>2</v>
      </c>
      <c r="AJ411">
        <v>4</v>
      </c>
      <c r="AK411">
        <v>25.7</v>
      </c>
      <c r="AL411">
        <v>104</v>
      </c>
      <c r="AM411">
        <v>4793</v>
      </c>
      <c r="AN411">
        <v>67</v>
      </c>
      <c r="AO411">
        <v>70</v>
      </c>
      <c r="AP411">
        <v>67</v>
      </c>
      <c r="AQ411">
        <v>2.5</v>
      </c>
      <c r="AR411" t="s">
        <v>29</v>
      </c>
      <c r="AS411" t="s">
        <v>72</v>
      </c>
      <c r="AT411" t="s">
        <v>63</v>
      </c>
      <c r="AU411">
        <v>14.85</v>
      </c>
      <c r="AV411">
        <v>33</v>
      </c>
      <c r="AW411">
        <v>3</v>
      </c>
      <c r="AX411">
        <v>2</v>
      </c>
      <c r="AY411">
        <v>25.9</v>
      </c>
      <c r="AZ411">
        <v>209</v>
      </c>
      <c r="BA411">
        <v>3175</v>
      </c>
      <c r="BB411">
        <v>65</v>
      </c>
      <c r="BC411">
        <v>64</v>
      </c>
      <c r="BD411">
        <v>63</v>
      </c>
      <c r="BE411">
        <v>1.5</v>
      </c>
      <c r="BF411" t="s">
        <v>46</v>
      </c>
      <c r="BG411">
        <v>6</v>
      </c>
      <c r="BH411">
        <v>56</v>
      </c>
      <c r="BI411">
        <v>0.34100000000000003</v>
      </c>
      <c r="BJ411" t="s">
        <v>63</v>
      </c>
      <c r="BK411">
        <v>0.42859999999999998</v>
      </c>
      <c r="BL411">
        <v>0.51719999999999999</v>
      </c>
      <c r="BM411">
        <v>1.75</v>
      </c>
      <c r="BN411">
        <v>1.55</v>
      </c>
    </row>
    <row r="412" spans="1:66" x14ac:dyDescent="0.25">
      <c r="A412">
        <v>1</v>
      </c>
      <c r="B412">
        <v>1</v>
      </c>
      <c r="C412">
        <v>1</v>
      </c>
      <c r="D412">
        <v>2.2599999999999998</v>
      </c>
      <c r="E412">
        <v>3.0666666666666664</v>
      </c>
      <c r="F412">
        <v>3.4</v>
      </c>
      <c r="G412" s="40">
        <v>0.51</v>
      </c>
      <c r="H412" s="40">
        <v>0.22</v>
      </c>
      <c r="I412" s="40">
        <v>0.27</v>
      </c>
      <c r="J412">
        <v>2.2999999999999998</v>
      </c>
      <c r="K412">
        <v>3</v>
      </c>
      <c r="L412">
        <v>3.4</v>
      </c>
      <c r="M412">
        <v>2.25</v>
      </c>
      <c r="N412">
        <v>3.1</v>
      </c>
      <c r="O412">
        <v>3.4</v>
      </c>
      <c r="P412">
        <v>2.23</v>
      </c>
      <c r="Q412">
        <v>3.1</v>
      </c>
      <c r="R412">
        <v>3.4</v>
      </c>
      <c r="S412">
        <v>0.42499999999999999</v>
      </c>
      <c r="T412">
        <v>0.28749999999999992</v>
      </c>
      <c r="U412">
        <v>0.28749999999999998</v>
      </c>
      <c r="V412">
        <v>0.41883568448241604</v>
      </c>
      <c r="W412">
        <v>0.30399364196304385</v>
      </c>
      <c r="X412">
        <v>0.27717067355454006</v>
      </c>
      <c r="Y412">
        <v>0.42101058518074697</v>
      </c>
      <c r="Z412">
        <v>0.3028560015977631</v>
      </c>
      <c r="AA412">
        <v>0.27613341322148993</v>
      </c>
      <c r="AB412">
        <v>0.42161542322105433</v>
      </c>
      <c r="AC412">
        <v>0.29811654785360231</v>
      </c>
      <c r="AD412">
        <v>0.2802680289253433</v>
      </c>
      <c r="AE412" t="s">
        <v>64</v>
      </c>
      <c r="AF412" t="s">
        <v>63</v>
      </c>
      <c r="AG412">
        <v>13.1</v>
      </c>
      <c r="AH412">
        <v>30</v>
      </c>
      <c r="AI412">
        <v>4</v>
      </c>
      <c r="AJ412">
        <v>0</v>
      </c>
      <c r="AK412">
        <v>25.1</v>
      </c>
      <c r="AL412">
        <v>71</v>
      </c>
      <c r="AM412">
        <v>5560</v>
      </c>
      <c r="AN412">
        <v>71</v>
      </c>
      <c r="AO412">
        <v>64</v>
      </c>
      <c r="AP412">
        <v>67</v>
      </c>
      <c r="AQ412">
        <v>2</v>
      </c>
      <c r="AR412" t="s">
        <v>29</v>
      </c>
      <c r="AS412" t="s">
        <v>68</v>
      </c>
      <c r="AT412" t="s">
        <v>63</v>
      </c>
      <c r="AU412">
        <v>16.600000000000001</v>
      </c>
      <c r="AV412">
        <v>36</v>
      </c>
      <c r="AW412">
        <v>2</v>
      </c>
      <c r="AX412">
        <v>1</v>
      </c>
      <c r="AY412">
        <v>25.1</v>
      </c>
      <c r="AZ412">
        <v>129</v>
      </c>
      <c r="BA412">
        <v>4227</v>
      </c>
      <c r="BB412">
        <v>62</v>
      </c>
      <c r="BC412">
        <v>66</v>
      </c>
      <c r="BD412">
        <v>64</v>
      </c>
      <c r="BE412">
        <v>2</v>
      </c>
      <c r="BF412" t="s">
        <v>46</v>
      </c>
      <c r="BG412">
        <v>4</v>
      </c>
      <c r="BH412">
        <v>63</v>
      </c>
      <c r="BI412">
        <v>0.5</v>
      </c>
      <c r="BJ412" t="s">
        <v>63</v>
      </c>
      <c r="BK412">
        <v>0.37930000000000003</v>
      </c>
      <c r="BL412">
        <v>0.38890000000000002</v>
      </c>
      <c r="BM412">
        <v>1.48</v>
      </c>
      <c r="BN412">
        <v>1.39</v>
      </c>
    </row>
    <row r="413" spans="1:66" x14ac:dyDescent="0.25">
      <c r="A413">
        <v>1</v>
      </c>
      <c r="B413">
        <v>2</v>
      </c>
      <c r="C413">
        <v>2</v>
      </c>
      <c r="D413">
        <v>1.6966666666666665</v>
      </c>
      <c r="E413">
        <v>3.3833333333333333</v>
      </c>
      <c r="F413">
        <v>5.7</v>
      </c>
      <c r="G413" s="40">
        <v>0.47</v>
      </c>
      <c r="H413" s="40">
        <v>0.37</v>
      </c>
      <c r="I413" s="40">
        <v>0.16000000000000003</v>
      </c>
      <c r="J413">
        <v>1.7</v>
      </c>
      <c r="K413">
        <v>3.25</v>
      </c>
      <c r="L413">
        <v>6</v>
      </c>
      <c r="M413">
        <v>1.71</v>
      </c>
      <c r="N413">
        <v>3.4</v>
      </c>
      <c r="O413">
        <v>5.5</v>
      </c>
      <c r="P413">
        <v>1.68</v>
      </c>
      <c r="Q413">
        <v>3.5</v>
      </c>
      <c r="R413">
        <v>5.6</v>
      </c>
      <c r="S413">
        <v>0.59891107078039929</v>
      </c>
      <c r="T413">
        <v>0.23139745916515425</v>
      </c>
      <c r="U413">
        <v>0.16969147005444646</v>
      </c>
      <c r="V413">
        <v>0.55131342315516374</v>
      </c>
      <c r="W413">
        <v>0.27727822164568533</v>
      </c>
      <c r="X413">
        <v>0.1714083551991509</v>
      </c>
      <c r="Y413">
        <v>0.5617977528089888</v>
      </c>
      <c r="Z413">
        <v>0.26966292134831454</v>
      </c>
      <c r="AA413">
        <v>0.16853932584269662</v>
      </c>
      <c r="AB413">
        <v>0.57067408224818394</v>
      </c>
      <c r="AC413">
        <v>0.25944620071971802</v>
      </c>
      <c r="AD413">
        <v>0.169879717032098</v>
      </c>
      <c r="AE413" t="s">
        <v>62</v>
      </c>
      <c r="AF413" t="s">
        <v>63</v>
      </c>
      <c r="AG413">
        <v>18.350000000000001</v>
      </c>
      <c r="AH413">
        <v>29</v>
      </c>
      <c r="AI413">
        <v>3</v>
      </c>
      <c r="AJ413">
        <v>1</v>
      </c>
      <c r="AK413">
        <v>27.4</v>
      </c>
      <c r="AL413">
        <v>66</v>
      </c>
      <c r="AM413">
        <v>5865</v>
      </c>
      <c r="AN413">
        <v>67</v>
      </c>
      <c r="AO413">
        <v>68</v>
      </c>
      <c r="AP413">
        <v>66</v>
      </c>
      <c r="AQ413">
        <v>2.5</v>
      </c>
      <c r="AR413" t="s">
        <v>29</v>
      </c>
      <c r="AS413" t="s">
        <v>71</v>
      </c>
      <c r="AT413" t="s">
        <v>63</v>
      </c>
      <c r="AU413">
        <v>11.5</v>
      </c>
      <c r="AV413">
        <v>28</v>
      </c>
      <c r="AW413">
        <v>3</v>
      </c>
      <c r="AX413">
        <v>0</v>
      </c>
      <c r="AY413">
        <v>27</v>
      </c>
      <c r="AZ413">
        <v>205</v>
      </c>
      <c r="BA413">
        <v>3223</v>
      </c>
      <c r="BB413">
        <v>65</v>
      </c>
      <c r="BC413">
        <v>67</v>
      </c>
      <c r="BD413">
        <v>63</v>
      </c>
      <c r="BE413">
        <v>2</v>
      </c>
      <c r="BF413" t="s">
        <v>29</v>
      </c>
      <c r="BG413">
        <v>19</v>
      </c>
      <c r="BH413">
        <v>55</v>
      </c>
      <c r="BI413">
        <v>0.48399999999999999</v>
      </c>
      <c r="BJ413" t="s">
        <v>63</v>
      </c>
      <c r="BK413">
        <v>0.4375</v>
      </c>
      <c r="BL413">
        <v>0.38479999999999998</v>
      </c>
      <c r="BM413">
        <v>1.25</v>
      </c>
      <c r="BN413">
        <v>1.42</v>
      </c>
    </row>
    <row r="414" spans="1:66" x14ac:dyDescent="0.25">
      <c r="A414">
        <v>1</v>
      </c>
      <c r="B414">
        <v>2</v>
      </c>
      <c r="C414">
        <v>4</v>
      </c>
      <c r="D414">
        <v>1.66</v>
      </c>
      <c r="E414">
        <v>3.5500000000000003</v>
      </c>
      <c r="F414">
        <v>5.6333333333333329</v>
      </c>
      <c r="G414" s="40">
        <v>0.44</v>
      </c>
      <c r="H414" s="40">
        <v>0.4</v>
      </c>
      <c r="I414" s="40">
        <v>0.16000000000000003</v>
      </c>
      <c r="J414">
        <v>1.64</v>
      </c>
      <c r="K414">
        <v>3.6</v>
      </c>
      <c r="L414">
        <v>5.8</v>
      </c>
      <c r="M414">
        <v>1.67</v>
      </c>
      <c r="N414">
        <v>3.5</v>
      </c>
      <c r="O414">
        <v>5.5</v>
      </c>
      <c r="P414">
        <v>1.67</v>
      </c>
      <c r="Q414">
        <v>3.55</v>
      </c>
      <c r="R414">
        <v>5.6</v>
      </c>
      <c r="S414">
        <v>0.61506105352832607</v>
      </c>
      <c r="T414">
        <v>0.21102513133607842</v>
      </c>
      <c r="U414">
        <v>0.17391381513559565</v>
      </c>
      <c r="V414">
        <v>0.56155192532088682</v>
      </c>
      <c r="W414">
        <v>0.26794049008168025</v>
      </c>
      <c r="X414">
        <v>0.1705075845974329</v>
      </c>
      <c r="Y414">
        <v>0.56540720410688128</v>
      </c>
      <c r="Z414">
        <v>0.26598029038267379</v>
      </c>
      <c r="AA414">
        <v>0.16861250551044499</v>
      </c>
      <c r="AB414">
        <v>0.58067339431869802</v>
      </c>
      <c r="AC414">
        <v>0.24831530393347748</v>
      </c>
      <c r="AD414">
        <v>0.17101130174782453</v>
      </c>
      <c r="AE414" t="s">
        <v>65</v>
      </c>
      <c r="AF414" t="s">
        <v>63</v>
      </c>
      <c r="AG414">
        <v>14.58</v>
      </c>
      <c r="AH414">
        <v>35</v>
      </c>
      <c r="AI414">
        <v>3</v>
      </c>
      <c r="AJ414">
        <v>1</v>
      </c>
      <c r="AK414">
        <v>25.9</v>
      </c>
      <c r="AL414">
        <v>91</v>
      </c>
      <c r="AM414">
        <v>5087</v>
      </c>
      <c r="AN414">
        <v>68</v>
      </c>
      <c r="AO414">
        <v>61</v>
      </c>
      <c r="AP414">
        <v>64</v>
      </c>
      <c r="AQ414">
        <v>1.5</v>
      </c>
      <c r="AR414" t="s">
        <v>29</v>
      </c>
      <c r="AS414" t="s">
        <v>73</v>
      </c>
      <c r="AT414" t="s">
        <v>63</v>
      </c>
      <c r="AU414">
        <v>11.68</v>
      </c>
      <c r="AV414">
        <v>34</v>
      </c>
      <c r="AW414">
        <v>4</v>
      </c>
      <c r="AX414">
        <v>1</v>
      </c>
      <c r="AY414">
        <v>25.7</v>
      </c>
      <c r="AZ414">
        <v>237</v>
      </c>
      <c r="BA414">
        <v>2952</v>
      </c>
      <c r="BB414">
        <v>69</v>
      </c>
      <c r="BC414">
        <v>68</v>
      </c>
      <c r="BD414">
        <v>68</v>
      </c>
      <c r="BE414">
        <v>2.5</v>
      </c>
      <c r="BF414" t="s">
        <v>29</v>
      </c>
      <c r="BG414">
        <v>1</v>
      </c>
      <c r="BH414">
        <v>37</v>
      </c>
      <c r="BI414">
        <v>0.33300000000000002</v>
      </c>
      <c r="BJ414" t="s">
        <v>63</v>
      </c>
      <c r="BK414">
        <v>0.35289999999999999</v>
      </c>
      <c r="BL414">
        <v>0.31819999999999998</v>
      </c>
      <c r="BM414">
        <v>1.24</v>
      </c>
      <c r="BN414">
        <v>1.23</v>
      </c>
    </row>
    <row r="415" spans="1:66" x14ac:dyDescent="0.25">
      <c r="A415">
        <v>1</v>
      </c>
      <c r="B415">
        <v>3</v>
      </c>
      <c r="C415">
        <v>3</v>
      </c>
      <c r="D415">
        <v>1.8476666666666668</v>
      </c>
      <c r="E415">
        <v>3.5666666666666664</v>
      </c>
      <c r="F415">
        <v>4.2110000000000003</v>
      </c>
      <c r="G415" s="40">
        <v>0.3</v>
      </c>
      <c r="H415" s="40">
        <v>0.41</v>
      </c>
      <c r="I415" s="40">
        <v>0.28999999999999998</v>
      </c>
      <c r="J415">
        <v>1.84</v>
      </c>
      <c r="K415">
        <v>3.65</v>
      </c>
      <c r="L415">
        <v>3.9</v>
      </c>
      <c r="M415">
        <v>1.833</v>
      </c>
      <c r="N415">
        <v>3.5</v>
      </c>
      <c r="O415">
        <v>4.3330000000000002</v>
      </c>
      <c r="P415">
        <v>1.87</v>
      </c>
      <c r="Q415">
        <v>3.55</v>
      </c>
      <c r="R415">
        <v>4.4000000000000004</v>
      </c>
      <c r="S415">
        <v>0.52584490536555861</v>
      </c>
      <c r="T415">
        <v>0.2260641649235112</v>
      </c>
      <c r="U415">
        <v>0.24809092971093025</v>
      </c>
      <c r="V415">
        <v>0.51367747788033413</v>
      </c>
      <c r="W415">
        <v>0.26902023341561504</v>
      </c>
      <c r="X415">
        <v>0.21730228870405088</v>
      </c>
      <c r="Y415">
        <v>0.51235792891935772</v>
      </c>
      <c r="Z415">
        <v>0.26988995128991522</v>
      </c>
      <c r="AA415">
        <v>0.21775211979072706</v>
      </c>
      <c r="AB415">
        <v>0.51729343738841693</v>
      </c>
      <c r="AC415">
        <v>0.25499144987634714</v>
      </c>
      <c r="AD415">
        <v>0.22771511273523606</v>
      </c>
      <c r="AE415" t="s">
        <v>36</v>
      </c>
      <c r="AF415" t="s">
        <v>23</v>
      </c>
      <c r="AG415">
        <v>87.7</v>
      </c>
      <c r="AH415">
        <v>27</v>
      </c>
      <c r="AI415">
        <v>15</v>
      </c>
      <c r="AJ415">
        <v>6</v>
      </c>
      <c r="AK415">
        <v>26</v>
      </c>
      <c r="AL415">
        <v>180</v>
      </c>
      <c r="AM415">
        <v>3627</v>
      </c>
      <c r="AN415">
        <v>75</v>
      </c>
      <c r="AO415">
        <v>73</v>
      </c>
      <c r="AP415">
        <v>74</v>
      </c>
      <c r="AQ415">
        <v>3.5</v>
      </c>
      <c r="AR415" t="s">
        <v>29</v>
      </c>
      <c r="AS415" t="s">
        <v>48</v>
      </c>
      <c r="AT415" t="s">
        <v>23</v>
      </c>
      <c r="AU415">
        <v>85.63</v>
      </c>
      <c r="AV415">
        <v>28</v>
      </c>
      <c r="AW415">
        <v>16</v>
      </c>
      <c r="AX415">
        <v>8</v>
      </c>
      <c r="AY415">
        <v>25</v>
      </c>
      <c r="AZ415">
        <v>426</v>
      </c>
      <c r="BA415">
        <v>1736</v>
      </c>
      <c r="BB415">
        <v>70</v>
      </c>
      <c r="BC415">
        <v>70</v>
      </c>
      <c r="BD415">
        <v>73</v>
      </c>
      <c r="BE415">
        <v>3.5</v>
      </c>
      <c r="BF415" t="s">
        <v>46</v>
      </c>
      <c r="BG415">
        <v>-18</v>
      </c>
      <c r="BH415">
        <v>57</v>
      </c>
      <c r="BI415">
        <v>0.23200000000000001</v>
      </c>
      <c r="BJ415" t="s">
        <v>266</v>
      </c>
      <c r="BK415">
        <v>0.28210000000000002</v>
      </c>
      <c r="BL415">
        <v>0.34150000000000003</v>
      </c>
      <c r="BM415">
        <v>1.26</v>
      </c>
      <c r="BN415">
        <v>1.22</v>
      </c>
    </row>
    <row r="416" spans="1:66" x14ac:dyDescent="0.25">
      <c r="A416">
        <v>2</v>
      </c>
      <c r="B416">
        <v>0</v>
      </c>
      <c r="C416">
        <v>0</v>
      </c>
      <c r="D416">
        <v>2.6766666666666672</v>
      </c>
      <c r="E416">
        <v>2.9499999999999997</v>
      </c>
      <c r="F416">
        <v>2.875</v>
      </c>
      <c r="G416" s="40">
        <v>0.28999999999999998</v>
      </c>
      <c r="H416" s="40">
        <v>0.2</v>
      </c>
      <c r="I416" s="40">
        <v>0.51</v>
      </c>
      <c r="J416">
        <v>2.7</v>
      </c>
      <c r="K416">
        <v>2.9</v>
      </c>
      <c r="L416">
        <v>2.88</v>
      </c>
      <c r="M416">
        <v>2.65</v>
      </c>
      <c r="N416">
        <v>3</v>
      </c>
      <c r="O416">
        <v>2.875</v>
      </c>
      <c r="P416">
        <v>2.68</v>
      </c>
      <c r="Q416">
        <v>2.95</v>
      </c>
      <c r="R416">
        <v>2.87</v>
      </c>
      <c r="S416">
        <v>0.36045429156581638</v>
      </c>
      <c r="T416">
        <v>0.30161981009123068</v>
      </c>
      <c r="U416">
        <v>0.33792589834295289</v>
      </c>
      <c r="V416">
        <v>0.35649702919142345</v>
      </c>
      <c r="W416">
        <v>0.31490570911909072</v>
      </c>
      <c r="X416">
        <v>0.32859726168948594</v>
      </c>
      <c r="Y416">
        <v>0.35183115096762391</v>
      </c>
      <c r="Z416">
        <v>0.31962965579431596</v>
      </c>
      <c r="AA416">
        <v>0.32853919323806002</v>
      </c>
      <c r="AB416">
        <v>0.35626082390828789</v>
      </c>
      <c r="AC416">
        <v>0.31205172500154577</v>
      </c>
      <c r="AD416">
        <v>0.33168745109016634</v>
      </c>
      <c r="AE416" t="s">
        <v>109</v>
      </c>
      <c r="AF416" t="s">
        <v>108</v>
      </c>
      <c r="AG416">
        <v>143.19999999999999</v>
      </c>
      <c r="AH416">
        <v>31</v>
      </c>
      <c r="AI416">
        <v>3</v>
      </c>
      <c r="AJ416">
        <v>4</v>
      </c>
      <c r="AK416">
        <v>27</v>
      </c>
      <c r="AL416">
        <v>5</v>
      </c>
      <c r="AM416">
        <v>11026</v>
      </c>
      <c r="AN416">
        <v>74</v>
      </c>
      <c r="AO416">
        <v>76</v>
      </c>
      <c r="AP416">
        <v>74</v>
      </c>
      <c r="AQ416">
        <v>3.5</v>
      </c>
      <c r="AR416" t="s">
        <v>29</v>
      </c>
      <c r="AS416" t="s">
        <v>113</v>
      </c>
      <c r="AT416" t="s">
        <v>108</v>
      </c>
      <c r="AU416">
        <v>98.45</v>
      </c>
      <c r="AV416">
        <v>29</v>
      </c>
      <c r="AW416">
        <v>8</v>
      </c>
      <c r="AX416">
        <v>7</v>
      </c>
      <c r="AY416">
        <v>27.3</v>
      </c>
      <c r="AZ416">
        <v>33</v>
      </c>
      <c r="BA416">
        <v>7418</v>
      </c>
      <c r="BB416">
        <v>81</v>
      </c>
      <c r="BC416">
        <v>75</v>
      </c>
      <c r="BD416">
        <v>75</v>
      </c>
      <c r="BE416">
        <v>4</v>
      </c>
      <c r="BF416" t="s">
        <v>29</v>
      </c>
      <c r="BG416">
        <v>1</v>
      </c>
      <c r="BH416">
        <v>46</v>
      </c>
      <c r="BI416">
        <v>0.36399999999999999</v>
      </c>
      <c r="BJ416" t="s">
        <v>271</v>
      </c>
      <c r="BK416">
        <v>0.50649999999999995</v>
      </c>
      <c r="BL416">
        <v>0.54390000000000005</v>
      </c>
      <c r="BM416">
        <v>1.65</v>
      </c>
      <c r="BN416">
        <v>1.68</v>
      </c>
    </row>
    <row r="417" spans="1:66" x14ac:dyDescent="0.25">
      <c r="A417">
        <v>3</v>
      </c>
      <c r="B417">
        <v>-1</v>
      </c>
      <c r="C417">
        <v>3</v>
      </c>
      <c r="D417">
        <v>6.2333333333333334</v>
      </c>
      <c r="E417">
        <v>3.3666666666666667</v>
      </c>
      <c r="F417">
        <v>1.6633333333333331</v>
      </c>
      <c r="G417" s="40">
        <v>7.0000000000000007E-2</v>
      </c>
      <c r="H417" s="40">
        <v>0.16</v>
      </c>
      <c r="I417" s="40">
        <v>0.76999999999999991</v>
      </c>
      <c r="J417">
        <v>6.5</v>
      </c>
      <c r="K417">
        <v>3.45</v>
      </c>
      <c r="L417">
        <v>1.66</v>
      </c>
      <c r="M417">
        <v>6</v>
      </c>
      <c r="N417">
        <v>3.35</v>
      </c>
      <c r="O417">
        <v>1.68</v>
      </c>
      <c r="P417">
        <v>6.2</v>
      </c>
      <c r="Q417">
        <v>3.3</v>
      </c>
      <c r="R417">
        <v>1.65</v>
      </c>
      <c r="S417">
        <v>0.15963703981548724</v>
      </c>
      <c r="T417">
        <v>0.2152781657262795</v>
      </c>
      <c r="U417">
        <v>0.62508479445823328</v>
      </c>
      <c r="V417">
        <v>0.15717158176943699</v>
      </c>
      <c r="W417">
        <v>0.28150134048257369</v>
      </c>
      <c r="X417">
        <v>0.56132707774798929</v>
      </c>
      <c r="Y417">
        <v>0.15068493150684931</v>
      </c>
      <c r="Z417">
        <v>0.28310502283105021</v>
      </c>
      <c r="AA417">
        <v>0.56621004566210043</v>
      </c>
      <c r="AB417">
        <v>0.15583118436392451</v>
      </c>
      <c r="AC417">
        <v>0.25996150967996784</v>
      </c>
      <c r="AD417">
        <v>0.5842073059561077</v>
      </c>
      <c r="AE417" t="s">
        <v>145</v>
      </c>
      <c r="AF417" t="s">
        <v>141</v>
      </c>
      <c r="AG417">
        <v>159.44999999999999</v>
      </c>
      <c r="AH417">
        <v>25</v>
      </c>
      <c r="AI417">
        <v>13</v>
      </c>
      <c r="AJ417">
        <v>9</v>
      </c>
      <c r="AK417">
        <v>27.1</v>
      </c>
      <c r="AL417">
        <v>27</v>
      </c>
      <c r="AM417">
        <v>7881</v>
      </c>
      <c r="AN417">
        <v>77</v>
      </c>
      <c r="AO417">
        <v>78</v>
      </c>
      <c r="AP417">
        <v>77</v>
      </c>
      <c r="AQ417">
        <v>4</v>
      </c>
      <c r="AR417" t="s">
        <v>46</v>
      </c>
      <c r="AS417" t="s">
        <v>143</v>
      </c>
      <c r="AT417" t="s">
        <v>141</v>
      </c>
      <c r="AU417">
        <v>755.2</v>
      </c>
      <c r="AV417">
        <v>22</v>
      </c>
      <c r="AW417">
        <v>19</v>
      </c>
      <c r="AX417">
        <v>19</v>
      </c>
      <c r="AY417">
        <v>28</v>
      </c>
      <c r="AZ417">
        <v>13</v>
      </c>
      <c r="BA417">
        <v>9329</v>
      </c>
      <c r="BB417">
        <v>85</v>
      </c>
      <c r="BC417">
        <v>82</v>
      </c>
      <c r="BD417">
        <v>83</v>
      </c>
      <c r="BE417">
        <v>5</v>
      </c>
      <c r="BF417" t="s">
        <v>29</v>
      </c>
      <c r="BG417">
        <v>-41</v>
      </c>
      <c r="BH417">
        <v>20</v>
      </c>
      <c r="BI417">
        <v>0.111</v>
      </c>
      <c r="BJ417" t="s">
        <v>270</v>
      </c>
      <c r="BK417">
        <v>0.25</v>
      </c>
      <c r="BL417">
        <v>0.60419999999999996</v>
      </c>
      <c r="BM417">
        <v>0.75</v>
      </c>
      <c r="BN417">
        <v>1.6</v>
      </c>
    </row>
    <row r="418" spans="1:66" x14ac:dyDescent="0.25">
      <c r="A418">
        <v>3</v>
      </c>
      <c r="B418">
        <v>-2</v>
      </c>
      <c r="C418">
        <v>2</v>
      </c>
      <c r="D418">
        <v>2.7166666666666668</v>
      </c>
      <c r="E418">
        <v>3.2999999999999994</v>
      </c>
      <c r="F418">
        <v>2.583333333333333</v>
      </c>
      <c r="G418" s="40">
        <v>0.31</v>
      </c>
      <c r="H418" s="40">
        <v>0.5</v>
      </c>
      <c r="I418" s="40">
        <v>0.18999999999999995</v>
      </c>
      <c r="J418">
        <v>2.7</v>
      </c>
      <c r="K418">
        <v>3.35</v>
      </c>
      <c r="L418">
        <v>2.65</v>
      </c>
      <c r="M418">
        <v>2.75</v>
      </c>
      <c r="N418">
        <v>3.3</v>
      </c>
      <c r="O418">
        <v>2.5499999999999998</v>
      </c>
      <c r="P418">
        <v>2.7</v>
      </c>
      <c r="Q418">
        <v>3.25</v>
      </c>
      <c r="R418">
        <v>2.5499999999999998</v>
      </c>
      <c r="S418">
        <v>0.36511435657205843</v>
      </c>
      <c r="T418">
        <v>0.2628823367318821</v>
      </c>
      <c r="U418">
        <v>0.37200330669605958</v>
      </c>
      <c r="V418">
        <v>0.34343434343434343</v>
      </c>
      <c r="W418">
        <v>0.28619528619528617</v>
      </c>
      <c r="X418">
        <v>0.37037037037037041</v>
      </c>
      <c r="Y418">
        <v>0.34606952709051042</v>
      </c>
      <c r="Z418">
        <v>0.28750391481365484</v>
      </c>
      <c r="AA418">
        <v>0.36642655809583463</v>
      </c>
      <c r="AB418">
        <v>0.35153940903230407</v>
      </c>
      <c r="AC418">
        <v>0.27886051258027439</v>
      </c>
      <c r="AD418">
        <v>0.36960007838742154</v>
      </c>
      <c r="AE418" t="s">
        <v>151</v>
      </c>
      <c r="AF418" t="s">
        <v>141</v>
      </c>
      <c r="AG418">
        <v>111.8</v>
      </c>
      <c r="AH418">
        <v>27</v>
      </c>
      <c r="AI418">
        <v>8</v>
      </c>
      <c r="AJ418">
        <v>4</v>
      </c>
      <c r="AK418">
        <v>28.3</v>
      </c>
      <c r="AL418">
        <v>116</v>
      </c>
      <c r="AM418">
        <v>4556</v>
      </c>
      <c r="AN418">
        <v>79</v>
      </c>
      <c r="AO418">
        <v>76</v>
      </c>
      <c r="AP418">
        <v>75</v>
      </c>
      <c r="AQ418">
        <v>4</v>
      </c>
      <c r="AR418" t="s">
        <v>29</v>
      </c>
      <c r="AS418" t="s">
        <v>153</v>
      </c>
      <c r="AT418" t="s">
        <v>141</v>
      </c>
      <c r="AU418">
        <v>143.80000000000001</v>
      </c>
      <c r="AV418">
        <v>21</v>
      </c>
      <c r="AW418">
        <v>9</v>
      </c>
      <c r="AX418">
        <v>8</v>
      </c>
      <c r="AY418">
        <v>28</v>
      </c>
      <c r="AZ418">
        <v>138</v>
      </c>
      <c r="BA418">
        <v>4059</v>
      </c>
      <c r="BB418">
        <v>80</v>
      </c>
      <c r="BC418">
        <v>75</v>
      </c>
      <c r="BD418">
        <v>75</v>
      </c>
      <c r="BE418">
        <v>4</v>
      </c>
      <c r="BF418" t="s">
        <v>29</v>
      </c>
      <c r="BG418">
        <v>-9</v>
      </c>
      <c r="BH418">
        <v>25</v>
      </c>
      <c r="BI418">
        <v>0.23100000000000001</v>
      </c>
      <c r="BJ418" t="s">
        <v>270</v>
      </c>
      <c r="BK418">
        <v>0.28889999999999999</v>
      </c>
      <c r="BL418">
        <v>0.375</v>
      </c>
      <c r="BM418">
        <v>1.36</v>
      </c>
      <c r="BN418">
        <v>1.55</v>
      </c>
    </row>
    <row r="419" spans="1:66" x14ac:dyDescent="0.25">
      <c r="A419">
        <v>1</v>
      </c>
      <c r="B419">
        <v>2</v>
      </c>
      <c r="C419">
        <v>2</v>
      </c>
      <c r="D419">
        <v>1.2</v>
      </c>
      <c r="E419">
        <v>6.7666666666666666</v>
      </c>
      <c r="F419">
        <v>12.75</v>
      </c>
      <c r="G419" s="40">
        <v>0.44</v>
      </c>
      <c r="H419" s="40">
        <v>0.28999999999999998</v>
      </c>
      <c r="I419" s="40">
        <v>0.27000000000000007</v>
      </c>
      <c r="J419">
        <v>1.2</v>
      </c>
      <c r="K419">
        <v>6.5</v>
      </c>
      <c r="L419">
        <v>13.5</v>
      </c>
      <c r="M419">
        <v>1.21</v>
      </c>
      <c r="N419">
        <v>7</v>
      </c>
      <c r="O419">
        <v>11</v>
      </c>
      <c r="P419">
        <v>1.19</v>
      </c>
      <c r="Q419">
        <v>6.8</v>
      </c>
      <c r="R419">
        <v>13.75</v>
      </c>
      <c r="S419">
        <v>0.83519677996422181</v>
      </c>
      <c r="T419">
        <v>9.0563506261180676E-2</v>
      </c>
      <c r="U419">
        <v>7.4239713774597496E-2</v>
      </c>
      <c r="V419">
        <v>0.77951002227171495</v>
      </c>
      <c r="W419">
        <v>0.13474387527839643</v>
      </c>
      <c r="X419">
        <v>8.5746102449888645E-2</v>
      </c>
      <c r="Y419">
        <v>0.79267853282409728</v>
      </c>
      <c r="Z419">
        <v>0.13871874324421701</v>
      </c>
      <c r="AA419">
        <v>6.8602723931685511E-2</v>
      </c>
      <c r="AB419">
        <v>0.80246177835334465</v>
      </c>
      <c r="AC419">
        <v>0.12134204159459805</v>
      </c>
      <c r="AD419">
        <v>7.6196180052057208E-2</v>
      </c>
      <c r="AE419" t="s">
        <v>107</v>
      </c>
      <c r="AF419" t="s">
        <v>108</v>
      </c>
      <c r="AG419">
        <v>148.6</v>
      </c>
      <c r="AH419">
        <v>32</v>
      </c>
      <c r="AI419">
        <v>2</v>
      </c>
      <c r="AJ419">
        <v>7</v>
      </c>
      <c r="AK419">
        <v>27.2</v>
      </c>
      <c r="AL419">
        <v>2</v>
      </c>
      <c r="AM419">
        <v>13486</v>
      </c>
      <c r="AN419">
        <v>77</v>
      </c>
      <c r="AO419">
        <v>75</v>
      </c>
      <c r="AP419">
        <v>75</v>
      </c>
      <c r="AQ419">
        <v>4</v>
      </c>
      <c r="AR419" t="s">
        <v>29</v>
      </c>
      <c r="AS419" t="s">
        <v>272</v>
      </c>
      <c r="AT419" t="s">
        <v>134</v>
      </c>
      <c r="AU419">
        <v>15.95</v>
      </c>
      <c r="AV419">
        <v>27</v>
      </c>
      <c r="AW419">
        <v>8</v>
      </c>
      <c r="AX419">
        <v>6</v>
      </c>
      <c r="AY419">
        <v>27.9</v>
      </c>
      <c r="AZ419">
        <v>546</v>
      </c>
      <c r="BA419">
        <v>1204</v>
      </c>
      <c r="BB419">
        <v>66</v>
      </c>
      <c r="BC419">
        <v>68</v>
      </c>
      <c r="BD419">
        <v>70</v>
      </c>
      <c r="BE419">
        <v>3</v>
      </c>
      <c r="BF419" t="s">
        <v>29</v>
      </c>
      <c r="BG419">
        <v>4</v>
      </c>
      <c r="BH419">
        <v>6</v>
      </c>
      <c r="BI419">
        <v>1</v>
      </c>
      <c r="BJ419" t="s">
        <v>271</v>
      </c>
      <c r="BK419">
        <v>0.62860000000000005</v>
      </c>
      <c r="BL419">
        <v>0.5</v>
      </c>
      <c r="BM419">
        <v>1.87</v>
      </c>
      <c r="BN419">
        <v>1.48</v>
      </c>
    </row>
    <row r="420" spans="1:66" x14ac:dyDescent="0.25">
      <c r="A420">
        <v>3</v>
      </c>
      <c r="B420">
        <v>-1</v>
      </c>
      <c r="C420">
        <v>3</v>
      </c>
      <c r="D420">
        <v>2.2333333333333334</v>
      </c>
      <c r="E420">
        <v>3.0999999999999996</v>
      </c>
      <c r="F420">
        <v>3.2999999999999994</v>
      </c>
      <c r="G420" s="40">
        <v>0.44</v>
      </c>
      <c r="H420" s="40">
        <v>0.24</v>
      </c>
      <c r="I420" s="40">
        <v>0.32000000000000006</v>
      </c>
      <c r="J420">
        <v>2.1800000000000002</v>
      </c>
      <c r="K420">
        <v>3.05</v>
      </c>
      <c r="L420">
        <v>3.25</v>
      </c>
      <c r="M420">
        <v>2.25</v>
      </c>
      <c r="N420">
        <v>3.1</v>
      </c>
      <c r="O420">
        <v>3.3</v>
      </c>
      <c r="P420">
        <v>2.27</v>
      </c>
      <c r="Q420">
        <v>3.15</v>
      </c>
      <c r="R420">
        <v>3.35</v>
      </c>
      <c r="S420">
        <v>0.43170877867950674</v>
      </c>
      <c r="T420">
        <v>0.27871425592931626</v>
      </c>
      <c r="U420">
        <v>0.28957696539117689</v>
      </c>
      <c r="V420">
        <v>0.41534713763702796</v>
      </c>
      <c r="W420">
        <v>0.30146163215590738</v>
      </c>
      <c r="X420">
        <v>0.28319123020706455</v>
      </c>
      <c r="Y420">
        <v>0.41697125358095427</v>
      </c>
      <c r="Z420">
        <v>0.30048404623135438</v>
      </c>
      <c r="AA420">
        <v>0.2825447001876914</v>
      </c>
      <c r="AB420">
        <v>0.42134238996582968</v>
      </c>
      <c r="AC420">
        <v>0.29355331143885932</v>
      </c>
      <c r="AD420">
        <v>0.28510429859531095</v>
      </c>
      <c r="AE420" t="s">
        <v>245</v>
      </c>
      <c r="AF420" t="s">
        <v>246</v>
      </c>
      <c r="AG420">
        <v>23.33</v>
      </c>
      <c r="AH420">
        <v>31</v>
      </c>
      <c r="AI420">
        <v>4</v>
      </c>
      <c r="AJ420">
        <v>3</v>
      </c>
      <c r="AK420">
        <v>25.6</v>
      </c>
      <c r="AL420">
        <v>203</v>
      </c>
      <c r="AM420">
        <v>3267</v>
      </c>
      <c r="AN420">
        <v>68</v>
      </c>
      <c r="AO420">
        <v>69</v>
      </c>
      <c r="AP420">
        <v>65</v>
      </c>
      <c r="AQ420">
        <v>2.5</v>
      </c>
      <c r="AR420" t="s">
        <v>29</v>
      </c>
      <c r="AS420" t="s">
        <v>111</v>
      </c>
      <c r="AT420" t="s">
        <v>108</v>
      </c>
      <c r="AU420">
        <v>56.2</v>
      </c>
      <c r="AV420">
        <v>28</v>
      </c>
      <c r="AW420">
        <v>2</v>
      </c>
      <c r="AX420">
        <v>2</v>
      </c>
      <c r="AY420">
        <v>25.9</v>
      </c>
      <c r="AZ420">
        <v>15</v>
      </c>
      <c r="BA420">
        <v>9286</v>
      </c>
      <c r="BB420">
        <v>74</v>
      </c>
      <c r="BC420">
        <v>71</v>
      </c>
      <c r="BD420">
        <v>72</v>
      </c>
      <c r="BE420">
        <v>3.5</v>
      </c>
      <c r="BF420" t="s">
        <v>29</v>
      </c>
      <c r="BG420">
        <v>-5</v>
      </c>
      <c r="BH420">
        <v>3</v>
      </c>
      <c r="BI420">
        <v>0.25</v>
      </c>
      <c r="BJ420" t="s">
        <v>286</v>
      </c>
      <c r="BK420">
        <v>0.4667</v>
      </c>
      <c r="BL420">
        <v>0.43940000000000001</v>
      </c>
      <c r="BM420">
        <v>1.42</v>
      </c>
      <c r="BN420">
        <v>1.29</v>
      </c>
    </row>
    <row r="421" spans="1:66" x14ac:dyDescent="0.25">
      <c r="A421">
        <v>1</v>
      </c>
      <c r="B421">
        <v>2</v>
      </c>
      <c r="C421">
        <v>4</v>
      </c>
      <c r="D421">
        <v>1.6433333333333333</v>
      </c>
      <c r="E421">
        <v>3.8000000000000003</v>
      </c>
      <c r="F421">
        <v>5.3666666666666671</v>
      </c>
      <c r="G421" s="40">
        <v>0.34</v>
      </c>
      <c r="H421" s="40">
        <v>0.36</v>
      </c>
      <c r="I421" s="40">
        <v>0.29999999999999993</v>
      </c>
      <c r="J421">
        <v>1.64</v>
      </c>
      <c r="K421">
        <v>3.95</v>
      </c>
      <c r="L421">
        <v>5.6</v>
      </c>
      <c r="M421">
        <v>1.71</v>
      </c>
      <c r="N421">
        <v>3.6</v>
      </c>
      <c r="O421">
        <v>5</v>
      </c>
      <c r="P421">
        <v>1.58</v>
      </c>
      <c r="Q421">
        <v>3.85</v>
      </c>
      <c r="R421">
        <v>5.5</v>
      </c>
      <c r="S421">
        <v>0.62132661628883301</v>
      </c>
      <c r="T421">
        <v>0.19671344608372321</v>
      </c>
      <c r="U421">
        <v>0.18195993762744395</v>
      </c>
      <c r="V421">
        <v>0.55035773252614206</v>
      </c>
      <c r="W421">
        <v>0.26141992294991745</v>
      </c>
      <c r="X421">
        <v>0.18822234452394057</v>
      </c>
      <c r="Y421">
        <v>0.58904528763769881</v>
      </c>
      <c r="Z421">
        <v>0.24173806609547119</v>
      </c>
      <c r="AA421">
        <v>0.16921664626682986</v>
      </c>
      <c r="AB421">
        <v>0.58690987881755807</v>
      </c>
      <c r="AC421">
        <v>0.23329047837637062</v>
      </c>
      <c r="AD421">
        <v>0.17979964280607144</v>
      </c>
      <c r="AE421" t="s">
        <v>146</v>
      </c>
      <c r="AF421" t="s">
        <v>141</v>
      </c>
      <c r="AG421">
        <v>430.9</v>
      </c>
      <c r="AH421">
        <v>27</v>
      </c>
      <c r="AI421">
        <v>20</v>
      </c>
      <c r="AJ421">
        <v>14</v>
      </c>
      <c r="AK421">
        <v>28</v>
      </c>
      <c r="AL421">
        <v>31</v>
      </c>
      <c r="AM421">
        <v>7447</v>
      </c>
      <c r="AN421">
        <v>80</v>
      </c>
      <c r="AO421">
        <v>81</v>
      </c>
      <c r="AP421">
        <v>82</v>
      </c>
      <c r="AQ421">
        <v>4.5</v>
      </c>
      <c r="AR421" t="s">
        <v>29</v>
      </c>
      <c r="AS421" t="s">
        <v>142</v>
      </c>
      <c r="AT421" t="s">
        <v>141</v>
      </c>
      <c r="AU421">
        <v>251.9</v>
      </c>
      <c r="AV421">
        <v>27</v>
      </c>
      <c r="AW421">
        <v>17</v>
      </c>
      <c r="AX421">
        <v>12</v>
      </c>
      <c r="AY421">
        <v>25.5</v>
      </c>
      <c r="AZ421">
        <v>11</v>
      </c>
      <c r="BA421">
        <v>9770</v>
      </c>
      <c r="BB421">
        <v>77</v>
      </c>
      <c r="BC421">
        <v>78</v>
      </c>
      <c r="BD421">
        <v>77</v>
      </c>
      <c r="BE421">
        <v>4</v>
      </c>
      <c r="BF421" t="s">
        <v>29</v>
      </c>
      <c r="BG421">
        <v>-53</v>
      </c>
      <c r="BH421">
        <v>212</v>
      </c>
      <c r="BI421">
        <v>0.37</v>
      </c>
      <c r="BJ421" t="s">
        <v>270</v>
      </c>
      <c r="BK421">
        <v>0.62960000000000005</v>
      </c>
      <c r="BL421">
        <v>0.3095</v>
      </c>
      <c r="BM421">
        <v>1.46</v>
      </c>
      <c r="BN421">
        <v>1.43</v>
      </c>
    </row>
    <row r="422" spans="1:66" x14ac:dyDescent="0.25">
      <c r="A422">
        <v>1</v>
      </c>
      <c r="B422">
        <v>1</v>
      </c>
      <c r="C422">
        <v>3</v>
      </c>
      <c r="D422">
        <v>3.85</v>
      </c>
      <c r="E422">
        <v>3.35</v>
      </c>
      <c r="F422">
        <v>2.0033333333333334</v>
      </c>
      <c r="G422" s="40">
        <v>0.22</v>
      </c>
      <c r="H422" s="40">
        <v>0.28999999999999998</v>
      </c>
      <c r="I422" s="40">
        <v>0.49000000000000005</v>
      </c>
      <c r="J422">
        <v>3.95</v>
      </c>
      <c r="K422">
        <v>3.4</v>
      </c>
      <c r="L422">
        <v>2.02</v>
      </c>
      <c r="M422">
        <v>3.95</v>
      </c>
      <c r="N422">
        <v>3.4</v>
      </c>
      <c r="O422">
        <v>1.95</v>
      </c>
      <c r="P422">
        <v>3.65</v>
      </c>
      <c r="Q422">
        <v>3.25</v>
      </c>
      <c r="R422">
        <v>2.04</v>
      </c>
      <c r="S422">
        <v>0.25398640969468167</v>
      </c>
      <c r="T422">
        <v>0.24935699709047043</v>
      </c>
      <c r="U422">
        <v>0.49665659321484784</v>
      </c>
      <c r="V422">
        <v>0.23881134624043224</v>
      </c>
      <c r="W422">
        <v>0.2774425934263845</v>
      </c>
      <c r="X422">
        <v>0.48374606033318335</v>
      </c>
      <c r="Y422">
        <v>0.25560460319602135</v>
      </c>
      <c r="Z422">
        <v>0.28706363128168555</v>
      </c>
      <c r="AA422">
        <v>0.4573317655222931</v>
      </c>
      <c r="AB422">
        <v>0.24946745304371176</v>
      </c>
      <c r="AC422">
        <v>0.27128774059951349</v>
      </c>
      <c r="AD422">
        <v>0.47924480635677474</v>
      </c>
      <c r="AE422" t="s">
        <v>150</v>
      </c>
      <c r="AF422" t="s">
        <v>141</v>
      </c>
      <c r="AG422">
        <v>88.35</v>
      </c>
      <c r="AH422">
        <v>25</v>
      </c>
      <c r="AI422">
        <v>11</v>
      </c>
      <c r="AJ422">
        <v>6</v>
      </c>
      <c r="AK422">
        <v>28.4</v>
      </c>
      <c r="AL422">
        <v>103</v>
      </c>
      <c r="AM422">
        <v>4803</v>
      </c>
      <c r="AN422">
        <v>77</v>
      </c>
      <c r="AO422">
        <v>78</v>
      </c>
      <c r="AP422">
        <v>77</v>
      </c>
      <c r="AQ422">
        <v>4</v>
      </c>
      <c r="AR422" t="s">
        <v>46</v>
      </c>
      <c r="AS422" t="s">
        <v>147</v>
      </c>
      <c r="AT422" t="s">
        <v>141</v>
      </c>
      <c r="AU422">
        <v>373.5</v>
      </c>
      <c r="AV422">
        <v>25</v>
      </c>
      <c r="AW422">
        <v>5</v>
      </c>
      <c r="AX422">
        <v>7</v>
      </c>
      <c r="AY422">
        <v>26.2</v>
      </c>
      <c r="AZ422">
        <v>32</v>
      </c>
      <c r="BA422">
        <v>7427</v>
      </c>
      <c r="BB422">
        <v>81</v>
      </c>
      <c r="BC422">
        <v>81</v>
      </c>
      <c r="BD422">
        <v>77</v>
      </c>
      <c r="BE422">
        <v>4.5</v>
      </c>
      <c r="BF422" t="s">
        <v>28</v>
      </c>
      <c r="BG422">
        <v>-13</v>
      </c>
      <c r="BH422">
        <v>70</v>
      </c>
      <c r="BI422">
        <v>0.38500000000000001</v>
      </c>
      <c r="BJ422" t="s">
        <v>270</v>
      </c>
      <c r="BK422">
        <v>0.43099999999999999</v>
      </c>
      <c r="BL422">
        <v>0.40820000000000001</v>
      </c>
      <c r="BM422">
        <v>1.43</v>
      </c>
      <c r="BN422">
        <v>1.39</v>
      </c>
    </row>
    <row r="423" spans="1:66" x14ac:dyDescent="0.25">
      <c r="A423">
        <v>2</v>
      </c>
      <c r="B423">
        <v>0</v>
      </c>
      <c r="C423">
        <v>6</v>
      </c>
      <c r="D423">
        <v>2.2666666666666666</v>
      </c>
      <c r="E423">
        <v>3.2666666666666671</v>
      </c>
      <c r="F423">
        <v>3.2166666666666663</v>
      </c>
      <c r="G423" s="40">
        <v>0.22</v>
      </c>
      <c r="H423" s="40">
        <v>0.45</v>
      </c>
      <c r="I423" s="40">
        <v>0.33</v>
      </c>
      <c r="J423">
        <v>2.2799999999999998</v>
      </c>
      <c r="K423">
        <v>3.35</v>
      </c>
      <c r="L423">
        <v>3.3</v>
      </c>
      <c r="M423">
        <v>2.25</v>
      </c>
      <c r="N423">
        <v>3.25</v>
      </c>
      <c r="O423">
        <v>3.2</v>
      </c>
      <c r="P423">
        <v>2.27</v>
      </c>
      <c r="Q423">
        <v>3.2</v>
      </c>
      <c r="R423">
        <v>3.15</v>
      </c>
      <c r="S423">
        <v>0.43730607269503552</v>
      </c>
      <c r="T423">
        <v>0.26055518617021278</v>
      </c>
      <c r="U423">
        <v>0.30213874113475181</v>
      </c>
      <c r="V423">
        <v>0.41746111389864521</v>
      </c>
      <c r="W423">
        <v>0.28901154039136978</v>
      </c>
      <c r="X423">
        <v>0.2935273457099849</v>
      </c>
      <c r="Y423">
        <v>0.41152095368347996</v>
      </c>
      <c r="Z423">
        <v>0.2919226765192186</v>
      </c>
      <c r="AA423">
        <v>0.29655636979730149</v>
      </c>
      <c r="AB423">
        <v>0.42209604675905354</v>
      </c>
      <c r="AC423">
        <v>0.28049646769360043</v>
      </c>
      <c r="AD423">
        <v>0.29740748554734608</v>
      </c>
      <c r="AE423" t="s">
        <v>157</v>
      </c>
      <c r="AF423" t="s">
        <v>141</v>
      </c>
      <c r="AG423">
        <v>93.5</v>
      </c>
      <c r="AH423">
        <v>27</v>
      </c>
      <c r="AI423">
        <v>4</v>
      </c>
      <c r="AJ423">
        <v>1</v>
      </c>
      <c r="AK423">
        <v>27.7</v>
      </c>
      <c r="AL423">
        <v>202</v>
      </c>
      <c r="AM423">
        <v>3267</v>
      </c>
      <c r="AN423">
        <v>76</v>
      </c>
      <c r="AO423">
        <v>77</v>
      </c>
      <c r="AP423">
        <v>75</v>
      </c>
      <c r="AQ423">
        <v>4</v>
      </c>
      <c r="AR423" t="s">
        <v>46</v>
      </c>
      <c r="AS423" t="s">
        <v>152</v>
      </c>
      <c r="AT423" t="s">
        <v>141</v>
      </c>
      <c r="AU423">
        <v>223.4</v>
      </c>
      <c r="AV423">
        <v>28</v>
      </c>
      <c r="AW423">
        <v>11</v>
      </c>
      <c r="AX423">
        <v>11</v>
      </c>
      <c r="AY423">
        <v>28.5</v>
      </c>
      <c r="AZ423">
        <v>125</v>
      </c>
      <c r="BA423">
        <v>4257</v>
      </c>
      <c r="BB423">
        <v>79</v>
      </c>
      <c r="BC423">
        <v>79</v>
      </c>
      <c r="BD423">
        <v>78</v>
      </c>
      <c r="BE423">
        <v>4</v>
      </c>
      <c r="BF423" t="s">
        <v>29</v>
      </c>
      <c r="BG423">
        <v>-5</v>
      </c>
      <c r="BH423">
        <v>73</v>
      </c>
      <c r="BI423">
        <v>0.33300000000000002</v>
      </c>
      <c r="BJ423" t="s">
        <v>270</v>
      </c>
      <c r="BK423">
        <v>0.33329999999999999</v>
      </c>
      <c r="BL423">
        <v>0.4884</v>
      </c>
      <c r="BM423">
        <v>1.1399999999999999</v>
      </c>
      <c r="BN423">
        <v>1.42</v>
      </c>
    </row>
    <row r="424" spans="1:66" x14ac:dyDescent="0.25">
      <c r="A424">
        <v>1</v>
      </c>
      <c r="B424">
        <v>2</v>
      </c>
      <c r="C424">
        <v>4</v>
      </c>
      <c r="D424">
        <v>1.7056666666666667</v>
      </c>
      <c r="E424">
        <v>3.5500000000000003</v>
      </c>
      <c r="F424">
        <v>5.1166666666666663</v>
      </c>
      <c r="G424" s="40">
        <v>0.24</v>
      </c>
      <c r="H424" s="40">
        <v>0.4</v>
      </c>
      <c r="I424" s="40">
        <v>0.36</v>
      </c>
      <c r="J424">
        <v>1.71</v>
      </c>
      <c r="K424">
        <v>3.4</v>
      </c>
      <c r="L424">
        <v>5.0999999999999996</v>
      </c>
      <c r="M424">
        <v>1.7270000000000001</v>
      </c>
      <c r="N424">
        <v>3.65</v>
      </c>
      <c r="O424">
        <v>5.25</v>
      </c>
      <c r="P424">
        <v>1.68</v>
      </c>
      <c r="Q424">
        <v>3.6</v>
      </c>
      <c r="R424">
        <v>5</v>
      </c>
      <c r="S424">
        <v>0.57714710979390793</v>
      </c>
      <c r="T424">
        <v>0.22933885927519349</v>
      </c>
      <c r="U424">
        <v>0.19351403093089856</v>
      </c>
      <c r="V424">
        <v>0.55490721864430337</v>
      </c>
      <c r="W424">
        <v>0.26255473057498963</v>
      </c>
      <c r="X424">
        <v>0.18253805078070706</v>
      </c>
      <c r="Y424">
        <v>0.55473372781065089</v>
      </c>
      <c r="Z424">
        <v>0.2588757396449704</v>
      </c>
      <c r="AA424">
        <v>0.18639053254437868</v>
      </c>
      <c r="AB424">
        <v>0.56226268541628732</v>
      </c>
      <c r="AC424">
        <v>0.25025644316505119</v>
      </c>
      <c r="AD424">
        <v>0.18748087141866143</v>
      </c>
      <c r="AE424" t="s">
        <v>33</v>
      </c>
      <c r="AF424" t="s">
        <v>23</v>
      </c>
      <c r="AG424">
        <v>272</v>
      </c>
      <c r="AH424">
        <v>26</v>
      </c>
      <c r="AI424">
        <v>20</v>
      </c>
      <c r="AJ424">
        <v>12</v>
      </c>
      <c r="AK424">
        <v>25.4</v>
      </c>
      <c r="AL424">
        <v>131</v>
      </c>
      <c r="AM424">
        <v>4207</v>
      </c>
      <c r="AN424">
        <v>78</v>
      </c>
      <c r="AO424">
        <v>78</v>
      </c>
      <c r="AP424">
        <v>78</v>
      </c>
      <c r="AQ424">
        <v>4</v>
      </c>
      <c r="AR424" t="s">
        <v>29</v>
      </c>
      <c r="AS424" t="s">
        <v>37</v>
      </c>
      <c r="AT424" t="s">
        <v>23</v>
      </c>
      <c r="AU424">
        <v>90.78</v>
      </c>
      <c r="AV424">
        <v>27</v>
      </c>
      <c r="AW424">
        <v>19</v>
      </c>
      <c r="AX424">
        <v>10</v>
      </c>
      <c r="AY424">
        <v>24.4</v>
      </c>
      <c r="AZ424">
        <v>223</v>
      </c>
      <c r="BA424">
        <v>3054</v>
      </c>
      <c r="BB424">
        <v>73</v>
      </c>
      <c r="BC424">
        <v>73</v>
      </c>
      <c r="BD424">
        <v>74</v>
      </c>
      <c r="BE424">
        <v>3.5</v>
      </c>
      <c r="BF424" t="s">
        <v>29</v>
      </c>
      <c r="BG424">
        <v>2</v>
      </c>
      <c r="BH424">
        <v>18</v>
      </c>
      <c r="BI424">
        <v>0.38500000000000001</v>
      </c>
      <c r="BJ424" t="s">
        <v>266</v>
      </c>
      <c r="BK424">
        <v>0.59179999999999999</v>
      </c>
      <c r="BL424">
        <v>0.24390000000000001</v>
      </c>
      <c r="BM424">
        <v>1.71</v>
      </c>
      <c r="BN424">
        <v>1.1200000000000001</v>
      </c>
    </row>
    <row r="425" spans="1:66" x14ac:dyDescent="0.25">
      <c r="A425">
        <v>2</v>
      </c>
      <c r="B425">
        <v>0</v>
      </c>
      <c r="C425">
        <v>0</v>
      </c>
      <c r="D425">
        <v>1.93</v>
      </c>
      <c r="E425">
        <v>3.6666666666666665</v>
      </c>
      <c r="F425">
        <v>3.65</v>
      </c>
      <c r="G425" s="40">
        <v>0.45</v>
      </c>
      <c r="H425" s="40">
        <v>0.3</v>
      </c>
      <c r="I425" s="40">
        <v>0.25000000000000006</v>
      </c>
      <c r="J425">
        <v>1.87</v>
      </c>
      <c r="K425">
        <v>3.65</v>
      </c>
      <c r="L425">
        <v>3.7</v>
      </c>
      <c r="M425">
        <v>1.95</v>
      </c>
      <c r="N425">
        <v>3.75</v>
      </c>
      <c r="O425">
        <v>3.75</v>
      </c>
      <c r="P425">
        <v>1.97</v>
      </c>
      <c r="Q425">
        <v>3.6</v>
      </c>
      <c r="R425">
        <v>3.5</v>
      </c>
      <c r="S425">
        <v>0.51329863821857047</v>
      </c>
      <c r="T425">
        <v>0.22727745543853045</v>
      </c>
      <c r="U425">
        <v>0.25942390634289908</v>
      </c>
      <c r="V425">
        <v>0.49019607843137253</v>
      </c>
      <c r="W425">
        <v>0.25490196078431371</v>
      </c>
      <c r="X425">
        <v>0.25490196078431371</v>
      </c>
      <c r="Y425">
        <v>0.47391582352277428</v>
      </c>
      <c r="Z425">
        <v>0.25933727009440705</v>
      </c>
      <c r="AA425">
        <v>0.26674690638281873</v>
      </c>
      <c r="AB425">
        <v>0.49247018005757243</v>
      </c>
      <c r="AC425">
        <v>0.24717222877241704</v>
      </c>
      <c r="AD425">
        <v>0.2603575911700105</v>
      </c>
      <c r="AE425" t="s">
        <v>38</v>
      </c>
      <c r="AF425" t="s">
        <v>23</v>
      </c>
      <c r="AG425">
        <v>88.7</v>
      </c>
      <c r="AH425">
        <v>24</v>
      </c>
      <c r="AI425">
        <v>10</v>
      </c>
      <c r="AJ425">
        <v>5</v>
      </c>
      <c r="AK425">
        <v>25.1</v>
      </c>
      <c r="AL425">
        <v>228</v>
      </c>
      <c r="AM425">
        <v>3029</v>
      </c>
      <c r="AN425">
        <v>80</v>
      </c>
      <c r="AO425">
        <v>76</v>
      </c>
      <c r="AP425">
        <v>73</v>
      </c>
      <c r="AQ425">
        <v>4</v>
      </c>
      <c r="AR425" t="s">
        <v>29</v>
      </c>
      <c r="AS425" t="s">
        <v>44</v>
      </c>
      <c r="AT425" t="s">
        <v>23</v>
      </c>
      <c r="AU425">
        <v>87.7</v>
      </c>
      <c r="AV425">
        <v>29</v>
      </c>
      <c r="AW425">
        <v>16</v>
      </c>
      <c r="AX425">
        <v>10</v>
      </c>
      <c r="AY425">
        <v>25.1</v>
      </c>
      <c r="AZ425">
        <v>326</v>
      </c>
      <c r="BA425">
        <v>2298</v>
      </c>
      <c r="BB425">
        <v>74</v>
      </c>
      <c r="BC425">
        <v>73</v>
      </c>
      <c r="BD425">
        <v>72</v>
      </c>
      <c r="BE425">
        <v>3.5</v>
      </c>
      <c r="BF425" t="s">
        <v>29</v>
      </c>
      <c r="BG425">
        <v>-21</v>
      </c>
      <c r="BH425">
        <v>65</v>
      </c>
      <c r="BI425">
        <v>0.3</v>
      </c>
      <c r="BJ425" t="s">
        <v>266</v>
      </c>
      <c r="BK425">
        <v>0.41860000000000003</v>
      </c>
      <c r="BL425">
        <v>0.33329999999999999</v>
      </c>
      <c r="BM425">
        <v>1.6</v>
      </c>
      <c r="BN425">
        <v>1.08</v>
      </c>
    </row>
    <row r="426" spans="1:66" x14ac:dyDescent="0.25">
      <c r="A426">
        <v>3</v>
      </c>
      <c r="B426">
        <v>-1</v>
      </c>
      <c r="C426">
        <v>3</v>
      </c>
      <c r="D426">
        <v>2.1533333333333333</v>
      </c>
      <c r="E426">
        <v>3.25</v>
      </c>
      <c r="F426">
        <v>3.4166666666666665</v>
      </c>
      <c r="G426" s="40">
        <v>0.43</v>
      </c>
      <c r="H426" s="40">
        <v>0.33</v>
      </c>
      <c r="I426" s="40">
        <v>0.24000000000000005</v>
      </c>
      <c r="J426">
        <v>2.08</v>
      </c>
      <c r="K426">
        <v>3.3</v>
      </c>
      <c r="L426">
        <v>3.4</v>
      </c>
      <c r="M426">
        <v>2.2000000000000002</v>
      </c>
      <c r="N426">
        <v>3.3</v>
      </c>
      <c r="O426">
        <v>3.5</v>
      </c>
      <c r="P426">
        <v>2.1800000000000002</v>
      </c>
      <c r="Q426">
        <v>3.15</v>
      </c>
      <c r="R426">
        <v>3.35</v>
      </c>
      <c r="S426">
        <v>0.46084982978186867</v>
      </c>
      <c r="T426">
        <v>0.25721850964569415</v>
      </c>
      <c r="U426">
        <v>0.28193166057243729</v>
      </c>
      <c r="V426">
        <v>0.43568464730290457</v>
      </c>
      <c r="W426">
        <v>0.29045643153526973</v>
      </c>
      <c r="X426">
        <v>0.27385892116182575</v>
      </c>
      <c r="Y426">
        <v>0.42683790069774502</v>
      </c>
      <c r="Z426">
        <v>0.29539892810193147</v>
      </c>
      <c r="AA426">
        <v>0.27776317120032362</v>
      </c>
      <c r="AB426">
        <v>0.44112412592750605</v>
      </c>
      <c r="AC426">
        <v>0.28102462309429843</v>
      </c>
      <c r="AD426">
        <v>0.27785125097819557</v>
      </c>
      <c r="AE426" t="s">
        <v>39</v>
      </c>
      <c r="AF426" t="s">
        <v>23</v>
      </c>
      <c r="AG426">
        <v>87.45</v>
      </c>
      <c r="AH426">
        <v>29</v>
      </c>
      <c r="AI426">
        <v>14</v>
      </c>
      <c r="AJ426">
        <v>7</v>
      </c>
      <c r="AK426">
        <v>26.2</v>
      </c>
      <c r="AL426">
        <v>229</v>
      </c>
      <c r="AM426">
        <v>3029</v>
      </c>
      <c r="AN426">
        <v>71</v>
      </c>
      <c r="AO426">
        <v>73</v>
      </c>
      <c r="AP426">
        <v>73</v>
      </c>
      <c r="AQ426">
        <v>3.5</v>
      </c>
      <c r="AR426" t="s">
        <v>29</v>
      </c>
      <c r="AS426" t="s">
        <v>45</v>
      </c>
      <c r="AT426" t="s">
        <v>23</v>
      </c>
      <c r="AU426">
        <v>88.3</v>
      </c>
      <c r="AV426">
        <v>26</v>
      </c>
      <c r="AW426">
        <v>7</v>
      </c>
      <c r="AX426">
        <v>4</v>
      </c>
      <c r="AY426">
        <v>25.1</v>
      </c>
      <c r="AZ426">
        <v>347</v>
      </c>
      <c r="BA426">
        <v>2156</v>
      </c>
      <c r="BB426">
        <v>72</v>
      </c>
      <c r="BC426">
        <v>73</v>
      </c>
      <c r="BD426">
        <v>72</v>
      </c>
      <c r="BE426">
        <v>3.5</v>
      </c>
      <c r="BF426" t="s">
        <v>29</v>
      </c>
      <c r="BG426">
        <v>-11</v>
      </c>
      <c r="BH426">
        <v>73</v>
      </c>
      <c r="BI426">
        <v>0.33300000000000002</v>
      </c>
      <c r="BJ426" t="s">
        <v>266</v>
      </c>
      <c r="BK426">
        <v>0.24390000000000001</v>
      </c>
      <c r="BL426">
        <v>0.3</v>
      </c>
      <c r="BM426">
        <v>1.24</v>
      </c>
      <c r="BN426">
        <v>1.3</v>
      </c>
    </row>
    <row r="427" spans="1:66" x14ac:dyDescent="0.25">
      <c r="A427">
        <v>2</v>
      </c>
      <c r="B427">
        <v>0</v>
      </c>
      <c r="C427">
        <v>0</v>
      </c>
      <c r="D427">
        <v>3.4499999999999997</v>
      </c>
      <c r="E427">
        <v>3.3333333333333335</v>
      </c>
      <c r="F427">
        <v>2.1166666666666667</v>
      </c>
      <c r="G427" s="40">
        <v>0.24</v>
      </c>
      <c r="H427" s="40">
        <v>0.36</v>
      </c>
      <c r="I427" s="40">
        <v>0.4</v>
      </c>
      <c r="J427">
        <v>3.4</v>
      </c>
      <c r="K427">
        <v>3.3</v>
      </c>
      <c r="L427">
        <v>2.1</v>
      </c>
      <c r="M427">
        <v>3.55</v>
      </c>
      <c r="N427">
        <v>3.4</v>
      </c>
      <c r="O427">
        <v>2.15</v>
      </c>
      <c r="P427">
        <v>3.4</v>
      </c>
      <c r="Q427">
        <v>3.3</v>
      </c>
      <c r="R427">
        <v>2.1</v>
      </c>
      <c r="S427">
        <v>0.28330522765598648</v>
      </c>
      <c r="T427">
        <v>0.25801011804384488</v>
      </c>
      <c r="U427">
        <v>0.45868465430016858</v>
      </c>
      <c r="V427">
        <v>0.27061545580749652</v>
      </c>
      <c r="W427">
        <v>0.28255437297547426</v>
      </c>
      <c r="X427">
        <v>0.44683017121702917</v>
      </c>
      <c r="Y427">
        <v>0.27402135231316727</v>
      </c>
      <c r="Z427">
        <v>0.28232502965599054</v>
      </c>
      <c r="AA427">
        <v>0.44365361803084225</v>
      </c>
      <c r="AB427">
        <v>0.27598067859221675</v>
      </c>
      <c r="AC427">
        <v>0.27429650689176988</v>
      </c>
      <c r="AD427">
        <v>0.44972281451601331</v>
      </c>
      <c r="AE427" t="s">
        <v>41</v>
      </c>
      <c r="AF427" t="s">
        <v>23</v>
      </c>
      <c r="AG427">
        <v>66.7</v>
      </c>
      <c r="AH427">
        <v>28</v>
      </c>
      <c r="AI427">
        <v>11</v>
      </c>
      <c r="AJ427">
        <v>6</v>
      </c>
      <c r="AK427">
        <v>26</v>
      </c>
      <c r="AL427">
        <v>266</v>
      </c>
      <c r="AM427">
        <v>2690</v>
      </c>
      <c r="AN427">
        <v>75</v>
      </c>
      <c r="AO427">
        <v>75</v>
      </c>
      <c r="AP427">
        <v>74</v>
      </c>
      <c r="AQ427">
        <v>4</v>
      </c>
      <c r="AR427" t="s">
        <v>29</v>
      </c>
      <c r="AS427" t="s">
        <v>34</v>
      </c>
      <c r="AT427" t="s">
        <v>23</v>
      </c>
      <c r="AU427">
        <v>262.89999999999998</v>
      </c>
      <c r="AV427">
        <v>31</v>
      </c>
      <c r="AW427">
        <v>18</v>
      </c>
      <c r="AX427">
        <v>8</v>
      </c>
      <c r="AY427">
        <v>23.3</v>
      </c>
      <c r="AZ427">
        <v>145</v>
      </c>
      <c r="BA427">
        <v>4008</v>
      </c>
      <c r="BB427">
        <v>77</v>
      </c>
      <c r="BC427">
        <v>76</v>
      </c>
      <c r="BD427">
        <v>76</v>
      </c>
      <c r="BE427">
        <v>4</v>
      </c>
      <c r="BF427" t="s">
        <v>29</v>
      </c>
      <c r="BG427">
        <v>-7</v>
      </c>
      <c r="BH427">
        <v>21</v>
      </c>
      <c r="BI427">
        <v>0.19</v>
      </c>
      <c r="BJ427" t="s">
        <v>266</v>
      </c>
      <c r="BK427">
        <v>0.35709999999999997</v>
      </c>
      <c r="BL427">
        <v>0.38300000000000001</v>
      </c>
      <c r="BM427">
        <v>1.1399999999999999</v>
      </c>
      <c r="BN427">
        <v>1.28</v>
      </c>
    </row>
    <row r="428" spans="1:66" x14ac:dyDescent="0.25">
      <c r="A428">
        <v>3</v>
      </c>
      <c r="B428">
        <v>-1</v>
      </c>
      <c r="C428">
        <v>3</v>
      </c>
      <c r="D428">
        <v>8.6666666666666661</v>
      </c>
      <c r="E428">
        <v>5.7</v>
      </c>
      <c r="F428">
        <v>1.2976666666666665</v>
      </c>
      <c r="G428" s="40">
        <v>0.08</v>
      </c>
      <c r="H428" s="40">
        <v>0.18</v>
      </c>
      <c r="I428" s="40">
        <v>0.74</v>
      </c>
      <c r="J428">
        <v>8.5</v>
      </c>
      <c r="K428">
        <v>5.75</v>
      </c>
      <c r="L428">
        <v>1.28</v>
      </c>
      <c r="M428">
        <v>9</v>
      </c>
      <c r="N428">
        <v>5.75</v>
      </c>
      <c r="O428">
        <v>1.333</v>
      </c>
      <c r="P428">
        <v>8.5</v>
      </c>
      <c r="Q428">
        <v>5.6</v>
      </c>
      <c r="R428">
        <v>1.28</v>
      </c>
      <c r="S428">
        <v>0.11561592463012509</v>
      </c>
      <c r="T428">
        <v>0.11662207587295055</v>
      </c>
      <c r="U428">
        <v>0.76776199949692447</v>
      </c>
      <c r="V428">
        <v>0.10733177663339716</v>
      </c>
      <c r="W428">
        <v>0.16799756342618682</v>
      </c>
      <c r="X428">
        <v>0.72467065994041591</v>
      </c>
      <c r="Y428">
        <v>0.10918839873263467</v>
      </c>
      <c r="Z428">
        <v>0.16573239093346334</v>
      </c>
      <c r="AA428">
        <v>0.72507921033390199</v>
      </c>
      <c r="AB428">
        <v>0.1107120333320523</v>
      </c>
      <c r="AC428">
        <v>0.15011734341086688</v>
      </c>
      <c r="AD428">
        <v>0.73917062325708083</v>
      </c>
      <c r="AE428" t="s">
        <v>48</v>
      </c>
      <c r="AF428" t="s">
        <v>23</v>
      </c>
      <c r="AG428">
        <v>85.63</v>
      </c>
      <c r="AH428">
        <v>28</v>
      </c>
      <c r="AI428">
        <v>16</v>
      </c>
      <c r="AJ428">
        <v>8</v>
      </c>
      <c r="AK428">
        <v>25</v>
      </c>
      <c r="AL428">
        <v>426</v>
      </c>
      <c r="AM428">
        <v>1736</v>
      </c>
      <c r="AN428">
        <v>70</v>
      </c>
      <c r="AO428">
        <v>70</v>
      </c>
      <c r="AP428">
        <v>73</v>
      </c>
      <c r="AQ428">
        <v>3.5</v>
      </c>
      <c r="AR428" t="s">
        <v>46</v>
      </c>
      <c r="AS428" t="s">
        <v>10</v>
      </c>
      <c r="AT428" t="s">
        <v>23</v>
      </c>
      <c r="AU428">
        <v>997.75</v>
      </c>
      <c r="AV428">
        <v>35</v>
      </c>
      <c r="AW428">
        <v>24</v>
      </c>
      <c r="AX428">
        <v>19</v>
      </c>
      <c r="AY428">
        <v>26.1</v>
      </c>
      <c r="AZ428">
        <v>12</v>
      </c>
      <c r="BA428">
        <v>9495</v>
      </c>
      <c r="BB428">
        <v>87</v>
      </c>
      <c r="BC428">
        <v>82</v>
      </c>
      <c r="BD428">
        <v>82</v>
      </c>
      <c r="BE428">
        <v>5</v>
      </c>
      <c r="BF428" t="s">
        <v>28</v>
      </c>
      <c r="BG428">
        <v>-57</v>
      </c>
      <c r="BH428">
        <v>51</v>
      </c>
      <c r="BI428">
        <v>0.188</v>
      </c>
      <c r="BJ428" t="s">
        <v>266</v>
      </c>
      <c r="BK428">
        <v>0.34150000000000003</v>
      </c>
      <c r="BL428">
        <v>0.66669999999999996</v>
      </c>
      <c r="BM428">
        <v>1.22</v>
      </c>
      <c r="BN428">
        <v>2.21</v>
      </c>
    </row>
    <row r="429" spans="1:66" x14ac:dyDescent="0.25">
      <c r="A429">
        <v>2</v>
      </c>
      <c r="B429">
        <v>0</v>
      </c>
      <c r="C429">
        <v>2</v>
      </c>
      <c r="D429">
        <v>3.0833333333333335</v>
      </c>
      <c r="E429">
        <v>3.7666666666666671</v>
      </c>
      <c r="F429">
        <v>2.11</v>
      </c>
      <c r="G429" s="40">
        <v>0.39</v>
      </c>
      <c r="H429" s="40">
        <v>0.23</v>
      </c>
      <c r="I429" s="40">
        <v>0.38</v>
      </c>
      <c r="J429">
        <v>2.95</v>
      </c>
      <c r="K429">
        <v>3.7</v>
      </c>
      <c r="L429">
        <v>2.0499999999999998</v>
      </c>
      <c r="M429">
        <v>3.2</v>
      </c>
      <c r="N429">
        <v>3.85</v>
      </c>
      <c r="O429">
        <v>2.15</v>
      </c>
      <c r="P429">
        <v>3.1</v>
      </c>
      <c r="Q429">
        <v>3.75</v>
      </c>
      <c r="R429">
        <v>2.13</v>
      </c>
      <c r="S429">
        <v>0.31660231660231658</v>
      </c>
      <c r="T429">
        <v>0.22779922779922779</v>
      </c>
      <c r="U429">
        <v>0.45559845559845558</v>
      </c>
      <c r="V429">
        <v>0.30124647438813573</v>
      </c>
      <c r="W429">
        <v>0.25038668001091807</v>
      </c>
      <c r="X429">
        <v>0.44836684560094625</v>
      </c>
      <c r="Y429">
        <v>0.30468615895176515</v>
      </c>
      <c r="Z429">
        <v>0.25187389140012589</v>
      </c>
      <c r="AA429">
        <v>0.4434399496481089</v>
      </c>
      <c r="AB429">
        <v>0.30751164998073915</v>
      </c>
      <c r="AC429">
        <v>0.24335326640342392</v>
      </c>
      <c r="AD429">
        <v>0.44913508361583693</v>
      </c>
      <c r="AE429" t="s">
        <v>170</v>
      </c>
      <c r="AF429" t="s">
        <v>160</v>
      </c>
      <c r="AG429">
        <v>30.15</v>
      </c>
      <c r="AH429">
        <v>29</v>
      </c>
      <c r="AI429">
        <v>17</v>
      </c>
      <c r="AJ429">
        <v>3</v>
      </c>
      <c r="AK429">
        <v>23.4</v>
      </c>
      <c r="AL429">
        <v>315</v>
      </c>
      <c r="AM429">
        <v>2380</v>
      </c>
      <c r="AN429">
        <v>69</v>
      </c>
      <c r="AO429">
        <v>68</v>
      </c>
      <c r="AP429">
        <v>67</v>
      </c>
      <c r="AQ429">
        <v>2.5</v>
      </c>
      <c r="AR429" t="s">
        <v>29</v>
      </c>
      <c r="AS429" t="s">
        <v>161</v>
      </c>
      <c r="AT429" t="s">
        <v>160</v>
      </c>
      <c r="AU429">
        <v>47.3</v>
      </c>
      <c r="AV429">
        <v>26</v>
      </c>
      <c r="AW429">
        <v>15</v>
      </c>
      <c r="AX429">
        <v>5</v>
      </c>
      <c r="AY429">
        <v>25.7</v>
      </c>
      <c r="AZ429">
        <v>114</v>
      </c>
      <c r="BA429">
        <v>4579</v>
      </c>
      <c r="BB429">
        <v>71</v>
      </c>
      <c r="BC429">
        <v>69</v>
      </c>
      <c r="BD429">
        <v>70</v>
      </c>
      <c r="BE429">
        <v>3</v>
      </c>
      <c r="BF429" t="s">
        <v>29</v>
      </c>
      <c r="BG429">
        <v>16</v>
      </c>
      <c r="BH429">
        <v>32</v>
      </c>
      <c r="BI429">
        <v>0.55600000000000005</v>
      </c>
      <c r="BJ429" t="s">
        <v>234</v>
      </c>
      <c r="BK429">
        <v>0.375</v>
      </c>
      <c r="BL429">
        <v>0.5</v>
      </c>
      <c r="BM429">
        <v>1.29</v>
      </c>
      <c r="BN429">
        <v>1.6</v>
      </c>
    </row>
    <row r="430" spans="1:66" x14ac:dyDescent="0.25">
      <c r="A430">
        <v>3</v>
      </c>
      <c r="B430">
        <v>-3</v>
      </c>
      <c r="C430">
        <v>4</v>
      </c>
      <c r="D430">
        <v>3.7333333333333329</v>
      </c>
      <c r="E430">
        <v>3.6999999999999997</v>
      </c>
      <c r="F430">
        <v>1.9366666666666668</v>
      </c>
      <c r="G430" s="40">
        <v>0.22</v>
      </c>
      <c r="H430" s="40">
        <v>0.25</v>
      </c>
      <c r="I430" s="40">
        <v>0.53</v>
      </c>
      <c r="J430">
        <v>4.0999999999999996</v>
      </c>
      <c r="K430">
        <v>3.7</v>
      </c>
      <c r="L430">
        <v>1.82</v>
      </c>
      <c r="M430">
        <v>4</v>
      </c>
      <c r="N430">
        <v>3.65</v>
      </c>
      <c r="O430">
        <v>1.86</v>
      </c>
      <c r="P430">
        <v>3.1</v>
      </c>
      <c r="Q430">
        <v>3.75</v>
      </c>
      <c r="R430">
        <v>2.13</v>
      </c>
      <c r="S430">
        <v>0.23905397403237408</v>
      </c>
      <c r="T430">
        <v>0.22241784270788212</v>
      </c>
      <c r="U430">
        <v>0.53852818325974372</v>
      </c>
      <c r="V430">
        <v>0.23549203926601689</v>
      </c>
      <c r="W430">
        <v>0.25807346768878564</v>
      </c>
      <c r="X430">
        <v>0.50643449304519761</v>
      </c>
      <c r="Y430">
        <v>0.30468615895176515</v>
      </c>
      <c r="Z430">
        <v>0.25187389140012589</v>
      </c>
      <c r="AA430">
        <v>0.4434399496481089</v>
      </c>
      <c r="AB430">
        <v>0.25974405741671869</v>
      </c>
      <c r="AC430">
        <v>0.24412173393226455</v>
      </c>
      <c r="AD430">
        <v>0.49613420865101676</v>
      </c>
      <c r="AE430" t="s">
        <v>321</v>
      </c>
      <c r="AF430" t="s">
        <v>307</v>
      </c>
      <c r="AG430">
        <v>124.8</v>
      </c>
      <c r="AH430">
        <v>27</v>
      </c>
      <c r="AI430">
        <v>12</v>
      </c>
      <c r="AJ430">
        <v>8</v>
      </c>
      <c r="AK430">
        <v>27.1</v>
      </c>
      <c r="AL430">
        <v>279</v>
      </c>
      <c r="AM430">
        <v>2588</v>
      </c>
      <c r="AN430">
        <v>76</v>
      </c>
      <c r="AO430">
        <v>75</v>
      </c>
      <c r="AP430">
        <v>73</v>
      </c>
      <c r="AQ430">
        <v>4</v>
      </c>
      <c r="AR430" t="s">
        <v>43</v>
      </c>
      <c r="AS430" t="s">
        <v>310</v>
      </c>
      <c r="AT430" t="s">
        <v>307</v>
      </c>
      <c r="AU430">
        <v>517.75</v>
      </c>
      <c r="AV430">
        <v>25</v>
      </c>
      <c r="AW430">
        <v>18</v>
      </c>
      <c r="AX430">
        <v>17</v>
      </c>
      <c r="AY430">
        <v>27.6</v>
      </c>
      <c r="AZ430">
        <v>38</v>
      </c>
      <c r="BA430">
        <v>7165</v>
      </c>
      <c r="BB430">
        <v>82</v>
      </c>
      <c r="BC430">
        <v>80</v>
      </c>
      <c r="BD430">
        <v>80</v>
      </c>
      <c r="BE430">
        <v>4.5</v>
      </c>
      <c r="BF430" t="s">
        <v>29</v>
      </c>
      <c r="BG430">
        <v>-16</v>
      </c>
      <c r="BH430">
        <v>143</v>
      </c>
      <c r="BI430">
        <v>0.27</v>
      </c>
      <c r="BJ430" t="s">
        <v>322</v>
      </c>
      <c r="BK430">
        <v>0.4</v>
      </c>
      <c r="BL430">
        <v>0.58819999999999995</v>
      </c>
      <c r="BM430">
        <v>1.35</v>
      </c>
      <c r="BN430">
        <v>2.02</v>
      </c>
    </row>
    <row r="431" spans="1:66" x14ac:dyDescent="0.25">
      <c r="A431">
        <v>2</v>
      </c>
      <c r="B431">
        <v>0</v>
      </c>
      <c r="C431">
        <v>2</v>
      </c>
      <c r="D431">
        <v>3.1333333333333333</v>
      </c>
      <c r="E431">
        <v>3.3333333333333335</v>
      </c>
      <c r="F431">
        <v>2.2466666666666666</v>
      </c>
      <c r="G431" s="40">
        <v>0.27</v>
      </c>
      <c r="H431" s="40">
        <v>0.37</v>
      </c>
      <c r="I431" s="40">
        <v>0.36</v>
      </c>
      <c r="J431">
        <v>3.1</v>
      </c>
      <c r="K431">
        <v>3.35</v>
      </c>
      <c r="L431">
        <v>2.25</v>
      </c>
      <c r="M431">
        <v>3.2</v>
      </c>
      <c r="N431">
        <v>3.35</v>
      </c>
      <c r="O431">
        <v>2.25</v>
      </c>
      <c r="P431">
        <v>3.1</v>
      </c>
      <c r="Q431">
        <v>3.3</v>
      </c>
      <c r="R431">
        <v>2.2400000000000002</v>
      </c>
      <c r="S431">
        <v>0.31206657420249651</v>
      </c>
      <c r="T431">
        <v>0.2579750346740638</v>
      </c>
      <c r="U431">
        <v>0.42995839112343964</v>
      </c>
      <c r="V431">
        <v>0.29608170480212115</v>
      </c>
      <c r="W431">
        <v>0.28282431503486199</v>
      </c>
      <c r="X431">
        <v>0.4210939801630168</v>
      </c>
      <c r="Y431">
        <v>0.30090368802409828</v>
      </c>
      <c r="Z431">
        <v>0.28266710087112268</v>
      </c>
      <c r="AA431">
        <v>0.41642921110477893</v>
      </c>
      <c r="AB431">
        <v>0.30301732234290529</v>
      </c>
      <c r="AC431">
        <v>0.27448881686001619</v>
      </c>
      <c r="AD431">
        <v>0.42249386079707846</v>
      </c>
      <c r="AE431" t="s">
        <v>315</v>
      </c>
      <c r="AF431" t="s">
        <v>307</v>
      </c>
      <c r="AG431">
        <v>184.13</v>
      </c>
      <c r="AH431">
        <v>30</v>
      </c>
      <c r="AI431">
        <v>20</v>
      </c>
      <c r="AJ431">
        <v>13</v>
      </c>
      <c r="AK431">
        <v>26</v>
      </c>
      <c r="AL431">
        <v>162</v>
      </c>
      <c r="AM431">
        <v>3817</v>
      </c>
      <c r="AN431">
        <v>76</v>
      </c>
      <c r="AO431">
        <v>74</v>
      </c>
      <c r="AP431">
        <v>77</v>
      </c>
      <c r="AQ431">
        <v>4</v>
      </c>
      <c r="AR431" t="s">
        <v>46</v>
      </c>
      <c r="AS431" t="s">
        <v>311</v>
      </c>
      <c r="AT431" t="s">
        <v>307</v>
      </c>
      <c r="AU431">
        <v>326.60000000000002</v>
      </c>
      <c r="AV431">
        <v>33</v>
      </c>
      <c r="AW431">
        <v>26</v>
      </c>
      <c r="AX431">
        <v>12</v>
      </c>
      <c r="AY431">
        <v>27.4</v>
      </c>
      <c r="AZ431">
        <v>41</v>
      </c>
      <c r="BA431">
        <v>6846</v>
      </c>
      <c r="BB431">
        <v>82</v>
      </c>
      <c r="BC431">
        <v>80</v>
      </c>
      <c r="BD431">
        <v>79</v>
      </c>
      <c r="BE431">
        <v>4.5</v>
      </c>
      <c r="BF431" t="s">
        <v>46</v>
      </c>
      <c r="BG431">
        <v>-2</v>
      </c>
      <c r="BH431">
        <v>190</v>
      </c>
      <c r="BI431">
        <v>0.30599999999999999</v>
      </c>
      <c r="BJ431" t="s">
        <v>322</v>
      </c>
      <c r="BK431">
        <v>0.2195</v>
      </c>
      <c r="BL431">
        <v>0.5</v>
      </c>
      <c r="BM431">
        <v>1.34</v>
      </c>
      <c r="BN431">
        <v>1.63</v>
      </c>
    </row>
    <row r="432" spans="1:66" x14ac:dyDescent="0.25">
      <c r="A432">
        <v>1</v>
      </c>
      <c r="B432">
        <v>1</v>
      </c>
      <c r="C432">
        <v>1</v>
      </c>
      <c r="D432">
        <v>1.51</v>
      </c>
      <c r="E432">
        <v>4.3600000000000003</v>
      </c>
      <c r="F432">
        <v>5.7666666666666666</v>
      </c>
      <c r="G432" s="40">
        <v>0.49</v>
      </c>
      <c r="H432" s="40">
        <v>0.28999999999999998</v>
      </c>
      <c r="I432" s="40">
        <v>0.22000000000000003</v>
      </c>
      <c r="J432">
        <v>1.5</v>
      </c>
      <c r="K432">
        <v>4.3499999999999996</v>
      </c>
      <c r="L432">
        <v>6</v>
      </c>
      <c r="M432">
        <v>1.55</v>
      </c>
      <c r="N432">
        <v>4.33</v>
      </c>
      <c r="O432">
        <v>5.5</v>
      </c>
      <c r="P432">
        <v>1.48</v>
      </c>
      <c r="Q432">
        <v>4.4000000000000004</v>
      </c>
      <c r="R432">
        <v>5.8</v>
      </c>
      <c r="S432">
        <v>0.66285714285714281</v>
      </c>
      <c r="T432">
        <v>0.17142857142857149</v>
      </c>
      <c r="U432">
        <v>0.1657142857142857</v>
      </c>
      <c r="V432">
        <v>0.60983572974149525</v>
      </c>
      <c r="W432">
        <v>0.21830147369499253</v>
      </c>
      <c r="X432">
        <v>0.1718627965635123</v>
      </c>
      <c r="Y432">
        <v>0.62832381327555642</v>
      </c>
      <c r="Z432">
        <v>0.2113452826472326</v>
      </c>
      <c r="AA432">
        <v>0.16033090407721096</v>
      </c>
      <c r="AB432">
        <v>0.63367222862473149</v>
      </c>
      <c r="AC432">
        <v>0.20035844259026556</v>
      </c>
      <c r="AD432">
        <v>0.16596932878500301</v>
      </c>
      <c r="AE432" t="s">
        <v>312</v>
      </c>
      <c r="AF432" t="s">
        <v>307</v>
      </c>
      <c r="AG432">
        <v>418.35</v>
      </c>
      <c r="AH432">
        <v>31</v>
      </c>
      <c r="AI432">
        <v>20</v>
      </c>
      <c r="AJ432">
        <v>19</v>
      </c>
      <c r="AK432">
        <v>25.4</v>
      </c>
      <c r="AL432">
        <v>44</v>
      </c>
      <c r="AM432">
        <v>6735</v>
      </c>
      <c r="AN432">
        <v>79</v>
      </c>
      <c r="AO432">
        <v>77</v>
      </c>
      <c r="AP432">
        <v>76</v>
      </c>
      <c r="AQ432">
        <v>4</v>
      </c>
      <c r="AR432" t="s">
        <v>29</v>
      </c>
      <c r="AS432" t="s">
        <v>316</v>
      </c>
      <c r="AT432" t="s">
        <v>307</v>
      </c>
      <c r="AU432">
        <v>101.6</v>
      </c>
      <c r="AV432">
        <v>26</v>
      </c>
      <c r="AW432">
        <v>22</v>
      </c>
      <c r="AX432">
        <v>5</v>
      </c>
      <c r="AY432">
        <v>27.4</v>
      </c>
      <c r="AZ432">
        <v>217</v>
      </c>
      <c r="BA432">
        <v>3100</v>
      </c>
      <c r="BB432">
        <v>76</v>
      </c>
      <c r="BC432">
        <v>75</v>
      </c>
      <c r="BD432">
        <v>72</v>
      </c>
      <c r="BE432">
        <v>4</v>
      </c>
      <c r="BF432" t="s">
        <v>29</v>
      </c>
      <c r="BG432">
        <v>73</v>
      </c>
      <c r="BH432">
        <v>181</v>
      </c>
      <c r="BI432">
        <v>0.52</v>
      </c>
      <c r="BJ432" t="s">
        <v>322</v>
      </c>
      <c r="BK432">
        <v>0.52829999999999999</v>
      </c>
      <c r="BL432">
        <v>0.27500000000000002</v>
      </c>
      <c r="BM432">
        <v>1.87</v>
      </c>
      <c r="BN432">
        <v>1.1299999999999999</v>
      </c>
    </row>
    <row r="433" spans="1:66" x14ac:dyDescent="0.25">
      <c r="A433">
        <v>2</v>
      </c>
      <c r="B433">
        <v>0</v>
      </c>
      <c r="C433">
        <v>2</v>
      </c>
      <c r="D433">
        <v>2.4133333333333336</v>
      </c>
      <c r="E433">
        <v>3.0666666666666664</v>
      </c>
      <c r="F433">
        <v>3.1833333333333336</v>
      </c>
      <c r="G433" s="40">
        <v>0.28000000000000003</v>
      </c>
      <c r="H433" s="40">
        <v>0.3</v>
      </c>
      <c r="I433" s="40">
        <v>0.42</v>
      </c>
      <c r="J433">
        <v>2.35</v>
      </c>
      <c r="K433">
        <v>3.1</v>
      </c>
      <c r="L433">
        <v>3.25</v>
      </c>
      <c r="M433">
        <v>2.4500000000000002</v>
      </c>
      <c r="N433">
        <v>3</v>
      </c>
      <c r="O433">
        <v>3.1</v>
      </c>
      <c r="P433">
        <v>2.44</v>
      </c>
      <c r="Q433">
        <v>3.1</v>
      </c>
      <c r="R433">
        <v>3.2</v>
      </c>
      <c r="S433">
        <v>0.41762276273519966</v>
      </c>
      <c r="T433">
        <v>0.28040385497934833</v>
      </c>
      <c r="U433">
        <v>0.30197338228545206</v>
      </c>
      <c r="V433">
        <v>0.38358424417405651</v>
      </c>
      <c r="W433">
        <v>0.31326046607547947</v>
      </c>
      <c r="X433">
        <v>0.30315528975046402</v>
      </c>
      <c r="Y433">
        <v>0.39221888344140449</v>
      </c>
      <c r="Z433">
        <v>0.3087142179345248</v>
      </c>
      <c r="AA433">
        <v>0.29906689862407088</v>
      </c>
      <c r="AB433">
        <v>0.39780863011688689</v>
      </c>
      <c r="AC433">
        <v>0.3007928463297842</v>
      </c>
      <c r="AD433">
        <v>0.30139852355332897</v>
      </c>
      <c r="AE433" t="s">
        <v>73</v>
      </c>
      <c r="AF433" t="s">
        <v>63</v>
      </c>
      <c r="AG433">
        <v>11.68</v>
      </c>
      <c r="AH433">
        <v>34</v>
      </c>
      <c r="AI433">
        <v>4</v>
      </c>
      <c r="AJ433">
        <v>1</v>
      </c>
      <c r="AK433">
        <v>25.7</v>
      </c>
      <c r="AL433">
        <v>237</v>
      </c>
      <c r="AM433">
        <v>2952</v>
      </c>
      <c r="AN433">
        <v>69</v>
      </c>
      <c r="AO433">
        <v>68</v>
      </c>
      <c r="AP433">
        <v>68</v>
      </c>
      <c r="AQ433">
        <v>2.5</v>
      </c>
      <c r="AR433" t="s">
        <v>29</v>
      </c>
      <c r="AS433" t="s">
        <v>74</v>
      </c>
      <c r="AT433" t="s">
        <v>63</v>
      </c>
      <c r="AU433">
        <v>9.73</v>
      </c>
      <c r="AV433">
        <v>33</v>
      </c>
      <c r="AW433">
        <v>1</v>
      </c>
      <c r="AX433">
        <v>0</v>
      </c>
      <c r="AY433">
        <v>26.2</v>
      </c>
      <c r="AZ433">
        <v>254</v>
      </c>
      <c r="BA433">
        <v>2813</v>
      </c>
      <c r="BB433">
        <v>67</v>
      </c>
      <c r="BC433">
        <v>64</v>
      </c>
      <c r="BD433">
        <v>65</v>
      </c>
      <c r="BE433">
        <v>2</v>
      </c>
      <c r="BF433" t="s">
        <v>46</v>
      </c>
      <c r="BG433">
        <v>4</v>
      </c>
      <c r="BH433">
        <v>27</v>
      </c>
      <c r="BI433">
        <v>0.33300000000000002</v>
      </c>
      <c r="BJ433" t="s">
        <v>63</v>
      </c>
      <c r="BK433">
        <v>0.31819999999999998</v>
      </c>
      <c r="BL433">
        <v>0.25</v>
      </c>
      <c r="BM433">
        <v>1.23</v>
      </c>
      <c r="BN433">
        <v>1.17</v>
      </c>
    </row>
    <row r="434" spans="1:66" x14ac:dyDescent="0.25">
      <c r="A434">
        <v>1</v>
      </c>
      <c r="B434">
        <v>2</v>
      </c>
      <c r="C434">
        <v>4</v>
      </c>
      <c r="D434">
        <v>1.57</v>
      </c>
      <c r="E434">
        <v>3.75</v>
      </c>
      <c r="F434">
        <v>6.55</v>
      </c>
      <c r="G434" s="40">
        <v>0.3</v>
      </c>
      <c r="H434" s="40">
        <v>0.42</v>
      </c>
      <c r="I434" s="40">
        <v>0.27999999999999997</v>
      </c>
      <c r="J434">
        <v>1.56</v>
      </c>
      <c r="K434">
        <v>3.7</v>
      </c>
      <c r="L434">
        <v>6.75</v>
      </c>
      <c r="M434">
        <v>1.59</v>
      </c>
      <c r="N434">
        <v>3.75</v>
      </c>
      <c r="O434">
        <v>6</v>
      </c>
      <c r="P434">
        <v>1.56</v>
      </c>
      <c r="Q434">
        <v>3.8</v>
      </c>
      <c r="R434">
        <v>6.9</v>
      </c>
      <c r="S434">
        <v>0.65320245417028544</v>
      </c>
      <c r="T434">
        <v>0.19583520086591522</v>
      </c>
      <c r="U434">
        <v>0.15096234496379932</v>
      </c>
      <c r="V434">
        <v>0.59206631142687982</v>
      </c>
      <c r="W434">
        <v>0.25103611604499704</v>
      </c>
      <c r="X434">
        <v>0.15689757252812314</v>
      </c>
      <c r="Y434">
        <v>0.61101789709172261</v>
      </c>
      <c r="Z434">
        <v>0.25083892617449666</v>
      </c>
      <c r="AA434">
        <v>0.13814317673378076</v>
      </c>
      <c r="AB434">
        <v>0.61876222089629596</v>
      </c>
      <c r="AC434">
        <v>0.23257008102846966</v>
      </c>
      <c r="AD434">
        <v>0.14866769807523442</v>
      </c>
      <c r="AE434" t="s">
        <v>72</v>
      </c>
      <c r="AF434" t="s">
        <v>63</v>
      </c>
      <c r="AG434">
        <v>14.85</v>
      </c>
      <c r="AH434">
        <v>33</v>
      </c>
      <c r="AI434">
        <v>3</v>
      </c>
      <c r="AJ434">
        <v>2</v>
      </c>
      <c r="AK434">
        <v>25.9</v>
      </c>
      <c r="AL434">
        <v>209</v>
      </c>
      <c r="AM434">
        <v>3175</v>
      </c>
      <c r="AN434">
        <v>65</v>
      </c>
      <c r="AO434">
        <v>64</v>
      </c>
      <c r="AP434">
        <v>63</v>
      </c>
      <c r="AQ434">
        <v>1.5</v>
      </c>
      <c r="AR434" t="s">
        <v>46</v>
      </c>
      <c r="AS434" t="s">
        <v>77</v>
      </c>
      <c r="AT434" t="s">
        <v>63</v>
      </c>
      <c r="AU434">
        <v>8.4</v>
      </c>
      <c r="AV434">
        <v>32</v>
      </c>
      <c r="AW434">
        <v>3</v>
      </c>
      <c r="AX434">
        <v>0</v>
      </c>
      <c r="AY434">
        <v>23.6</v>
      </c>
      <c r="AZ434">
        <v>362</v>
      </c>
      <c r="BA434">
        <v>2071</v>
      </c>
      <c r="BB434">
        <v>65</v>
      </c>
      <c r="BC434">
        <v>66</v>
      </c>
      <c r="BD434">
        <v>61</v>
      </c>
      <c r="BE434">
        <v>2</v>
      </c>
      <c r="BF434" t="s">
        <v>46</v>
      </c>
      <c r="BG434">
        <v>11</v>
      </c>
      <c r="BH434">
        <v>38</v>
      </c>
      <c r="BI434">
        <v>0.435</v>
      </c>
      <c r="BJ434" t="s">
        <v>63</v>
      </c>
      <c r="BK434">
        <v>0.51719999999999999</v>
      </c>
      <c r="BL434">
        <v>0.26090000000000002</v>
      </c>
      <c r="BM434">
        <v>1.55</v>
      </c>
      <c r="BN434">
        <v>1.22</v>
      </c>
    </row>
    <row r="435" spans="1:66" x14ac:dyDescent="0.25">
      <c r="A435">
        <v>3</v>
      </c>
      <c r="B435">
        <v>-1</v>
      </c>
      <c r="C435">
        <v>3</v>
      </c>
      <c r="D435">
        <v>3.5833333333333335</v>
      </c>
      <c r="E435">
        <v>2.9550000000000001</v>
      </c>
      <c r="F435">
        <v>2.2999999999999998</v>
      </c>
      <c r="G435" s="40">
        <v>0.23</v>
      </c>
      <c r="H435" s="40">
        <v>0.42</v>
      </c>
      <c r="I435" s="40">
        <v>0.35000000000000003</v>
      </c>
      <c r="J435">
        <v>3.45</v>
      </c>
      <c r="K435">
        <v>3.05</v>
      </c>
      <c r="L435">
        <v>2.2799999999999998</v>
      </c>
      <c r="M435">
        <v>3.65</v>
      </c>
      <c r="N435">
        <v>2.875</v>
      </c>
      <c r="O435">
        <v>2.2999999999999998</v>
      </c>
      <c r="P435">
        <v>3.65</v>
      </c>
      <c r="Q435">
        <v>2.94</v>
      </c>
      <c r="R435">
        <v>2.3199999999999998</v>
      </c>
      <c r="S435">
        <v>0.2852670104688112</v>
      </c>
      <c r="T435">
        <v>0.28307896053232945</v>
      </c>
      <c r="U435">
        <v>0.43165402899885918</v>
      </c>
      <c r="V435">
        <v>0.2593010146561443</v>
      </c>
      <c r="W435">
        <v>0.32919954904171367</v>
      </c>
      <c r="X435">
        <v>0.41149943630214209</v>
      </c>
      <c r="Y435">
        <v>0.26213883273507099</v>
      </c>
      <c r="Z435">
        <v>0.32544446921190784</v>
      </c>
      <c r="AA435">
        <v>0.41241669805302117</v>
      </c>
      <c r="AB435">
        <v>0.26890228595334215</v>
      </c>
      <c r="AC435">
        <v>0.31257432626198361</v>
      </c>
      <c r="AD435">
        <v>0.41852338778467413</v>
      </c>
      <c r="AE435" t="s">
        <v>75</v>
      </c>
      <c r="AF435" t="s">
        <v>63</v>
      </c>
      <c r="AG435">
        <v>9.3000000000000007</v>
      </c>
      <c r="AH435">
        <v>29</v>
      </c>
      <c r="AI435">
        <v>4</v>
      </c>
      <c r="AJ435">
        <v>0</v>
      </c>
      <c r="AK435">
        <v>25.6</v>
      </c>
      <c r="AL435">
        <v>317</v>
      </c>
      <c r="AM435">
        <v>2374</v>
      </c>
      <c r="AN435">
        <v>69</v>
      </c>
      <c r="AO435">
        <v>66</v>
      </c>
      <c r="AP435">
        <v>64</v>
      </c>
      <c r="AQ435">
        <v>2.5</v>
      </c>
      <c r="AR435" t="s">
        <v>46</v>
      </c>
      <c r="AS435" t="s">
        <v>66</v>
      </c>
      <c r="AT435" t="s">
        <v>63</v>
      </c>
      <c r="AU435">
        <v>22.13</v>
      </c>
      <c r="AV435">
        <v>32</v>
      </c>
      <c r="AW435">
        <v>3</v>
      </c>
      <c r="AX435">
        <v>0</v>
      </c>
      <c r="AY435">
        <v>27.7</v>
      </c>
      <c r="AZ435">
        <v>93</v>
      </c>
      <c r="BA435">
        <v>5011</v>
      </c>
      <c r="BB435">
        <v>70</v>
      </c>
      <c r="BC435">
        <v>70</v>
      </c>
      <c r="BD435">
        <v>67</v>
      </c>
      <c r="BE435">
        <v>3</v>
      </c>
      <c r="BF435" t="s">
        <v>28</v>
      </c>
      <c r="BG435">
        <v>-5</v>
      </c>
      <c r="BH435">
        <v>26</v>
      </c>
      <c r="BI435">
        <v>0.192</v>
      </c>
      <c r="BJ435" t="s">
        <v>63</v>
      </c>
      <c r="BK435">
        <v>0.43480000000000002</v>
      </c>
      <c r="BL435">
        <v>0.4</v>
      </c>
      <c r="BM435">
        <v>1.43</v>
      </c>
      <c r="BN435">
        <v>1.28</v>
      </c>
    </row>
    <row r="436" spans="1:66" x14ac:dyDescent="0.25">
      <c r="A436">
        <v>2</v>
      </c>
      <c r="B436">
        <v>0</v>
      </c>
      <c r="C436">
        <v>2</v>
      </c>
      <c r="D436">
        <v>1.4366666666666665</v>
      </c>
      <c r="E436">
        <v>4.2433333333333332</v>
      </c>
      <c r="F436">
        <v>8.2000000000000011</v>
      </c>
      <c r="G436" s="40">
        <v>0.63</v>
      </c>
      <c r="H436" s="40">
        <v>0.22</v>
      </c>
      <c r="I436" s="40">
        <v>0.15</v>
      </c>
      <c r="J436">
        <v>1.42</v>
      </c>
      <c r="K436">
        <v>4</v>
      </c>
      <c r="L436">
        <v>9.5</v>
      </c>
      <c r="M436">
        <v>1.45</v>
      </c>
      <c r="N436">
        <v>4.33</v>
      </c>
      <c r="O436">
        <v>7</v>
      </c>
      <c r="P436">
        <v>1.44</v>
      </c>
      <c r="Q436">
        <v>4.4000000000000004</v>
      </c>
      <c r="R436">
        <v>8.1</v>
      </c>
      <c r="S436">
        <v>0.73054815068243639</v>
      </c>
      <c r="T436">
        <v>0.16025412574187323</v>
      </c>
      <c r="U436">
        <v>0.10919772357569048</v>
      </c>
      <c r="V436">
        <v>0.64850177048899726</v>
      </c>
      <c r="W436">
        <v>0.21716571990971043</v>
      </c>
      <c r="X436">
        <v>0.13433250960129228</v>
      </c>
      <c r="Y436">
        <v>0.66442953020134232</v>
      </c>
      <c r="Z436">
        <v>0.2174496644295302</v>
      </c>
      <c r="AA436">
        <v>0.11812080536912752</v>
      </c>
      <c r="AB436">
        <v>0.68115981712425866</v>
      </c>
      <c r="AC436">
        <v>0.19828983669370462</v>
      </c>
      <c r="AD436">
        <v>0.12055034618203675</v>
      </c>
      <c r="AE436" t="s">
        <v>67</v>
      </c>
      <c r="AF436" t="s">
        <v>63</v>
      </c>
      <c r="AG436">
        <v>21.85</v>
      </c>
      <c r="AH436">
        <v>29</v>
      </c>
      <c r="AI436">
        <v>2</v>
      </c>
      <c r="AJ436">
        <v>4</v>
      </c>
      <c r="AK436">
        <v>25.7</v>
      </c>
      <c r="AL436">
        <v>104</v>
      </c>
      <c r="AM436">
        <v>4793</v>
      </c>
      <c r="AN436">
        <v>67</v>
      </c>
      <c r="AO436">
        <v>70</v>
      </c>
      <c r="AP436">
        <v>67</v>
      </c>
      <c r="AQ436">
        <v>2.5</v>
      </c>
      <c r="AR436" t="s">
        <v>29</v>
      </c>
      <c r="AS436" t="s">
        <v>69</v>
      </c>
      <c r="AT436" t="s">
        <v>63</v>
      </c>
      <c r="AU436">
        <v>8.83</v>
      </c>
      <c r="AV436">
        <v>30</v>
      </c>
      <c r="AW436">
        <v>1</v>
      </c>
      <c r="AX436">
        <v>0</v>
      </c>
      <c r="AY436">
        <v>27</v>
      </c>
      <c r="AZ436">
        <v>181</v>
      </c>
      <c r="BA436">
        <v>3617</v>
      </c>
      <c r="BB436">
        <v>63</v>
      </c>
      <c r="BC436">
        <v>64</v>
      </c>
      <c r="BD436">
        <v>64</v>
      </c>
      <c r="BE436">
        <v>1.5</v>
      </c>
      <c r="BF436" t="s">
        <v>29</v>
      </c>
      <c r="BG436">
        <v>11</v>
      </c>
      <c r="BH436">
        <v>38</v>
      </c>
      <c r="BI436">
        <v>0.47799999999999998</v>
      </c>
      <c r="BJ436" t="s">
        <v>63</v>
      </c>
      <c r="BK436">
        <v>0.42859999999999998</v>
      </c>
      <c r="BL436">
        <v>0.37040000000000001</v>
      </c>
      <c r="BM436">
        <v>1.75</v>
      </c>
      <c r="BN436">
        <v>1.1499999999999999</v>
      </c>
    </row>
    <row r="437" spans="1:66" x14ac:dyDescent="0.25">
      <c r="A437">
        <v>1</v>
      </c>
      <c r="B437">
        <v>-1</v>
      </c>
      <c r="C437">
        <v>3</v>
      </c>
      <c r="D437">
        <v>2.7266666666666666</v>
      </c>
      <c r="E437">
        <v>3.1166666666666667</v>
      </c>
      <c r="F437">
        <v>2.7233333333333332</v>
      </c>
      <c r="G437" s="40">
        <v>0.24</v>
      </c>
      <c r="H437" s="40">
        <v>0.41</v>
      </c>
      <c r="I437" s="40">
        <v>0.35000000000000003</v>
      </c>
      <c r="J437">
        <v>2.8</v>
      </c>
      <c r="K437">
        <v>3.1</v>
      </c>
      <c r="L437">
        <v>2.65</v>
      </c>
      <c r="M437">
        <v>2.65</v>
      </c>
      <c r="N437">
        <v>3.1</v>
      </c>
      <c r="O437">
        <v>2.75</v>
      </c>
      <c r="P437">
        <v>2.73</v>
      </c>
      <c r="Q437">
        <v>3.15</v>
      </c>
      <c r="R437">
        <v>2.77</v>
      </c>
      <c r="S437">
        <v>0.34865096768042714</v>
      </c>
      <c r="T437">
        <v>0.28296310420440457</v>
      </c>
      <c r="U437">
        <v>0.36838592811516829</v>
      </c>
      <c r="V437">
        <v>0.35480178961606501</v>
      </c>
      <c r="W437">
        <v>0.30329830402663616</v>
      </c>
      <c r="X437">
        <v>0.34189990635729894</v>
      </c>
      <c r="Y437">
        <v>0.35060332461395666</v>
      </c>
      <c r="Z437">
        <v>0.30385621466542906</v>
      </c>
      <c r="AA437">
        <v>0.34554046072061428</v>
      </c>
      <c r="AB437">
        <v>0.35135202730348292</v>
      </c>
      <c r="AC437">
        <v>0.29670587429882328</v>
      </c>
      <c r="AD437">
        <v>0.3519420983976938</v>
      </c>
      <c r="AE437" t="s">
        <v>76</v>
      </c>
      <c r="AF437" t="s">
        <v>63</v>
      </c>
      <c r="AG437">
        <v>10.15</v>
      </c>
      <c r="AH437">
        <v>30</v>
      </c>
      <c r="AI437">
        <v>3</v>
      </c>
      <c r="AJ437">
        <v>0</v>
      </c>
      <c r="AK437">
        <v>27.4</v>
      </c>
      <c r="AL437">
        <v>349</v>
      </c>
      <c r="AM437">
        <v>2119</v>
      </c>
      <c r="AN437">
        <v>59</v>
      </c>
      <c r="AO437">
        <v>64</v>
      </c>
      <c r="AP437">
        <v>65</v>
      </c>
      <c r="AQ437">
        <v>2</v>
      </c>
      <c r="AR437" t="s">
        <v>29</v>
      </c>
      <c r="AS437" t="s">
        <v>68</v>
      </c>
      <c r="AT437" t="s">
        <v>63</v>
      </c>
      <c r="AU437">
        <v>16.600000000000001</v>
      </c>
      <c r="AV437">
        <v>36</v>
      </c>
      <c r="AW437">
        <v>2</v>
      </c>
      <c r="AX437">
        <v>1</v>
      </c>
      <c r="AY437">
        <v>25.1</v>
      </c>
      <c r="AZ437">
        <v>129</v>
      </c>
      <c r="BA437">
        <v>4227</v>
      </c>
      <c r="BB437">
        <v>62</v>
      </c>
      <c r="BC437">
        <v>66</v>
      </c>
      <c r="BD437">
        <v>64</v>
      </c>
      <c r="BE437">
        <v>2</v>
      </c>
      <c r="BF437" t="s">
        <v>46</v>
      </c>
      <c r="BG437">
        <v>-4</v>
      </c>
      <c r="BH437">
        <v>7</v>
      </c>
      <c r="BI437">
        <v>0.1</v>
      </c>
      <c r="BJ437" t="s">
        <v>63</v>
      </c>
      <c r="BK437">
        <v>0.2727</v>
      </c>
      <c r="BL437">
        <v>0.38890000000000002</v>
      </c>
      <c r="BM437">
        <v>0.82</v>
      </c>
      <c r="BN437">
        <v>1.39</v>
      </c>
    </row>
    <row r="438" spans="1:66" x14ac:dyDescent="0.25">
      <c r="A438">
        <v>2</v>
      </c>
      <c r="B438">
        <v>0</v>
      </c>
      <c r="C438">
        <v>0</v>
      </c>
      <c r="D438">
        <v>4.833333333333333</v>
      </c>
      <c r="E438">
        <v>3.0333333333333332</v>
      </c>
      <c r="F438">
        <v>1.91</v>
      </c>
      <c r="G438" s="40">
        <v>0.16</v>
      </c>
      <c r="H438" s="40">
        <v>0.32</v>
      </c>
      <c r="I438" s="40">
        <v>0.52</v>
      </c>
      <c r="J438">
        <v>4.9000000000000004</v>
      </c>
      <c r="K438">
        <v>3.1</v>
      </c>
      <c r="L438">
        <v>1.88</v>
      </c>
      <c r="M438">
        <v>4.75</v>
      </c>
      <c r="N438">
        <v>3</v>
      </c>
      <c r="O438">
        <v>1.93</v>
      </c>
      <c r="P438">
        <v>4.8499999999999996</v>
      </c>
      <c r="Q438">
        <v>3</v>
      </c>
      <c r="R438">
        <v>1.92</v>
      </c>
      <c r="S438">
        <v>0.20555218560206087</v>
      </c>
      <c r="T438">
        <v>0.2587000966053335</v>
      </c>
      <c r="U438">
        <v>0.53574771779260555</v>
      </c>
      <c r="V438">
        <v>0.19823675425832404</v>
      </c>
      <c r="W438">
        <v>0.31387486090901306</v>
      </c>
      <c r="X438">
        <v>0.48788838483266284</v>
      </c>
      <c r="Y438">
        <v>0.19445007089325503</v>
      </c>
      <c r="Z438">
        <v>0.31436094794409564</v>
      </c>
      <c r="AA438">
        <v>0.49118898116264947</v>
      </c>
      <c r="AB438">
        <v>0.19941300358454664</v>
      </c>
      <c r="AC438">
        <v>0.29564530181948073</v>
      </c>
      <c r="AD438">
        <v>0.5049416945959726</v>
      </c>
      <c r="AE438" t="s">
        <v>78</v>
      </c>
      <c r="AF438" t="s">
        <v>63</v>
      </c>
      <c r="AG438">
        <v>8.07</v>
      </c>
      <c r="AH438">
        <v>31</v>
      </c>
      <c r="AI438">
        <v>4</v>
      </c>
      <c r="AJ438">
        <v>0</v>
      </c>
      <c r="AK438">
        <v>25.2</v>
      </c>
      <c r="AL438">
        <v>433</v>
      </c>
      <c r="AM438">
        <v>1716</v>
      </c>
      <c r="AN438">
        <v>63</v>
      </c>
      <c r="AO438">
        <v>64</v>
      </c>
      <c r="AP438">
        <v>64</v>
      </c>
      <c r="AQ438">
        <v>2</v>
      </c>
      <c r="AR438" t="s">
        <v>29</v>
      </c>
      <c r="AS438" t="s">
        <v>62</v>
      </c>
      <c r="AT438" t="s">
        <v>63</v>
      </c>
      <c r="AU438">
        <v>18.350000000000001</v>
      </c>
      <c r="AV438">
        <v>29</v>
      </c>
      <c r="AW438">
        <v>3</v>
      </c>
      <c r="AX438">
        <v>1</v>
      </c>
      <c r="AY438">
        <v>27.4</v>
      </c>
      <c r="AZ438">
        <v>66</v>
      </c>
      <c r="BA438">
        <v>5865</v>
      </c>
      <c r="BB438">
        <v>67</v>
      </c>
      <c r="BC438">
        <v>68</v>
      </c>
      <c r="BD438">
        <v>66</v>
      </c>
      <c r="BE438">
        <v>2.5</v>
      </c>
      <c r="BF438" t="s">
        <v>29</v>
      </c>
      <c r="BG438">
        <v>-11</v>
      </c>
      <c r="BH438">
        <v>16</v>
      </c>
      <c r="BI438">
        <v>0.2</v>
      </c>
      <c r="BJ438" t="s">
        <v>63</v>
      </c>
      <c r="BK438">
        <v>0.18179999999999999</v>
      </c>
      <c r="BL438">
        <v>0.4375</v>
      </c>
      <c r="BM438">
        <v>0.59</v>
      </c>
      <c r="BN438">
        <v>1.25</v>
      </c>
    </row>
    <row r="439" spans="1:66" x14ac:dyDescent="0.25">
      <c r="A439">
        <v>3</v>
      </c>
      <c r="B439">
        <v>-1</v>
      </c>
      <c r="C439">
        <v>1</v>
      </c>
      <c r="D439">
        <v>2.706666666666667</v>
      </c>
      <c r="E439">
        <v>3.2166666666666668</v>
      </c>
      <c r="F439">
        <v>2.7166666666666668</v>
      </c>
      <c r="G439" s="40">
        <v>0.5</v>
      </c>
      <c r="H439" s="40">
        <v>0.24</v>
      </c>
      <c r="I439" s="40">
        <v>0.26</v>
      </c>
      <c r="J439">
        <v>2.7</v>
      </c>
      <c r="K439">
        <v>3.25</v>
      </c>
      <c r="L439">
        <v>2.75</v>
      </c>
      <c r="M439">
        <v>2.65</v>
      </c>
      <c r="N439">
        <v>3.2</v>
      </c>
      <c r="O439">
        <v>2.7</v>
      </c>
      <c r="P439">
        <v>2.77</v>
      </c>
      <c r="Q439">
        <v>3.2</v>
      </c>
      <c r="R439">
        <v>2.7</v>
      </c>
      <c r="S439">
        <v>0.36743845520270885</v>
      </c>
      <c r="T439">
        <v>0.27180378878008604</v>
      </c>
      <c r="U439">
        <v>0.36075775601720511</v>
      </c>
      <c r="V439">
        <v>0.35592173017507728</v>
      </c>
      <c r="W439">
        <v>0.29474768280123581</v>
      </c>
      <c r="X439">
        <v>0.34933058702368691</v>
      </c>
      <c r="Y439">
        <v>0.34583516791418162</v>
      </c>
      <c r="Z439">
        <v>0.29936356722571345</v>
      </c>
      <c r="AA439">
        <v>0.35480126486010483</v>
      </c>
      <c r="AB439">
        <v>0.3563984510973226</v>
      </c>
      <c r="AC439">
        <v>0.28863834626901175</v>
      </c>
      <c r="AD439">
        <v>0.3549632026336656</v>
      </c>
      <c r="AE439" t="s">
        <v>255</v>
      </c>
      <c r="AF439" t="s">
        <v>253</v>
      </c>
      <c r="AG439">
        <v>882.5</v>
      </c>
      <c r="AH439">
        <v>27</v>
      </c>
      <c r="AI439">
        <v>18</v>
      </c>
      <c r="AJ439">
        <v>17</v>
      </c>
      <c r="AK439">
        <v>26.7</v>
      </c>
      <c r="AL439">
        <v>19</v>
      </c>
      <c r="AM439">
        <v>8832</v>
      </c>
      <c r="AN439">
        <v>82</v>
      </c>
      <c r="AO439">
        <v>84</v>
      </c>
      <c r="AP439">
        <v>82</v>
      </c>
      <c r="AQ439">
        <v>4.5</v>
      </c>
      <c r="AR439" t="s">
        <v>28</v>
      </c>
      <c r="AS439" t="s">
        <v>254</v>
      </c>
      <c r="AT439" t="s">
        <v>253</v>
      </c>
      <c r="AU439">
        <v>1040</v>
      </c>
      <c r="AV439">
        <v>22</v>
      </c>
      <c r="AW439">
        <v>16</v>
      </c>
      <c r="AX439">
        <v>19</v>
      </c>
      <c r="AY439">
        <v>27.6</v>
      </c>
      <c r="AZ439">
        <v>8</v>
      </c>
      <c r="BA439">
        <v>10390</v>
      </c>
      <c r="BB439">
        <v>85</v>
      </c>
      <c r="BC439">
        <v>86</v>
      </c>
      <c r="BD439">
        <v>83</v>
      </c>
      <c r="BE439">
        <v>5</v>
      </c>
      <c r="BF439" t="s">
        <v>28</v>
      </c>
      <c r="BG439">
        <v>15</v>
      </c>
      <c r="BH439">
        <v>151</v>
      </c>
      <c r="BI439">
        <v>0.46800000000000003</v>
      </c>
      <c r="BJ439" t="s">
        <v>267</v>
      </c>
      <c r="BK439">
        <v>0.57630000000000003</v>
      </c>
      <c r="BL439">
        <v>0.77049999999999996</v>
      </c>
      <c r="BM439">
        <v>1.68</v>
      </c>
      <c r="BN439">
        <v>2.15</v>
      </c>
    </row>
    <row r="440" spans="1:66" x14ac:dyDescent="0.25">
      <c r="A440">
        <v>1</v>
      </c>
      <c r="B440">
        <v>2</v>
      </c>
      <c r="C440">
        <v>4</v>
      </c>
      <c r="D440">
        <v>2.23</v>
      </c>
      <c r="E440">
        <v>3.3166666666666664</v>
      </c>
      <c r="F440">
        <v>3.35</v>
      </c>
      <c r="G440" s="40">
        <v>0.35</v>
      </c>
      <c r="H440" s="40">
        <v>0.25</v>
      </c>
      <c r="I440" s="40">
        <v>0.4</v>
      </c>
      <c r="J440">
        <v>2.23</v>
      </c>
      <c r="K440">
        <v>3.35</v>
      </c>
      <c r="L440">
        <v>3.35</v>
      </c>
      <c r="M440">
        <v>2.2000000000000002</v>
      </c>
      <c r="N440">
        <v>3.3</v>
      </c>
      <c r="O440">
        <v>3.35</v>
      </c>
      <c r="P440">
        <v>2.2599999999999998</v>
      </c>
      <c r="Q440">
        <v>3.3</v>
      </c>
      <c r="R440">
        <v>3.35</v>
      </c>
      <c r="S440">
        <v>0.44475592084644483</v>
      </c>
      <c r="T440">
        <v>0.25918267512741427</v>
      </c>
      <c r="U440">
        <v>0.29606140402614084</v>
      </c>
      <c r="V440">
        <v>0.43040685224839398</v>
      </c>
      <c r="W440">
        <v>0.28693790149892934</v>
      </c>
      <c r="X440">
        <v>0.28265524625267668</v>
      </c>
      <c r="Y440">
        <v>0.4238230332771048</v>
      </c>
      <c r="Z440">
        <v>0.2902545621837142</v>
      </c>
      <c r="AA440">
        <v>0.28592240453918111</v>
      </c>
      <c r="AB440">
        <v>0.43299526879064792</v>
      </c>
      <c r="AC440">
        <v>0.27879171293668592</v>
      </c>
      <c r="AD440">
        <v>0.28821301827266627</v>
      </c>
      <c r="AE440" t="s">
        <v>256</v>
      </c>
      <c r="AF440" t="s">
        <v>253</v>
      </c>
      <c r="AG440">
        <v>548.5</v>
      </c>
      <c r="AH440">
        <v>26</v>
      </c>
      <c r="AI440">
        <v>17</v>
      </c>
      <c r="AJ440">
        <v>16</v>
      </c>
      <c r="AK440">
        <v>25.2</v>
      </c>
      <c r="AL440">
        <v>25</v>
      </c>
      <c r="AM440">
        <v>7938</v>
      </c>
      <c r="AN440">
        <v>83</v>
      </c>
      <c r="AO440">
        <v>79</v>
      </c>
      <c r="AP440">
        <v>79</v>
      </c>
      <c r="AQ440">
        <v>4.5</v>
      </c>
      <c r="AR440" t="s">
        <v>29</v>
      </c>
      <c r="AS440" t="s">
        <v>259</v>
      </c>
      <c r="AT440" t="s">
        <v>253</v>
      </c>
      <c r="AU440">
        <v>692</v>
      </c>
      <c r="AV440">
        <v>33</v>
      </c>
      <c r="AW440">
        <v>16</v>
      </c>
      <c r="AX440">
        <v>18</v>
      </c>
      <c r="AY440">
        <v>25.7</v>
      </c>
      <c r="AZ440">
        <v>42</v>
      </c>
      <c r="BA440">
        <v>6821</v>
      </c>
      <c r="BB440">
        <v>89</v>
      </c>
      <c r="BC440">
        <v>82</v>
      </c>
      <c r="BD440">
        <v>81</v>
      </c>
      <c r="BE440">
        <v>4.5</v>
      </c>
      <c r="BF440" t="s">
        <v>29</v>
      </c>
      <c r="BG440">
        <v>29</v>
      </c>
      <c r="BH440">
        <v>205</v>
      </c>
      <c r="BI440">
        <v>0.41399999999999998</v>
      </c>
      <c r="BJ440" t="s">
        <v>267</v>
      </c>
      <c r="BK440">
        <v>0.5</v>
      </c>
      <c r="BL440">
        <v>0.54239999999999999</v>
      </c>
      <c r="BM440">
        <v>1.62</v>
      </c>
      <c r="BN440">
        <v>2.1</v>
      </c>
    </row>
    <row r="441" spans="1:66" x14ac:dyDescent="0.25">
      <c r="A441">
        <v>1</v>
      </c>
      <c r="B441">
        <v>1</v>
      </c>
      <c r="C441">
        <v>1</v>
      </c>
      <c r="D441">
        <v>6.9666666666666659</v>
      </c>
      <c r="E441">
        <v>3.8333333333333335</v>
      </c>
      <c r="F441">
        <v>1.5533333333333335</v>
      </c>
      <c r="G441" s="40">
        <v>0.08</v>
      </c>
      <c r="H441" s="40">
        <v>0.16</v>
      </c>
      <c r="I441" s="40">
        <v>0.76</v>
      </c>
      <c r="J441">
        <v>7.5</v>
      </c>
      <c r="K441">
        <v>3.9</v>
      </c>
      <c r="L441">
        <v>1.54</v>
      </c>
      <c r="M441">
        <v>6.5</v>
      </c>
      <c r="N441">
        <v>3.7</v>
      </c>
      <c r="O441">
        <v>1.57</v>
      </c>
      <c r="P441">
        <v>6.9</v>
      </c>
      <c r="Q441">
        <v>3.9</v>
      </c>
      <c r="R441">
        <v>1.55</v>
      </c>
      <c r="S441">
        <v>0.13922053043425062</v>
      </c>
      <c r="T441">
        <v>0.18275740576258101</v>
      </c>
      <c r="U441">
        <v>0.67802206380316843</v>
      </c>
      <c r="V441">
        <v>0.14499301118210861</v>
      </c>
      <c r="W441">
        <v>0.25471745207667729</v>
      </c>
      <c r="X441">
        <v>0.60028953674121399</v>
      </c>
      <c r="Y441">
        <v>0.13848797250859107</v>
      </c>
      <c r="Z441">
        <v>0.24501718213058418</v>
      </c>
      <c r="AA441">
        <v>0.61649484536082477</v>
      </c>
      <c r="AB441">
        <v>0.14090050470831675</v>
      </c>
      <c r="AC441">
        <v>0.22749734665661417</v>
      </c>
      <c r="AD441">
        <v>0.63160214863506903</v>
      </c>
      <c r="AE441" t="s">
        <v>156</v>
      </c>
      <c r="AF441" t="s">
        <v>141</v>
      </c>
      <c r="AG441">
        <v>66.099999999999994</v>
      </c>
      <c r="AH441">
        <v>24</v>
      </c>
      <c r="AI441">
        <v>6</v>
      </c>
      <c r="AJ441">
        <v>3</v>
      </c>
      <c r="AK441">
        <v>26.8</v>
      </c>
      <c r="AL441">
        <v>177</v>
      </c>
      <c r="AM441">
        <v>3663</v>
      </c>
      <c r="AN441">
        <v>77</v>
      </c>
      <c r="AO441">
        <v>74</v>
      </c>
      <c r="AP441">
        <v>76</v>
      </c>
      <c r="AQ441">
        <v>4</v>
      </c>
      <c r="AR441" t="s">
        <v>43</v>
      </c>
      <c r="AS441" t="s">
        <v>143</v>
      </c>
      <c r="AT441" t="s">
        <v>141</v>
      </c>
      <c r="AU441">
        <v>755.2</v>
      </c>
      <c r="AV441">
        <v>22</v>
      </c>
      <c r="AW441">
        <v>19</v>
      </c>
      <c r="AX441">
        <v>19</v>
      </c>
      <c r="AY441">
        <v>28</v>
      </c>
      <c r="AZ441">
        <v>13</v>
      </c>
      <c r="BA441">
        <v>9329</v>
      </c>
      <c r="BB441">
        <v>85</v>
      </c>
      <c r="BC441">
        <v>82</v>
      </c>
      <c r="BD441">
        <v>83</v>
      </c>
      <c r="BE441">
        <v>5</v>
      </c>
      <c r="BF441" t="s">
        <v>29</v>
      </c>
      <c r="BG441">
        <v>-18</v>
      </c>
      <c r="BH441">
        <v>20</v>
      </c>
      <c r="BI441">
        <v>0.22700000000000001</v>
      </c>
      <c r="BJ441" t="s">
        <v>270</v>
      </c>
      <c r="BK441">
        <v>0.26829999999999998</v>
      </c>
      <c r="BL441">
        <v>0.60419999999999996</v>
      </c>
      <c r="BM441">
        <v>0.95</v>
      </c>
      <c r="BN441">
        <v>1.6</v>
      </c>
    </row>
    <row r="442" spans="1:66" x14ac:dyDescent="0.25">
      <c r="A442">
        <v>2</v>
      </c>
      <c r="B442">
        <v>0</v>
      </c>
      <c r="C442">
        <v>2</v>
      </c>
      <c r="D442">
        <v>2.6733333333333333</v>
      </c>
      <c r="E442">
        <v>3.15</v>
      </c>
      <c r="F442">
        <v>2.7900000000000005</v>
      </c>
      <c r="G442" s="40">
        <v>0.31</v>
      </c>
      <c r="H442" s="40">
        <v>0.43</v>
      </c>
      <c r="I442" s="40">
        <v>0.25999999999999995</v>
      </c>
      <c r="J442">
        <v>2.63</v>
      </c>
      <c r="K442">
        <v>3.2</v>
      </c>
      <c r="L442">
        <v>2.88</v>
      </c>
      <c r="M442">
        <v>2.65</v>
      </c>
      <c r="N442">
        <v>3.1</v>
      </c>
      <c r="O442">
        <v>2.75</v>
      </c>
      <c r="P442">
        <v>2.74</v>
      </c>
      <c r="Q442">
        <v>3.15</v>
      </c>
      <c r="R442">
        <v>2.74</v>
      </c>
      <c r="S442">
        <v>0.37834730690285023</v>
      </c>
      <c r="T442">
        <v>0.27614803436294988</v>
      </c>
      <c r="U442">
        <v>0.3455046587342</v>
      </c>
      <c r="V442">
        <v>0.35480178961606501</v>
      </c>
      <c r="W442">
        <v>0.30329830402663616</v>
      </c>
      <c r="X442">
        <v>0.34189990635729894</v>
      </c>
      <c r="Y442">
        <v>0.34845132743362833</v>
      </c>
      <c r="Z442">
        <v>0.30309734513274339</v>
      </c>
      <c r="AA442">
        <v>0.34845132743362833</v>
      </c>
      <c r="AB442">
        <v>0.3605334746508479</v>
      </c>
      <c r="AC442">
        <v>0.29418122784077649</v>
      </c>
      <c r="AD442">
        <v>0.34528529750837578</v>
      </c>
      <c r="AE442" t="s">
        <v>142</v>
      </c>
      <c r="AF442" t="s">
        <v>141</v>
      </c>
      <c r="AG442">
        <v>251.9</v>
      </c>
      <c r="AH442">
        <v>27</v>
      </c>
      <c r="AI442">
        <v>17</v>
      </c>
      <c r="AJ442">
        <v>12</v>
      </c>
      <c r="AK442">
        <v>25.5</v>
      </c>
      <c r="AL442">
        <v>11</v>
      </c>
      <c r="AM442">
        <v>9770</v>
      </c>
      <c r="AN442">
        <v>77</v>
      </c>
      <c r="AO442">
        <v>78</v>
      </c>
      <c r="AP442">
        <v>77</v>
      </c>
      <c r="AQ442">
        <v>4</v>
      </c>
      <c r="AR442" t="s">
        <v>29</v>
      </c>
      <c r="AS442" t="s">
        <v>148</v>
      </c>
      <c r="AT442" t="s">
        <v>141</v>
      </c>
      <c r="AU442">
        <v>188.3</v>
      </c>
      <c r="AV442">
        <v>26</v>
      </c>
      <c r="AW442">
        <v>0</v>
      </c>
      <c r="AX442">
        <v>2</v>
      </c>
      <c r="AY442">
        <v>26.4</v>
      </c>
      <c r="AZ442">
        <v>61</v>
      </c>
      <c r="BA442">
        <v>6139</v>
      </c>
      <c r="BB442">
        <v>80</v>
      </c>
      <c r="BC442">
        <v>78</v>
      </c>
      <c r="BD442">
        <v>79</v>
      </c>
      <c r="BE442">
        <v>4.5</v>
      </c>
      <c r="BF442" t="s">
        <v>29</v>
      </c>
      <c r="BG442">
        <v>5</v>
      </c>
      <c r="BH442">
        <v>253</v>
      </c>
      <c r="BI442">
        <v>0.39500000000000002</v>
      </c>
      <c r="BJ442" t="s">
        <v>270</v>
      </c>
      <c r="BK442">
        <v>0.3095</v>
      </c>
      <c r="BL442">
        <v>0.3478</v>
      </c>
      <c r="BM442">
        <v>1.43</v>
      </c>
      <c r="BN442">
        <v>1.28</v>
      </c>
    </row>
    <row r="443" spans="1:66" x14ac:dyDescent="0.25">
      <c r="A443">
        <v>2</v>
      </c>
      <c r="B443">
        <v>0</v>
      </c>
      <c r="C443">
        <v>0</v>
      </c>
      <c r="D443">
        <v>1.5166666666666666</v>
      </c>
      <c r="E443">
        <v>4.5166666666666666</v>
      </c>
      <c r="F443">
        <v>5.9333333333333336</v>
      </c>
      <c r="G443" s="40">
        <v>0.51</v>
      </c>
      <c r="H443" s="40">
        <v>0.41</v>
      </c>
      <c r="I443" s="40">
        <v>8.0000000000000016E-2</v>
      </c>
      <c r="J443">
        <v>1.5</v>
      </c>
      <c r="K443">
        <v>4.75</v>
      </c>
      <c r="L443">
        <v>6</v>
      </c>
      <c r="M443">
        <v>1.53</v>
      </c>
      <c r="N443">
        <v>4.2</v>
      </c>
      <c r="O443">
        <v>6</v>
      </c>
      <c r="P443">
        <v>1.52</v>
      </c>
      <c r="Q443">
        <v>4.5999999999999996</v>
      </c>
      <c r="R443">
        <v>5.8</v>
      </c>
      <c r="S443">
        <v>0.67256637168141598</v>
      </c>
      <c r="T443">
        <v>0.15929203539823011</v>
      </c>
      <c r="U443">
        <v>0.16814159292035399</v>
      </c>
      <c r="V443">
        <v>0.61755624172915757</v>
      </c>
      <c r="W443">
        <v>0.22496691662990737</v>
      </c>
      <c r="X443">
        <v>0.15747684164093517</v>
      </c>
      <c r="Y443">
        <v>0.6279420071549614</v>
      </c>
      <c r="Z443">
        <v>0.20749388062511767</v>
      </c>
      <c r="AA443">
        <v>0.1645641122199209</v>
      </c>
      <c r="AB443">
        <v>0.63935487352184506</v>
      </c>
      <c r="AC443">
        <v>0.19725094421775172</v>
      </c>
      <c r="AD443">
        <v>0.16339418226040336</v>
      </c>
      <c r="AE443" t="s">
        <v>144</v>
      </c>
      <c r="AF443" t="s">
        <v>141</v>
      </c>
      <c r="AG443">
        <v>783.5</v>
      </c>
      <c r="AH443">
        <v>25</v>
      </c>
      <c r="AI443">
        <v>18</v>
      </c>
      <c r="AJ443">
        <v>17</v>
      </c>
      <c r="AK443">
        <v>27.6</v>
      </c>
      <c r="AL443">
        <v>18</v>
      </c>
      <c r="AM443">
        <v>8949</v>
      </c>
      <c r="AN443">
        <v>84</v>
      </c>
      <c r="AO443">
        <v>86</v>
      </c>
      <c r="AP443">
        <v>84</v>
      </c>
      <c r="AQ443">
        <v>5</v>
      </c>
      <c r="AR443" t="s">
        <v>28</v>
      </c>
      <c r="AS443" t="s">
        <v>149</v>
      </c>
      <c r="AT443" t="s">
        <v>141</v>
      </c>
      <c r="AU443">
        <v>298.89999999999998</v>
      </c>
      <c r="AV443">
        <v>24</v>
      </c>
      <c r="AW443">
        <v>9</v>
      </c>
      <c r="AX443">
        <v>10</v>
      </c>
      <c r="AY443">
        <v>28.2</v>
      </c>
      <c r="AZ443">
        <v>77</v>
      </c>
      <c r="BA443">
        <v>5396</v>
      </c>
      <c r="BB443">
        <v>82</v>
      </c>
      <c r="BC443">
        <v>79</v>
      </c>
      <c r="BD443">
        <v>79</v>
      </c>
      <c r="BE443">
        <v>4.5</v>
      </c>
      <c r="BF443" t="s">
        <v>29</v>
      </c>
      <c r="BG443">
        <v>48</v>
      </c>
      <c r="BH443">
        <v>92</v>
      </c>
      <c r="BI443">
        <v>0.59099999999999997</v>
      </c>
      <c r="BJ443" t="s">
        <v>270</v>
      </c>
      <c r="BK443">
        <v>0.59619999999999995</v>
      </c>
      <c r="BL443">
        <v>0.53449999999999998</v>
      </c>
      <c r="BM443">
        <v>1.69</v>
      </c>
      <c r="BN443">
        <v>1.78</v>
      </c>
    </row>
    <row r="444" spans="1:66" x14ac:dyDescent="0.25">
      <c r="A444">
        <v>1</v>
      </c>
      <c r="B444">
        <v>3</v>
      </c>
      <c r="C444">
        <v>3</v>
      </c>
      <c r="D444">
        <v>1.46</v>
      </c>
      <c r="E444">
        <v>4.833333333333333</v>
      </c>
      <c r="F444">
        <v>6.3833333333333329</v>
      </c>
      <c r="G444" s="40">
        <v>0.52</v>
      </c>
      <c r="H444" s="40">
        <v>0.41</v>
      </c>
      <c r="I444" s="40">
        <v>7.0000000000000007E-2</v>
      </c>
      <c r="J444">
        <v>1.43</v>
      </c>
      <c r="K444">
        <v>4.9000000000000004</v>
      </c>
      <c r="L444">
        <v>7</v>
      </c>
      <c r="M444">
        <v>1.48</v>
      </c>
      <c r="N444">
        <v>4.75</v>
      </c>
      <c r="O444">
        <v>5.75</v>
      </c>
      <c r="P444">
        <v>1.47</v>
      </c>
      <c r="Q444">
        <v>4.8499999999999996</v>
      </c>
      <c r="R444">
        <v>6.4</v>
      </c>
      <c r="S444">
        <v>0.70758978797909766</v>
      </c>
      <c r="T444">
        <v>0.1478597267623151</v>
      </c>
      <c r="U444">
        <v>0.1445504852585871</v>
      </c>
      <c r="V444">
        <v>0.63736071407735839</v>
      </c>
      <c r="W444">
        <v>0.19858818038620851</v>
      </c>
      <c r="X444">
        <v>0.16405110553643312</v>
      </c>
      <c r="Y444">
        <v>0.65240922705060156</v>
      </c>
      <c r="Z444">
        <v>0.1977405286112133</v>
      </c>
      <c r="AA444">
        <v>0.14985024433818506</v>
      </c>
      <c r="AB444">
        <v>0.66578657636901928</v>
      </c>
      <c r="AC444">
        <v>0.18139614525324563</v>
      </c>
      <c r="AD444">
        <v>0.15281727837773509</v>
      </c>
      <c r="AE444" t="s">
        <v>137</v>
      </c>
      <c r="AF444" t="s">
        <v>141</v>
      </c>
      <c r="AG444">
        <v>676</v>
      </c>
      <c r="AH444">
        <v>26</v>
      </c>
      <c r="AI444">
        <v>15</v>
      </c>
      <c r="AJ444">
        <v>21</v>
      </c>
      <c r="AK444">
        <v>26.1</v>
      </c>
      <c r="AL444">
        <v>3</v>
      </c>
      <c r="AM444">
        <v>13105</v>
      </c>
      <c r="AN444">
        <v>84</v>
      </c>
      <c r="AO444">
        <v>82</v>
      </c>
      <c r="AP444">
        <v>81</v>
      </c>
      <c r="AQ444">
        <v>5</v>
      </c>
      <c r="AR444" t="s">
        <v>28</v>
      </c>
      <c r="AS444" t="s">
        <v>151</v>
      </c>
      <c r="AT444" t="s">
        <v>141</v>
      </c>
      <c r="AU444">
        <v>111.8</v>
      </c>
      <c r="AV444">
        <v>27</v>
      </c>
      <c r="AW444">
        <v>8</v>
      </c>
      <c r="AX444">
        <v>4</v>
      </c>
      <c r="AY444">
        <v>28.3</v>
      </c>
      <c r="AZ444">
        <v>116</v>
      </c>
      <c r="BA444">
        <v>4556</v>
      </c>
      <c r="BB444">
        <v>79</v>
      </c>
      <c r="BC444">
        <v>76</v>
      </c>
      <c r="BD444">
        <v>75</v>
      </c>
      <c r="BE444">
        <v>4</v>
      </c>
      <c r="BF444" t="s">
        <v>29</v>
      </c>
      <c r="BG444">
        <v>64</v>
      </c>
      <c r="BH444">
        <v>83</v>
      </c>
      <c r="BI444">
        <v>0.72199999999999998</v>
      </c>
      <c r="BJ444" t="s">
        <v>270</v>
      </c>
      <c r="BK444">
        <v>0.62960000000000005</v>
      </c>
      <c r="BL444">
        <v>0.28889999999999999</v>
      </c>
      <c r="BM444">
        <v>2.2599999999999998</v>
      </c>
      <c r="BN444">
        <v>1.36</v>
      </c>
    </row>
    <row r="445" spans="1:66" x14ac:dyDescent="0.25">
      <c r="A445">
        <v>1</v>
      </c>
      <c r="B445">
        <v>2</v>
      </c>
      <c r="C445">
        <v>0</v>
      </c>
      <c r="D445">
        <v>1.78</v>
      </c>
      <c r="E445">
        <v>3.6833333333333336</v>
      </c>
      <c r="F445">
        <v>4.6833333333333336</v>
      </c>
      <c r="G445" s="40">
        <v>0.53</v>
      </c>
      <c r="H445" s="40">
        <v>0.3</v>
      </c>
      <c r="I445" s="40">
        <v>0.16999999999999998</v>
      </c>
      <c r="J445">
        <v>1.76</v>
      </c>
      <c r="K445">
        <v>3.85</v>
      </c>
      <c r="L445">
        <v>4.7</v>
      </c>
      <c r="M445">
        <v>1.8</v>
      </c>
      <c r="N445">
        <v>3.55</v>
      </c>
      <c r="O445">
        <v>4.5</v>
      </c>
      <c r="P445">
        <v>1.78</v>
      </c>
      <c r="Q445">
        <v>3.65</v>
      </c>
      <c r="R445">
        <v>4.8499999999999996</v>
      </c>
      <c r="S445">
        <v>0.57400137436469645</v>
      </c>
      <c r="T445">
        <v>0.21105343012852348</v>
      </c>
      <c r="U445">
        <v>0.21494519550677993</v>
      </c>
      <c r="V445">
        <v>0.52437223042836045</v>
      </c>
      <c r="W445">
        <v>0.26587887740029542</v>
      </c>
      <c r="X445">
        <v>0.20974889217134415</v>
      </c>
      <c r="Y445">
        <v>0.53917612122135072</v>
      </c>
      <c r="Z445">
        <v>0.26294068377369983</v>
      </c>
      <c r="AA445">
        <v>0.19788319500494939</v>
      </c>
      <c r="AB445">
        <v>0.54584990867146921</v>
      </c>
      <c r="AC445">
        <v>0.24662433043417289</v>
      </c>
      <c r="AD445">
        <v>0.20752576089435781</v>
      </c>
      <c r="AE445" t="s">
        <v>152</v>
      </c>
      <c r="AF445" t="s">
        <v>141</v>
      </c>
      <c r="AG445">
        <v>223.4</v>
      </c>
      <c r="AH445">
        <v>28</v>
      </c>
      <c r="AI445">
        <v>11</v>
      </c>
      <c r="AJ445">
        <v>11</v>
      </c>
      <c r="AK445">
        <v>28.5</v>
      </c>
      <c r="AL445">
        <v>125</v>
      </c>
      <c r="AM445">
        <v>4257</v>
      </c>
      <c r="AN445">
        <v>79</v>
      </c>
      <c r="AO445">
        <v>79</v>
      </c>
      <c r="AP445">
        <v>78</v>
      </c>
      <c r="AQ445">
        <v>4</v>
      </c>
      <c r="AR445" t="s">
        <v>29</v>
      </c>
      <c r="AS445" t="s">
        <v>145</v>
      </c>
      <c r="AT445" t="s">
        <v>141</v>
      </c>
      <c r="AU445">
        <v>159.44999999999999</v>
      </c>
      <c r="AV445">
        <v>25</v>
      </c>
      <c r="AW445">
        <v>13</v>
      </c>
      <c r="AX445">
        <v>9</v>
      </c>
      <c r="AY445">
        <v>27.1</v>
      </c>
      <c r="AZ445">
        <v>27</v>
      </c>
      <c r="BA445">
        <v>7881</v>
      </c>
      <c r="BB445">
        <v>77</v>
      </c>
      <c r="BC445">
        <v>78</v>
      </c>
      <c r="BD445">
        <v>77</v>
      </c>
      <c r="BE445">
        <v>4</v>
      </c>
      <c r="BF445" t="s">
        <v>46</v>
      </c>
      <c r="BG445">
        <v>2</v>
      </c>
      <c r="BH445">
        <v>45</v>
      </c>
      <c r="BI445">
        <v>0.375</v>
      </c>
      <c r="BJ445" t="s">
        <v>270</v>
      </c>
      <c r="BK445">
        <v>0.4884</v>
      </c>
      <c r="BL445">
        <v>0.25</v>
      </c>
      <c r="BM445">
        <v>1.42</v>
      </c>
      <c r="BN445">
        <v>0.75</v>
      </c>
    </row>
    <row r="446" spans="1:66" x14ac:dyDescent="0.25">
      <c r="A446">
        <v>1</v>
      </c>
      <c r="B446">
        <v>1</v>
      </c>
      <c r="C446">
        <v>1</v>
      </c>
      <c r="D446">
        <v>1.6633333333333331</v>
      </c>
      <c r="E446">
        <v>4.0333333333333332</v>
      </c>
      <c r="F446">
        <v>5.05</v>
      </c>
      <c r="G446" s="40">
        <v>0.31</v>
      </c>
      <c r="H446" s="40">
        <v>0.43</v>
      </c>
      <c r="I446" s="40">
        <v>0.25999999999999995</v>
      </c>
      <c r="J446">
        <v>1.66</v>
      </c>
      <c r="K446">
        <v>3.95</v>
      </c>
      <c r="L446">
        <v>5.4</v>
      </c>
      <c r="M446">
        <v>1.68</v>
      </c>
      <c r="N446">
        <v>4.0999999999999996</v>
      </c>
      <c r="O446">
        <v>4.5</v>
      </c>
      <c r="P446">
        <v>1.65</v>
      </c>
      <c r="Q446">
        <v>4.05</v>
      </c>
      <c r="R446">
        <v>5.25</v>
      </c>
      <c r="S446">
        <v>0.61288549185124763</v>
      </c>
      <c r="T446">
        <v>0.19870896806114663</v>
      </c>
      <c r="U446">
        <v>0.18840554008760574</v>
      </c>
      <c r="V446">
        <v>0.56082436622287068</v>
      </c>
      <c r="W446">
        <v>0.22980120372059093</v>
      </c>
      <c r="X446">
        <v>0.20937443005653839</v>
      </c>
      <c r="Y446">
        <v>0.58082360172095882</v>
      </c>
      <c r="Z446">
        <v>0.2366318377381684</v>
      </c>
      <c r="AA446">
        <v>0.18254456054087273</v>
      </c>
      <c r="AB446">
        <v>0.58484448659835897</v>
      </c>
      <c r="AC446">
        <v>0.22171400317330195</v>
      </c>
      <c r="AD446">
        <v>0.19344151022833897</v>
      </c>
      <c r="AE446" t="s">
        <v>153</v>
      </c>
      <c r="AF446" t="s">
        <v>141</v>
      </c>
      <c r="AG446">
        <v>143.80000000000001</v>
      </c>
      <c r="AH446">
        <v>21</v>
      </c>
      <c r="AI446">
        <v>9</v>
      </c>
      <c r="AJ446">
        <v>8</v>
      </c>
      <c r="AK446">
        <v>28</v>
      </c>
      <c r="AL446">
        <v>138</v>
      </c>
      <c r="AM446">
        <v>4059</v>
      </c>
      <c r="AN446">
        <v>80</v>
      </c>
      <c r="AO446">
        <v>75</v>
      </c>
      <c r="AP446">
        <v>75</v>
      </c>
      <c r="AQ446">
        <v>4</v>
      </c>
      <c r="AR446" t="s">
        <v>29</v>
      </c>
      <c r="AS446" t="s">
        <v>150</v>
      </c>
      <c r="AT446" t="s">
        <v>141</v>
      </c>
      <c r="AU446">
        <v>88.35</v>
      </c>
      <c r="AV446">
        <v>25</v>
      </c>
      <c r="AW446">
        <v>11</v>
      </c>
      <c r="AX446">
        <v>6</v>
      </c>
      <c r="AY446">
        <v>28.4</v>
      </c>
      <c r="AZ446">
        <v>103</v>
      </c>
      <c r="BA446">
        <v>4803</v>
      </c>
      <c r="BB446">
        <v>77</v>
      </c>
      <c r="BC446">
        <v>78</v>
      </c>
      <c r="BD446">
        <v>77</v>
      </c>
      <c r="BE446">
        <v>4</v>
      </c>
      <c r="BF446" t="s">
        <v>46</v>
      </c>
      <c r="BG446">
        <v>7</v>
      </c>
      <c r="BH446">
        <v>59</v>
      </c>
      <c r="BI446">
        <v>0.34100000000000003</v>
      </c>
      <c r="BJ446" t="s">
        <v>270</v>
      </c>
      <c r="BK446">
        <v>0.375</v>
      </c>
      <c r="BL446">
        <v>0.43099999999999999</v>
      </c>
      <c r="BM446">
        <v>1.55</v>
      </c>
      <c r="BN446">
        <v>1.43</v>
      </c>
    </row>
    <row r="447" spans="1:66" x14ac:dyDescent="0.25">
      <c r="A447">
        <v>3</v>
      </c>
      <c r="B447">
        <v>-3</v>
      </c>
      <c r="C447">
        <v>3</v>
      </c>
      <c r="D447">
        <v>3.1999999999999997</v>
      </c>
      <c r="E447">
        <v>3.35</v>
      </c>
      <c r="F447">
        <v>2.2600000000000002</v>
      </c>
      <c r="G447" s="40">
        <v>0.18</v>
      </c>
      <c r="H447" s="40">
        <v>0.27</v>
      </c>
      <c r="I447" s="40">
        <v>0.55000000000000004</v>
      </c>
      <c r="J447">
        <v>3.15</v>
      </c>
      <c r="K447">
        <v>3.35</v>
      </c>
      <c r="L447">
        <v>2.16</v>
      </c>
      <c r="M447">
        <v>3.25</v>
      </c>
      <c r="N447">
        <v>3.4</v>
      </c>
      <c r="O447">
        <v>2.2999999999999998</v>
      </c>
      <c r="P447">
        <v>3.2</v>
      </c>
      <c r="Q447">
        <v>3.3</v>
      </c>
      <c r="R447">
        <v>2.3199999999999998</v>
      </c>
      <c r="S447">
        <v>0.30290816154201244</v>
      </c>
      <c r="T447">
        <v>0.25535076954255292</v>
      </c>
      <c r="U447">
        <v>0.44174106891543474</v>
      </c>
      <c r="V447">
        <v>0.29683051812488137</v>
      </c>
      <c r="W447">
        <v>0.28373505408996014</v>
      </c>
      <c r="X447">
        <v>0.41943442778515844</v>
      </c>
      <c r="Y447">
        <v>0.29859594383775345</v>
      </c>
      <c r="Z447">
        <v>0.28954758190327606</v>
      </c>
      <c r="AA447">
        <v>0.41185647425897032</v>
      </c>
      <c r="AB447">
        <v>0.29944487450154905</v>
      </c>
      <c r="AC447">
        <v>0.27621113517859636</v>
      </c>
      <c r="AD447">
        <v>0.42434399031985448</v>
      </c>
      <c r="AE447" t="s">
        <v>35</v>
      </c>
      <c r="AF447" t="s">
        <v>23</v>
      </c>
      <c r="AG447">
        <v>93.2</v>
      </c>
      <c r="AH447">
        <v>28</v>
      </c>
      <c r="AI447">
        <v>13</v>
      </c>
      <c r="AJ447">
        <v>9</v>
      </c>
      <c r="AK447">
        <v>23.9</v>
      </c>
      <c r="AL447">
        <v>169</v>
      </c>
      <c r="AM447">
        <v>3749</v>
      </c>
      <c r="AN447">
        <v>74</v>
      </c>
      <c r="AO447">
        <v>74</v>
      </c>
      <c r="AP447">
        <v>73</v>
      </c>
      <c r="AQ447">
        <v>3.5</v>
      </c>
      <c r="AR447" t="s">
        <v>29</v>
      </c>
      <c r="AS447" t="s">
        <v>40</v>
      </c>
      <c r="AT447" t="s">
        <v>23</v>
      </c>
      <c r="AU447">
        <v>218.25</v>
      </c>
      <c r="AV447">
        <v>26</v>
      </c>
      <c r="AW447">
        <v>17</v>
      </c>
      <c r="AX447">
        <v>8</v>
      </c>
      <c r="AY447">
        <v>24.1</v>
      </c>
      <c r="AZ447">
        <v>255</v>
      </c>
      <c r="BA447">
        <v>2803</v>
      </c>
      <c r="BB447">
        <v>77</v>
      </c>
      <c r="BC447">
        <v>74</v>
      </c>
      <c r="BD447">
        <v>73</v>
      </c>
      <c r="BE447">
        <v>4</v>
      </c>
      <c r="BF447" t="s">
        <v>28</v>
      </c>
      <c r="BG447">
        <v>8</v>
      </c>
      <c r="BH447">
        <v>93</v>
      </c>
      <c r="BI447">
        <v>0.435</v>
      </c>
      <c r="BJ447" t="s">
        <v>266</v>
      </c>
      <c r="BK447">
        <v>0.30769999999999997</v>
      </c>
      <c r="BL447">
        <v>0.36959999999999998</v>
      </c>
      <c r="BM447">
        <v>1.08</v>
      </c>
      <c r="BN447">
        <v>1.33</v>
      </c>
    </row>
    <row r="448" spans="1:66" x14ac:dyDescent="0.25">
      <c r="A448">
        <v>3</v>
      </c>
      <c r="B448">
        <v>-1</v>
      </c>
      <c r="C448">
        <v>3</v>
      </c>
      <c r="D448">
        <v>2.8149999999999999</v>
      </c>
      <c r="E448">
        <v>3.1666666666666665</v>
      </c>
      <c r="F448">
        <v>2.6150000000000002</v>
      </c>
      <c r="G448" s="40">
        <v>0.39</v>
      </c>
      <c r="H448" s="40">
        <v>0.36</v>
      </c>
      <c r="I448" s="40">
        <v>0.25</v>
      </c>
      <c r="J448">
        <v>2.75</v>
      </c>
      <c r="K448">
        <v>3.1</v>
      </c>
      <c r="L448">
        <v>2.6</v>
      </c>
      <c r="M448">
        <v>2.875</v>
      </c>
      <c r="N448">
        <v>3.2</v>
      </c>
      <c r="O448">
        <v>2.625</v>
      </c>
      <c r="P448">
        <v>2.82</v>
      </c>
      <c r="Q448">
        <v>3.2</v>
      </c>
      <c r="R448">
        <v>2.62</v>
      </c>
      <c r="S448">
        <v>0.34933639193839094</v>
      </c>
      <c r="T448">
        <v>0.28117319351138792</v>
      </c>
      <c r="U448">
        <v>0.36949041455022119</v>
      </c>
      <c r="V448">
        <v>0.33403752951410465</v>
      </c>
      <c r="W448">
        <v>0.30011184292282839</v>
      </c>
      <c r="X448">
        <v>0.36585062756306697</v>
      </c>
      <c r="Y448">
        <v>0.33811359713506806</v>
      </c>
      <c r="Z448">
        <v>0.2979626074752787</v>
      </c>
      <c r="AA448">
        <v>0.36392379538965336</v>
      </c>
      <c r="AB448">
        <v>0.34049583952918788</v>
      </c>
      <c r="AC448">
        <v>0.29308254796983163</v>
      </c>
      <c r="AD448">
        <v>0.36642161250098049</v>
      </c>
      <c r="AE448" t="s">
        <v>36</v>
      </c>
      <c r="AF448" t="s">
        <v>23</v>
      </c>
      <c r="AG448">
        <v>87.7</v>
      </c>
      <c r="AH448">
        <v>27</v>
      </c>
      <c r="AI448">
        <v>15</v>
      </c>
      <c r="AJ448">
        <v>6</v>
      </c>
      <c r="AK448">
        <v>26</v>
      </c>
      <c r="AL448">
        <v>180</v>
      </c>
      <c r="AM448">
        <v>3627</v>
      </c>
      <c r="AN448">
        <v>75</v>
      </c>
      <c r="AO448">
        <v>73</v>
      </c>
      <c r="AP448">
        <v>74</v>
      </c>
      <c r="AQ448">
        <v>3.5</v>
      </c>
      <c r="AR448" t="s">
        <v>29</v>
      </c>
      <c r="AS448" t="s">
        <v>33</v>
      </c>
      <c r="AT448" t="s">
        <v>23</v>
      </c>
      <c r="AU448">
        <v>272</v>
      </c>
      <c r="AV448">
        <v>26</v>
      </c>
      <c r="AW448">
        <v>20</v>
      </c>
      <c r="AX448">
        <v>12</v>
      </c>
      <c r="AY448">
        <v>25.4</v>
      </c>
      <c r="AZ448">
        <v>131</v>
      </c>
      <c r="BA448">
        <v>4207</v>
      </c>
      <c r="BB448">
        <v>78</v>
      </c>
      <c r="BC448">
        <v>78</v>
      </c>
      <c r="BD448">
        <v>78</v>
      </c>
      <c r="BE448">
        <v>4</v>
      </c>
      <c r="BF448" t="s">
        <v>29</v>
      </c>
      <c r="BG448">
        <v>0</v>
      </c>
      <c r="BH448">
        <v>72</v>
      </c>
      <c r="BI448">
        <v>0.373</v>
      </c>
      <c r="BJ448" t="s">
        <v>266</v>
      </c>
      <c r="BK448">
        <v>0.28210000000000002</v>
      </c>
      <c r="BL448">
        <v>0.59179999999999999</v>
      </c>
      <c r="BM448">
        <v>1.26</v>
      </c>
      <c r="BN448">
        <v>1.71</v>
      </c>
    </row>
    <row r="449" spans="1:66" x14ac:dyDescent="0.25">
      <c r="A449">
        <v>1</v>
      </c>
      <c r="B449">
        <v>2</v>
      </c>
      <c r="C449">
        <v>2</v>
      </c>
      <c r="D449">
        <v>1.21</v>
      </c>
      <c r="E449">
        <v>6.8666666666666671</v>
      </c>
      <c r="F449">
        <v>12.416666666666666</v>
      </c>
      <c r="G449" s="40">
        <v>0.55000000000000004</v>
      </c>
      <c r="H449" s="40">
        <v>0.31</v>
      </c>
      <c r="I449" s="40">
        <v>0.13999999999999996</v>
      </c>
      <c r="J449">
        <v>1.2</v>
      </c>
      <c r="K449">
        <v>6.5</v>
      </c>
      <c r="L449">
        <v>11</v>
      </c>
      <c r="M449">
        <v>1.2</v>
      </c>
      <c r="N449">
        <v>7</v>
      </c>
      <c r="O449">
        <v>15</v>
      </c>
      <c r="P449">
        <v>1.23</v>
      </c>
      <c r="Q449">
        <v>7.1</v>
      </c>
      <c r="R449">
        <v>11.25</v>
      </c>
      <c r="S449">
        <v>0.81542473559665807</v>
      </c>
      <c r="T449">
        <v>9.5619838701888227E-2</v>
      </c>
      <c r="U449">
        <v>8.8955425701453608E-2</v>
      </c>
      <c r="V449">
        <v>0.79908675799086759</v>
      </c>
      <c r="W449">
        <v>0.13698630136986301</v>
      </c>
      <c r="X449">
        <v>6.3926940639269417E-2</v>
      </c>
      <c r="Y449">
        <v>0.77968285576233209</v>
      </c>
      <c r="Z449">
        <v>0.1350718186743195</v>
      </c>
      <c r="AA449">
        <v>8.5245325563348295E-2</v>
      </c>
      <c r="AB449">
        <v>0.79806478311661921</v>
      </c>
      <c r="AC449">
        <v>0.12255931958202358</v>
      </c>
      <c r="AD449">
        <v>7.9375897301357093E-2</v>
      </c>
      <c r="AE449" t="s">
        <v>10</v>
      </c>
      <c r="AF449" t="s">
        <v>23</v>
      </c>
      <c r="AG449">
        <v>997.75</v>
      </c>
      <c r="AH449">
        <v>35</v>
      </c>
      <c r="AI449">
        <v>24</v>
      </c>
      <c r="AJ449">
        <v>19</v>
      </c>
      <c r="AK449">
        <v>26.1</v>
      </c>
      <c r="AL449">
        <v>12</v>
      </c>
      <c r="AM449">
        <v>9495</v>
      </c>
      <c r="AN449">
        <v>87</v>
      </c>
      <c r="AO449">
        <v>82</v>
      </c>
      <c r="AP449">
        <v>82</v>
      </c>
      <c r="AQ449">
        <v>5</v>
      </c>
      <c r="AR449" t="s">
        <v>28</v>
      </c>
      <c r="AS449" t="s">
        <v>38</v>
      </c>
      <c r="AT449" t="s">
        <v>23</v>
      </c>
      <c r="AU449">
        <v>88.7</v>
      </c>
      <c r="AV449">
        <v>24</v>
      </c>
      <c r="AW449">
        <v>10</v>
      </c>
      <c r="AX449">
        <v>5</v>
      </c>
      <c r="AY449">
        <v>25.1</v>
      </c>
      <c r="AZ449">
        <v>228</v>
      </c>
      <c r="BA449">
        <v>3029</v>
      </c>
      <c r="BB449">
        <v>80</v>
      </c>
      <c r="BC449">
        <v>76</v>
      </c>
      <c r="BD449">
        <v>73</v>
      </c>
      <c r="BE449">
        <v>4</v>
      </c>
      <c r="BF449" t="s">
        <v>29</v>
      </c>
      <c r="BG449">
        <v>41</v>
      </c>
      <c r="BH449">
        <v>109</v>
      </c>
      <c r="BI449">
        <v>0.45500000000000002</v>
      </c>
      <c r="BJ449" t="s">
        <v>266</v>
      </c>
      <c r="BK449">
        <v>0.66669999999999996</v>
      </c>
      <c r="BL449">
        <v>0.41860000000000003</v>
      </c>
      <c r="BM449">
        <v>2.21</v>
      </c>
      <c r="BN449">
        <v>1.6</v>
      </c>
    </row>
    <row r="450" spans="1:66" x14ac:dyDescent="0.25">
      <c r="A450">
        <v>2</v>
      </c>
      <c r="B450">
        <v>0</v>
      </c>
      <c r="C450">
        <v>2</v>
      </c>
      <c r="D450">
        <v>3.3166666666666664</v>
      </c>
      <c r="E450">
        <v>3.4666666666666668</v>
      </c>
      <c r="F450">
        <v>2.1433333333333331</v>
      </c>
      <c r="G450" s="40">
        <v>0.32</v>
      </c>
      <c r="H450" s="40">
        <v>0.39</v>
      </c>
      <c r="I450" s="40">
        <v>0.28999999999999992</v>
      </c>
      <c r="J450">
        <v>3.25</v>
      </c>
      <c r="K450">
        <v>3.4</v>
      </c>
      <c r="L450">
        <v>2.1</v>
      </c>
      <c r="M450">
        <v>3.4</v>
      </c>
      <c r="N450">
        <v>3.5</v>
      </c>
      <c r="O450">
        <v>2.15</v>
      </c>
      <c r="P450">
        <v>3.3</v>
      </c>
      <c r="Q450">
        <v>3.5</v>
      </c>
      <c r="R450">
        <v>2.1800000000000002</v>
      </c>
      <c r="S450">
        <v>0.29419141712293151</v>
      </c>
      <c r="T450">
        <v>0.25051234209157924</v>
      </c>
      <c r="U450">
        <v>0.45529624078548914</v>
      </c>
      <c r="V450">
        <v>0.28146624275294557</v>
      </c>
      <c r="W450">
        <v>0.27342435010286142</v>
      </c>
      <c r="X450">
        <v>0.445109407144193</v>
      </c>
      <c r="Y450">
        <v>0.2893000682490332</v>
      </c>
      <c r="Z450">
        <v>0.27276863577765986</v>
      </c>
      <c r="AA450">
        <v>0.43793129597330704</v>
      </c>
      <c r="AB450">
        <v>0.28831924270830339</v>
      </c>
      <c r="AC450">
        <v>0.26556844265736684</v>
      </c>
      <c r="AD450">
        <v>0.44611231463432971</v>
      </c>
      <c r="AE450" t="s">
        <v>44</v>
      </c>
      <c r="AF450" t="s">
        <v>23</v>
      </c>
      <c r="AG450">
        <v>87.7</v>
      </c>
      <c r="AH450">
        <v>29</v>
      </c>
      <c r="AI450">
        <v>16</v>
      </c>
      <c r="AJ450">
        <v>10</v>
      </c>
      <c r="AK450">
        <v>25.1</v>
      </c>
      <c r="AL450">
        <v>326</v>
      </c>
      <c r="AM450">
        <v>2298</v>
      </c>
      <c r="AN450">
        <v>74</v>
      </c>
      <c r="AO450">
        <v>73</v>
      </c>
      <c r="AP450">
        <v>72</v>
      </c>
      <c r="AQ450">
        <v>3.5</v>
      </c>
      <c r="AR450" t="s">
        <v>29</v>
      </c>
      <c r="AS450" t="s">
        <v>32</v>
      </c>
      <c r="AT450" t="s">
        <v>23</v>
      </c>
      <c r="AU450">
        <v>189.65</v>
      </c>
      <c r="AV450">
        <v>29</v>
      </c>
      <c r="AW450">
        <v>11</v>
      </c>
      <c r="AX450">
        <v>7</v>
      </c>
      <c r="AY450">
        <v>23.6</v>
      </c>
      <c r="AZ450">
        <v>102</v>
      </c>
      <c r="BA450">
        <v>4815</v>
      </c>
      <c r="BB450">
        <v>75</v>
      </c>
      <c r="BC450">
        <v>76</v>
      </c>
      <c r="BD450">
        <v>76</v>
      </c>
      <c r="BE450">
        <v>4</v>
      </c>
      <c r="BF450" t="s">
        <v>29</v>
      </c>
      <c r="BG450">
        <v>14</v>
      </c>
      <c r="BH450">
        <v>140</v>
      </c>
      <c r="BI450">
        <v>0.41499999999999998</v>
      </c>
      <c r="BJ450" t="s">
        <v>266</v>
      </c>
      <c r="BK450">
        <v>0.33329999999999999</v>
      </c>
      <c r="BL450">
        <v>0.35560000000000003</v>
      </c>
      <c r="BM450">
        <v>1.08</v>
      </c>
      <c r="BN450">
        <v>1.24</v>
      </c>
    </row>
    <row r="451" spans="1:66" x14ac:dyDescent="0.25">
      <c r="A451">
        <v>3</v>
      </c>
      <c r="B451">
        <v>-1</v>
      </c>
      <c r="C451">
        <v>3</v>
      </c>
      <c r="D451">
        <v>2.0066666666666664</v>
      </c>
      <c r="E451">
        <v>3.4666666666666668</v>
      </c>
      <c r="F451">
        <v>3.7333333333333329</v>
      </c>
      <c r="G451" s="40">
        <v>0.28000000000000003</v>
      </c>
      <c r="H451" s="40">
        <v>0.46</v>
      </c>
      <c r="I451" s="40">
        <v>0.25999999999999995</v>
      </c>
      <c r="J451">
        <v>2</v>
      </c>
      <c r="K451">
        <v>3.4</v>
      </c>
      <c r="L451">
        <v>3.55</v>
      </c>
      <c r="M451">
        <v>2</v>
      </c>
      <c r="N451">
        <v>3.5</v>
      </c>
      <c r="O451">
        <v>3.85</v>
      </c>
      <c r="P451">
        <v>2.02</v>
      </c>
      <c r="Q451">
        <v>3.5</v>
      </c>
      <c r="R451">
        <v>3.8</v>
      </c>
      <c r="S451">
        <v>0.48113893493877791</v>
      </c>
      <c r="T451">
        <v>0.24779687636331912</v>
      </c>
      <c r="U451">
        <v>0.27106418869790305</v>
      </c>
      <c r="V451">
        <v>0.47826086956521735</v>
      </c>
      <c r="W451">
        <v>0.27329192546583847</v>
      </c>
      <c r="X451">
        <v>0.24844720496894407</v>
      </c>
      <c r="Y451">
        <v>0.47422092276973543</v>
      </c>
      <c r="Z451">
        <v>0.27369321828424731</v>
      </c>
      <c r="AA451">
        <v>0.25208585894601726</v>
      </c>
      <c r="AB451">
        <v>0.47787357575791023</v>
      </c>
      <c r="AC451">
        <v>0.26492734003780166</v>
      </c>
      <c r="AD451">
        <v>0.25719908420428811</v>
      </c>
      <c r="AE451" t="s">
        <v>45</v>
      </c>
      <c r="AF451" t="s">
        <v>23</v>
      </c>
      <c r="AG451">
        <v>88.3</v>
      </c>
      <c r="AH451">
        <v>26</v>
      </c>
      <c r="AI451">
        <v>7</v>
      </c>
      <c r="AJ451">
        <v>4</v>
      </c>
      <c r="AK451">
        <v>25.1</v>
      </c>
      <c r="AL451">
        <v>347</v>
      </c>
      <c r="AM451">
        <v>2156</v>
      </c>
      <c r="AN451">
        <v>72</v>
      </c>
      <c r="AO451">
        <v>73</v>
      </c>
      <c r="AP451">
        <v>72</v>
      </c>
      <c r="AQ451">
        <v>3.5</v>
      </c>
      <c r="AR451" t="s">
        <v>29</v>
      </c>
      <c r="AS451" t="s">
        <v>48</v>
      </c>
      <c r="AT451" t="s">
        <v>23</v>
      </c>
      <c r="AU451">
        <v>85.63</v>
      </c>
      <c r="AV451">
        <v>28</v>
      </c>
      <c r="AW451">
        <v>16</v>
      </c>
      <c r="AX451">
        <v>8</v>
      </c>
      <c r="AY451">
        <v>25</v>
      </c>
      <c r="AZ451">
        <v>426</v>
      </c>
      <c r="BA451">
        <v>1736</v>
      </c>
      <c r="BB451">
        <v>70</v>
      </c>
      <c r="BC451">
        <v>70</v>
      </c>
      <c r="BD451">
        <v>73</v>
      </c>
      <c r="BE451">
        <v>3.5</v>
      </c>
      <c r="BF451" t="s">
        <v>46</v>
      </c>
      <c r="BG451">
        <v>-10</v>
      </c>
      <c r="BH451">
        <v>42</v>
      </c>
      <c r="BI451">
        <v>0.27</v>
      </c>
      <c r="BJ451" t="s">
        <v>266</v>
      </c>
      <c r="BK451">
        <v>0.3</v>
      </c>
      <c r="BL451">
        <v>0.34150000000000003</v>
      </c>
      <c r="BM451">
        <v>1.3</v>
      </c>
      <c r="BN451">
        <v>1.22</v>
      </c>
    </row>
    <row r="452" spans="1:66" x14ac:dyDescent="0.25">
      <c r="A452">
        <v>1</v>
      </c>
      <c r="B452">
        <v>2</v>
      </c>
      <c r="C452">
        <v>4</v>
      </c>
      <c r="D452">
        <v>2.56</v>
      </c>
      <c r="E452">
        <v>3.15</v>
      </c>
      <c r="F452">
        <v>2.9033333333333338</v>
      </c>
      <c r="G452" s="40">
        <v>0.25</v>
      </c>
      <c r="H452" s="40">
        <v>0.38</v>
      </c>
      <c r="I452" s="40">
        <v>0.37</v>
      </c>
      <c r="J452">
        <v>2.5499999999999998</v>
      </c>
      <c r="K452">
        <v>3.1</v>
      </c>
      <c r="L452">
        <v>2.75</v>
      </c>
      <c r="M452">
        <v>2.5499999999999998</v>
      </c>
      <c r="N452">
        <v>3.2</v>
      </c>
      <c r="O452">
        <v>3</v>
      </c>
      <c r="P452">
        <v>2.58</v>
      </c>
      <c r="Q452">
        <v>3.15</v>
      </c>
      <c r="R452">
        <v>2.96</v>
      </c>
      <c r="S452">
        <v>0.37351443123938877</v>
      </c>
      <c r="T452">
        <v>0.28013582342954152</v>
      </c>
      <c r="U452">
        <v>0.3463497453310696</v>
      </c>
      <c r="V452">
        <v>0.37780401416765058</v>
      </c>
      <c r="W452">
        <v>0.30106257378984652</v>
      </c>
      <c r="X452">
        <v>0.32113341204250295</v>
      </c>
      <c r="Y452">
        <v>0.37165474852318653</v>
      </c>
      <c r="Z452">
        <v>0.30440293688565756</v>
      </c>
      <c r="AA452">
        <v>0.32394231459115586</v>
      </c>
      <c r="AB452">
        <v>0.37432439797674194</v>
      </c>
      <c r="AC452">
        <v>0.29520044470168183</v>
      </c>
      <c r="AD452">
        <v>0.33047515732157612</v>
      </c>
      <c r="AE452" t="s">
        <v>37</v>
      </c>
      <c r="AF452" t="s">
        <v>23</v>
      </c>
      <c r="AG452">
        <v>90.78</v>
      </c>
      <c r="AH452">
        <v>27</v>
      </c>
      <c r="AI452">
        <v>19</v>
      </c>
      <c r="AJ452">
        <v>10</v>
      </c>
      <c r="AK452">
        <v>24.4</v>
      </c>
      <c r="AL452">
        <v>223</v>
      </c>
      <c r="AM452">
        <v>3054</v>
      </c>
      <c r="AN452">
        <v>73</v>
      </c>
      <c r="AO452">
        <v>73</v>
      </c>
      <c r="AP452">
        <v>74</v>
      </c>
      <c r="AQ452">
        <v>3.5</v>
      </c>
      <c r="AR452" t="s">
        <v>29</v>
      </c>
      <c r="AS452" t="s">
        <v>39</v>
      </c>
      <c r="AT452" t="s">
        <v>23</v>
      </c>
      <c r="AU452">
        <v>87.45</v>
      </c>
      <c r="AV452">
        <v>29</v>
      </c>
      <c r="AW452">
        <v>14</v>
      </c>
      <c r="AX452">
        <v>7</v>
      </c>
      <c r="AY452">
        <v>26.2</v>
      </c>
      <c r="AZ452">
        <v>229</v>
      </c>
      <c r="BA452">
        <v>3029</v>
      </c>
      <c r="BB452">
        <v>71</v>
      </c>
      <c r="BC452">
        <v>73</v>
      </c>
      <c r="BD452">
        <v>73</v>
      </c>
      <c r="BE452">
        <v>3.5</v>
      </c>
      <c r="BF452" t="s">
        <v>29</v>
      </c>
      <c r="BG452">
        <v>-3</v>
      </c>
      <c r="BH452">
        <v>27</v>
      </c>
      <c r="BI452">
        <v>0.36799999999999999</v>
      </c>
      <c r="BJ452" t="s">
        <v>266</v>
      </c>
      <c r="BK452">
        <v>0.24390000000000001</v>
      </c>
      <c r="BL452">
        <v>0.24390000000000001</v>
      </c>
      <c r="BM452">
        <v>1.1200000000000001</v>
      </c>
      <c r="BN452">
        <v>1.24</v>
      </c>
    </row>
    <row r="453" spans="1:66" x14ac:dyDescent="0.25">
      <c r="A453">
        <v>2</v>
      </c>
      <c r="B453">
        <v>0</v>
      </c>
      <c r="C453">
        <v>4</v>
      </c>
      <c r="D453">
        <v>1.9866666666666666</v>
      </c>
      <c r="E453">
        <v>3.6666666666666665</v>
      </c>
      <c r="F453">
        <v>3.5833333333333335</v>
      </c>
      <c r="G453" s="40">
        <v>0.45</v>
      </c>
      <c r="H453" s="40">
        <v>0.3</v>
      </c>
      <c r="I453" s="40">
        <v>0.25000000000000006</v>
      </c>
      <c r="J453">
        <v>1.96</v>
      </c>
      <c r="K453">
        <v>3.75</v>
      </c>
      <c r="L453">
        <v>3.5</v>
      </c>
      <c r="M453">
        <v>2</v>
      </c>
      <c r="N453">
        <v>3.6</v>
      </c>
      <c r="O453">
        <v>3.55</v>
      </c>
      <c r="P453">
        <v>2</v>
      </c>
      <c r="Q453">
        <v>3.65</v>
      </c>
      <c r="R453">
        <v>3.7</v>
      </c>
      <c r="S453">
        <v>0.49659738826558769</v>
      </c>
      <c r="T453">
        <v>0.22530807430568328</v>
      </c>
      <c r="U453">
        <v>0.27809453742872908</v>
      </c>
      <c r="V453">
        <v>0.47193500738552435</v>
      </c>
      <c r="W453">
        <v>0.26218611521418017</v>
      </c>
      <c r="X453">
        <v>0.26587887740029542</v>
      </c>
      <c r="Y453">
        <v>0.47881581279914914</v>
      </c>
      <c r="Z453">
        <v>0.26236482893104063</v>
      </c>
      <c r="AA453">
        <v>0.25881935826981034</v>
      </c>
      <c r="AB453">
        <v>0.48244940281675369</v>
      </c>
      <c r="AC453">
        <v>0.24995300615030133</v>
      </c>
      <c r="AD453">
        <v>0.26759759103294495</v>
      </c>
      <c r="AE453" t="s">
        <v>309</v>
      </c>
      <c r="AF453" t="s">
        <v>307</v>
      </c>
      <c r="AG453">
        <v>573.29999999999995</v>
      </c>
      <c r="AH453">
        <v>28</v>
      </c>
      <c r="AI453">
        <v>19</v>
      </c>
      <c r="AJ453">
        <v>20</v>
      </c>
      <c r="AK453">
        <v>28.8</v>
      </c>
      <c r="AL453">
        <v>37</v>
      </c>
      <c r="AM453">
        <v>7235</v>
      </c>
      <c r="AN453">
        <v>83</v>
      </c>
      <c r="AO453">
        <v>81</v>
      </c>
      <c r="AP453">
        <v>83</v>
      </c>
      <c r="AQ453">
        <v>4.5</v>
      </c>
      <c r="AR453" t="s">
        <v>29</v>
      </c>
      <c r="AS453" t="s">
        <v>308</v>
      </c>
      <c r="AT453" t="s">
        <v>307</v>
      </c>
      <c r="AU453">
        <v>415.35</v>
      </c>
      <c r="AV453">
        <v>26</v>
      </c>
      <c r="AW453">
        <v>16</v>
      </c>
      <c r="AX453">
        <v>17</v>
      </c>
      <c r="AY453">
        <v>27.1</v>
      </c>
      <c r="AZ453">
        <v>26</v>
      </c>
      <c r="BA453">
        <v>7928</v>
      </c>
      <c r="BB453">
        <v>82</v>
      </c>
      <c r="BC453">
        <v>79</v>
      </c>
      <c r="BD453">
        <v>78</v>
      </c>
      <c r="BE453">
        <v>4.5</v>
      </c>
      <c r="BF453" t="s">
        <v>29</v>
      </c>
      <c r="BG453">
        <v>112</v>
      </c>
      <c r="BH453">
        <v>250</v>
      </c>
      <c r="BI453">
        <v>0.54100000000000004</v>
      </c>
      <c r="BJ453" t="s">
        <v>322</v>
      </c>
      <c r="BK453">
        <v>0.64580000000000004</v>
      </c>
      <c r="BL453">
        <v>0.56859999999999999</v>
      </c>
      <c r="BM453">
        <v>2.1</v>
      </c>
      <c r="BN453">
        <v>2.1800000000000002</v>
      </c>
    </row>
    <row r="454" spans="1:66" x14ac:dyDescent="0.25">
      <c r="A454">
        <v>1</v>
      </c>
      <c r="B454">
        <v>1</v>
      </c>
      <c r="C454">
        <v>5</v>
      </c>
      <c r="D454">
        <v>1.3533333333333335</v>
      </c>
      <c r="E454">
        <v>5.166666666666667</v>
      </c>
      <c r="F454">
        <v>8.0666666666666664</v>
      </c>
      <c r="G454" s="40">
        <v>0.27</v>
      </c>
      <c r="H454" s="40">
        <v>0.45</v>
      </c>
      <c r="I454" s="40">
        <v>0.27999999999999997</v>
      </c>
      <c r="J454">
        <v>1.33</v>
      </c>
      <c r="K454">
        <v>5.0999999999999996</v>
      </c>
      <c r="L454">
        <v>8.5</v>
      </c>
      <c r="M454">
        <v>1.36</v>
      </c>
      <c r="N454">
        <v>5.25</v>
      </c>
      <c r="O454">
        <v>7.5</v>
      </c>
      <c r="P454">
        <v>1.37</v>
      </c>
      <c r="Q454">
        <v>5.15</v>
      </c>
      <c r="R454">
        <v>8.1999999999999993</v>
      </c>
      <c r="S454">
        <v>0.75074538305480953</v>
      </c>
      <c r="T454">
        <v>0.13178504524367315</v>
      </c>
      <c r="U454">
        <v>0.11746957170151727</v>
      </c>
      <c r="V454">
        <v>0.69426077757207083</v>
      </c>
      <c r="W454">
        <v>0.17984660142819361</v>
      </c>
      <c r="X454">
        <v>0.12589262099973553</v>
      </c>
      <c r="Y454">
        <v>0.69779162088252544</v>
      </c>
      <c r="Z454">
        <v>0.18562612050661359</v>
      </c>
      <c r="AA454">
        <v>0.11658225861086098</v>
      </c>
      <c r="AB454">
        <v>0.71426592716980197</v>
      </c>
      <c r="AC454">
        <v>0.16575258905949344</v>
      </c>
      <c r="AD454">
        <v>0.1199814837707046</v>
      </c>
      <c r="AE454" t="s">
        <v>306</v>
      </c>
      <c r="AF454" t="s">
        <v>307</v>
      </c>
      <c r="AG454">
        <v>640.4</v>
      </c>
      <c r="AH454">
        <v>25</v>
      </c>
      <c r="AI454">
        <v>14</v>
      </c>
      <c r="AJ454">
        <v>20</v>
      </c>
      <c r="AK454">
        <v>27.3</v>
      </c>
      <c r="AL454">
        <v>14</v>
      </c>
      <c r="AM454">
        <v>9319</v>
      </c>
      <c r="AN454">
        <v>87</v>
      </c>
      <c r="AO454">
        <v>81</v>
      </c>
      <c r="AP454">
        <v>83</v>
      </c>
      <c r="AQ454">
        <v>5</v>
      </c>
      <c r="AR454" t="s">
        <v>28</v>
      </c>
      <c r="AS454" t="s">
        <v>321</v>
      </c>
      <c r="AT454" t="s">
        <v>307</v>
      </c>
      <c r="AU454">
        <v>124.8</v>
      </c>
      <c r="AV454">
        <v>27</v>
      </c>
      <c r="AW454">
        <v>12</v>
      </c>
      <c r="AX454">
        <v>8</v>
      </c>
      <c r="AY454">
        <v>27.1</v>
      </c>
      <c r="AZ454">
        <v>279</v>
      </c>
      <c r="BA454">
        <v>2588</v>
      </c>
      <c r="BB454">
        <v>76</v>
      </c>
      <c r="BC454">
        <v>75</v>
      </c>
      <c r="BD454">
        <v>73</v>
      </c>
      <c r="BE454">
        <v>4</v>
      </c>
      <c r="BF454" t="s">
        <v>43</v>
      </c>
      <c r="BG454">
        <v>96</v>
      </c>
      <c r="BH454">
        <v>250</v>
      </c>
      <c r="BI454">
        <v>0.52600000000000002</v>
      </c>
      <c r="BJ454" t="s">
        <v>322</v>
      </c>
      <c r="BK454">
        <v>0.65380000000000005</v>
      </c>
      <c r="BL454">
        <v>0.4</v>
      </c>
      <c r="BM454">
        <v>2.08</v>
      </c>
      <c r="BN454">
        <v>1.35</v>
      </c>
    </row>
    <row r="455" spans="1:66" x14ac:dyDescent="0.25">
      <c r="A455">
        <v>3</v>
      </c>
      <c r="B455">
        <v>-1</v>
      </c>
      <c r="C455">
        <v>1</v>
      </c>
      <c r="D455">
        <v>2.91</v>
      </c>
      <c r="E455">
        <v>3.2833333333333332</v>
      </c>
      <c r="F455">
        <v>2.4500000000000002</v>
      </c>
      <c r="G455" s="40">
        <v>0.28999999999999998</v>
      </c>
      <c r="H455" s="40">
        <v>0.28000000000000003</v>
      </c>
      <c r="I455" s="40">
        <v>0.42999999999999994</v>
      </c>
      <c r="J455">
        <v>2.88</v>
      </c>
      <c r="K455">
        <v>3.3</v>
      </c>
      <c r="L455">
        <v>2.4</v>
      </c>
      <c r="M455">
        <v>2.9</v>
      </c>
      <c r="N455">
        <v>3.25</v>
      </c>
      <c r="O455">
        <v>2.4500000000000002</v>
      </c>
      <c r="P455">
        <v>2.95</v>
      </c>
      <c r="Q455">
        <v>3.3</v>
      </c>
      <c r="R455">
        <v>2.5</v>
      </c>
      <c r="S455">
        <v>0.33479692645444564</v>
      </c>
      <c r="T455">
        <v>0.26344676180021948</v>
      </c>
      <c r="U455">
        <v>0.40175631174533477</v>
      </c>
      <c r="V455">
        <v>0.32509952026130451</v>
      </c>
      <c r="W455">
        <v>0.29008880269470244</v>
      </c>
      <c r="X455">
        <v>0.38481167704399305</v>
      </c>
      <c r="Y455">
        <v>0.32531545741324919</v>
      </c>
      <c r="Z455">
        <v>0.2908123028391168</v>
      </c>
      <c r="AA455">
        <v>0.38387223974763413</v>
      </c>
      <c r="AB455">
        <v>0.32840396804299976</v>
      </c>
      <c r="AC455">
        <v>0.28144928911134626</v>
      </c>
      <c r="AD455">
        <v>0.39014674284565398</v>
      </c>
      <c r="AE455" t="s">
        <v>316</v>
      </c>
      <c r="AF455" t="s">
        <v>307</v>
      </c>
      <c r="AG455">
        <v>101.6</v>
      </c>
      <c r="AH455">
        <v>26</v>
      </c>
      <c r="AI455">
        <v>22</v>
      </c>
      <c r="AJ455">
        <v>5</v>
      </c>
      <c r="AK455">
        <v>27.4</v>
      </c>
      <c r="AL455">
        <v>217</v>
      </c>
      <c r="AM455">
        <v>3100</v>
      </c>
      <c r="AN455">
        <v>76</v>
      </c>
      <c r="AO455">
        <v>75</v>
      </c>
      <c r="AP455">
        <v>72</v>
      </c>
      <c r="AQ455">
        <v>4</v>
      </c>
      <c r="AR455" t="s">
        <v>29</v>
      </c>
      <c r="AS455" t="s">
        <v>320</v>
      </c>
      <c r="AT455" t="s">
        <v>307</v>
      </c>
      <c r="AU455">
        <v>248.8</v>
      </c>
      <c r="AV455">
        <v>26</v>
      </c>
      <c r="AW455">
        <v>16</v>
      </c>
      <c r="AX455">
        <v>14</v>
      </c>
      <c r="AY455">
        <v>26.8</v>
      </c>
      <c r="AZ455">
        <v>268</v>
      </c>
      <c r="BA455">
        <v>2679</v>
      </c>
      <c r="BB455">
        <v>78</v>
      </c>
      <c r="BC455">
        <v>76</v>
      </c>
      <c r="BD455">
        <v>75</v>
      </c>
      <c r="BE455">
        <v>4</v>
      </c>
      <c r="BF455" t="s">
        <v>29</v>
      </c>
      <c r="BG455">
        <v>-61</v>
      </c>
      <c r="BH455">
        <v>97</v>
      </c>
      <c r="BI455">
        <v>0.22500000000000001</v>
      </c>
      <c r="BJ455" t="s">
        <v>322</v>
      </c>
      <c r="BK455">
        <v>0.27500000000000002</v>
      </c>
      <c r="BL455">
        <v>0.26829999999999998</v>
      </c>
      <c r="BM455">
        <v>1.1299999999999999</v>
      </c>
      <c r="BN455">
        <v>1.24</v>
      </c>
    </row>
    <row r="456" spans="1:66" x14ac:dyDescent="0.25">
      <c r="A456">
        <v>1</v>
      </c>
      <c r="B456">
        <v>1</v>
      </c>
      <c r="C456">
        <v>5</v>
      </c>
      <c r="D456">
        <v>2.61</v>
      </c>
      <c r="E456">
        <v>3.4333333333333336</v>
      </c>
      <c r="F456">
        <v>2.6166666666666667</v>
      </c>
      <c r="G456" s="40">
        <v>0.32</v>
      </c>
      <c r="H456" s="40">
        <v>0.33</v>
      </c>
      <c r="I456" s="40">
        <v>0.34999999999999992</v>
      </c>
      <c r="J456">
        <v>2.6</v>
      </c>
      <c r="K456">
        <v>3.4</v>
      </c>
      <c r="L456">
        <v>2.6</v>
      </c>
      <c r="M456">
        <v>2.6</v>
      </c>
      <c r="N456">
        <v>3.4</v>
      </c>
      <c r="O456">
        <v>2.6</v>
      </c>
      <c r="P456">
        <v>2.63</v>
      </c>
      <c r="Q456">
        <v>3.5</v>
      </c>
      <c r="R456">
        <v>2.65</v>
      </c>
      <c r="S456">
        <v>0.37171052631578955</v>
      </c>
      <c r="T456">
        <v>0.25657894736842113</v>
      </c>
      <c r="U456">
        <v>0.37171052631578955</v>
      </c>
      <c r="V456">
        <v>0.36170212765957449</v>
      </c>
      <c r="W456">
        <v>0.27659574468085107</v>
      </c>
      <c r="X456">
        <v>0.36170212765957449</v>
      </c>
      <c r="Y456">
        <v>0.36444723864908934</v>
      </c>
      <c r="Z456">
        <v>0.27385606789917288</v>
      </c>
      <c r="AA456">
        <v>0.36169669345173772</v>
      </c>
      <c r="AB456">
        <v>0.36595329754148448</v>
      </c>
      <c r="AC456">
        <v>0.26901025331614836</v>
      </c>
      <c r="AD456">
        <v>0.36503644914236727</v>
      </c>
      <c r="AE456" t="s">
        <v>311</v>
      </c>
      <c r="AF456" t="s">
        <v>307</v>
      </c>
      <c r="AG456">
        <v>326.60000000000002</v>
      </c>
      <c r="AH456">
        <v>33</v>
      </c>
      <c r="AI456">
        <v>26</v>
      </c>
      <c r="AJ456">
        <v>12</v>
      </c>
      <c r="AK456">
        <v>27.4</v>
      </c>
      <c r="AL456">
        <v>41</v>
      </c>
      <c r="AM456">
        <v>6846</v>
      </c>
      <c r="AN456">
        <v>82</v>
      </c>
      <c r="AO456">
        <v>80</v>
      </c>
      <c r="AP456">
        <v>79</v>
      </c>
      <c r="AQ456">
        <v>4.5</v>
      </c>
      <c r="AR456" t="s">
        <v>46</v>
      </c>
      <c r="AS456" t="s">
        <v>312</v>
      </c>
      <c r="AT456" t="s">
        <v>307</v>
      </c>
      <c r="AU456">
        <v>418.35</v>
      </c>
      <c r="AV456">
        <v>31</v>
      </c>
      <c r="AW456">
        <v>20</v>
      </c>
      <c r="AX456">
        <v>19</v>
      </c>
      <c r="AY456">
        <v>25.4</v>
      </c>
      <c r="AZ456">
        <v>44</v>
      </c>
      <c r="BA456">
        <v>6735</v>
      </c>
      <c r="BB456">
        <v>79</v>
      </c>
      <c r="BC456">
        <v>77</v>
      </c>
      <c r="BD456">
        <v>76</v>
      </c>
      <c r="BE456">
        <v>4</v>
      </c>
      <c r="BF456" t="s">
        <v>29</v>
      </c>
      <c r="BG456">
        <v>-47</v>
      </c>
      <c r="BH456">
        <v>203</v>
      </c>
      <c r="BI456">
        <v>0.26700000000000002</v>
      </c>
      <c r="BJ456" t="s">
        <v>322</v>
      </c>
      <c r="BK456">
        <v>0.5</v>
      </c>
      <c r="BL456">
        <v>0.52829999999999999</v>
      </c>
      <c r="BM456">
        <v>1.63</v>
      </c>
      <c r="BN456">
        <v>1.87</v>
      </c>
    </row>
    <row r="457" spans="1:66" x14ac:dyDescent="0.25">
      <c r="A457">
        <v>1</v>
      </c>
      <c r="B457">
        <v>2</v>
      </c>
      <c r="C457">
        <v>2</v>
      </c>
      <c r="D457">
        <v>1.27</v>
      </c>
      <c r="E457">
        <v>5.833333333333333</v>
      </c>
      <c r="F457">
        <v>10.416666666666666</v>
      </c>
      <c r="G457" s="40">
        <v>0.72</v>
      </c>
      <c r="H457" s="40">
        <v>0.21</v>
      </c>
      <c r="I457" s="40">
        <v>7.0000000000000034E-2</v>
      </c>
      <c r="J457">
        <v>1.24</v>
      </c>
      <c r="K457">
        <v>6</v>
      </c>
      <c r="L457">
        <v>11</v>
      </c>
      <c r="M457">
        <v>1.29</v>
      </c>
      <c r="N457">
        <v>5.5</v>
      </c>
      <c r="O457">
        <v>10</v>
      </c>
      <c r="P457">
        <v>1.28</v>
      </c>
      <c r="Q457">
        <v>6</v>
      </c>
      <c r="R457">
        <v>10.25</v>
      </c>
      <c r="S457">
        <v>0.80504693687967532</v>
      </c>
      <c r="T457">
        <v>0.10420231750843395</v>
      </c>
      <c r="U457">
        <v>9.0750745611890685E-2</v>
      </c>
      <c r="V457">
        <v>0.73338222548169885</v>
      </c>
      <c r="W457">
        <v>0.17201146743116211</v>
      </c>
      <c r="X457">
        <v>9.4606307087139144E-2</v>
      </c>
      <c r="Y457">
        <v>0.74726609963547996</v>
      </c>
      <c r="Z457">
        <v>0.15941676792223572</v>
      </c>
      <c r="AA457">
        <v>9.3317132442284331E-2</v>
      </c>
      <c r="AB457">
        <v>0.76189842066561797</v>
      </c>
      <c r="AC457">
        <v>0.14521018428727725</v>
      </c>
      <c r="AD457">
        <v>9.2891395047104711E-2</v>
      </c>
      <c r="AE457" t="s">
        <v>310</v>
      </c>
      <c r="AF457" t="s">
        <v>307</v>
      </c>
      <c r="AG457">
        <v>517.75</v>
      </c>
      <c r="AH457">
        <v>25</v>
      </c>
      <c r="AI457">
        <v>18</v>
      </c>
      <c r="AJ457">
        <v>17</v>
      </c>
      <c r="AK457">
        <v>27.6</v>
      </c>
      <c r="AL457">
        <v>38</v>
      </c>
      <c r="AM457">
        <v>7165</v>
      </c>
      <c r="AN457">
        <v>82</v>
      </c>
      <c r="AO457">
        <v>80</v>
      </c>
      <c r="AP457">
        <v>80</v>
      </c>
      <c r="AQ457">
        <v>4.5</v>
      </c>
      <c r="AR457" t="s">
        <v>29</v>
      </c>
      <c r="AS457" t="s">
        <v>319</v>
      </c>
      <c r="AT457" t="s">
        <v>307</v>
      </c>
      <c r="AU457">
        <v>153.53</v>
      </c>
      <c r="AV457">
        <v>29</v>
      </c>
      <c r="AW457">
        <v>17</v>
      </c>
      <c r="AX457">
        <v>11</v>
      </c>
      <c r="AY457">
        <v>26.9</v>
      </c>
      <c r="AZ457">
        <v>246</v>
      </c>
      <c r="BA457">
        <v>2866</v>
      </c>
      <c r="BB457">
        <v>76</v>
      </c>
      <c r="BC457">
        <v>73</v>
      </c>
      <c r="BD457">
        <v>73</v>
      </c>
      <c r="BE457">
        <v>4</v>
      </c>
      <c r="BF457" t="s">
        <v>29</v>
      </c>
      <c r="BG457">
        <v>51</v>
      </c>
      <c r="BH457">
        <v>143</v>
      </c>
      <c r="BI457">
        <v>0.44600000000000001</v>
      </c>
      <c r="BJ457" t="s">
        <v>322</v>
      </c>
      <c r="BK457">
        <v>0.58819999999999995</v>
      </c>
      <c r="BL457">
        <v>0.26829999999999998</v>
      </c>
      <c r="BM457">
        <v>2.02</v>
      </c>
      <c r="BN457">
        <v>1.1499999999999999</v>
      </c>
    </row>
    <row r="458" spans="1:66" x14ac:dyDescent="0.25">
      <c r="A458">
        <v>1</v>
      </c>
      <c r="B458">
        <v>1</v>
      </c>
      <c r="C458">
        <v>1</v>
      </c>
      <c r="D458">
        <v>1.7563333333333333</v>
      </c>
      <c r="E458">
        <v>3.8666666666666671</v>
      </c>
      <c r="F458">
        <v>4.416666666666667</v>
      </c>
      <c r="G458" s="40">
        <v>0.39</v>
      </c>
      <c r="H458" s="40">
        <v>0.28999999999999998</v>
      </c>
      <c r="I458" s="40">
        <v>0.32</v>
      </c>
      <c r="J458">
        <v>1.74</v>
      </c>
      <c r="K458">
        <v>3.9</v>
      </c>
      <c r="L458">
        <v>4.5</v>
      </c>
      <c r="M458">
        <v>1.7689999999999999</v>
      </c>
      <c r="N458">
        <v>3.95</v>
      </c>
      <c r="O458">
        <v>4.5</v>
      </c>
      <c r="P458">
        <v>1.76</v>
      </c>
      <c r="Q458">
        <v>3.75</v>
      </c>
      <c r="R458">
        <v>4.25</v>
      </c>
      <c r="S458">
        <v>0.57120550651668212</v>
      </c>
      <c r="T458">
        <v>0.20792836429686751</v>
      </c>
      <c r="U458">
        <v>0.22086612918645038</v>
      </c>
      <c r="V458">
        <v>0.54319508725500831</v>
      </c>
      <c r="W458">
        <v>0.2432688884440784</v>
      </c>
      <c r="X458">
        <v>0.21353602430091323</v>
      </c>
      <c r="Y458">
        <v>0.53094028483384692</v>
      </c>
      <c r="Z458">
        <v>0.24918797368201881</v>
      </c>
      <c r="AA458">
        <v>0.21987174148413427</v>
      </c>
      <c r="AB458">
        <v>0.54844695953517919</v>
      </c>
      <c r="AC458">
        <v>0.23346174214098822</v>
      </c>
      <c r="AD458">
        <v>0.21809129832383264</v>
      </c>
      <c r="AE458" t="s">
        <v>49</v>
      </c>
      <c r="AF458" t="s">
        <v>26</v>
      </c>
      <c r="AG458">
        <v>352.75</v>
      </c>
      <c r="AH458">
        <v>27</v>
      </c>
      <c r="AI458">
        <v>19</v>
      </c>
      <c r="AJ458">
        <v>15</v>
      </c>
      <c r="AK458">
        <v>24.7</v>
      </c>
      <c r="AL458">
        <v>22</v>
      </c>
      <c r="AM458">
        <v>8083</v>
      </c>
      <c r="AN458">
        <v>78</v>
      </c>
      <c r="AO458">
        <v>78</v>
      </c>
      <c r="AP458">
        <v>78</v>
      </c>
      <c r="AQ458">
        <v>4.5</v>
      </c>
      <c r="AR458" t="s">
        <v>46</v>
      </c>
      <c r="AS458" t="s">
        <v>57</v>
      </c>
      <c r="AT458" t="s">
        <v>26</v>
      </c>
      <c r="AU458">
        <v>100.5</v>
      </c>
      <c r="AV458">
        <v>25</v>
      </c>
      <c r="AW458">
        <v>13</v>
      </c>
      <c r="AX458">
        <v>6</v>
      </c>
      <c r="AY458">
        <v>25.5</v>
      </c>
      <c r="AZ458">
        <v>234</v>
      </c>
      <c r="BA458">
        <v>2973</v>
      </c>
      <c r="BB458">
        <v>72</v>
      </c>
      <c r="BC458">
        <v>73</v>
      </c>
      <c r="BD458">
        <v>73</v>
      </c>
      <c r="BE458">
        <v>3.5</v>
      </c>
      <c r="BF458" t="s">
        <v>46</v>
      </c>
      <c r="BG458">
        <v>11</v>
      </c>
      <c r="BH458">
        <v>53</v>
      </c>
      <c r="BI458">
        <v>0.51600000000000001</v>
      </c>
      <c r="BJ458" t="s">
        <v>273</v>
      </c>
      <c r="BK458">
        <v>0.4667</v>
      </c>
      <c r="BL458">
        <v>0.30559999999999998</v>
      </c>
      <c r="BM458">
        <v>1.98</v>
      </c>
      <c r="BN458">
        <v>1.28</v>
      </c>
    </row>
    <row r="459" spans="1:66" x14ac:dyDescent="0.25">
      <c r="A459">
        <v>2</v>
      </c>
      <c r="B459">
        <v>0</v>
      </c>
      <c r="C459">
        <v>2</v>
      </c>
      <c r="D459">
        <v>2.0866666666666664</v>
      </c>
      <c r="E459">
        <v>3.7166666666666663</v>
      </c>
      <c r="F459">
        <v>3.25</v>
      </c>
      <c r="G459" s="40">
        <v>0.23</v>
      </c>
      <c r="H459" s="40">
        <v>0.49</v>
      </c>
      <c r="I459" s="40">
        <v>0.28000000000000003</v>
      </c>
      <c r="J459">
        <v>2.08</v>
      </c>
      <c r="K459">
        <v>3.7</v>
      </c>
      <c r="L459">
        <v>3.3</v>
      </c>
      <c r="M459">
        <v>2.1</v>
      </c>
      <c r="N459">
        <v>3.8</v>
      </c>
      <c r="O459">
        <v>3.3</v>
      </c>
      <c r="P459">
        <v>2.08</v>
      </c>
      <c r="Q459">
        <v>3.65</v>
      </c>
      <c r="R459">
        <v>3.15</v>
      </c>
      <c r="S459">
        <v>0.47116103519407632</v>
      </c>
      <c r="T459">
        <v>0.23186473656238457</v>
      </c>
      <c r="U459">
        <v>0.29697422824353903</v>
      </c>
      <c r="V459">
        <v>0.45683060109289614</v>
      </c>
      <c r="W459">
        <v>0.25245901639344265</v>
      </c>
      <c r="X459">
        <v>0.29071038251366121</v>
      </c>
      <c r="Y459">
        <v>0.44839420470721286</v>
      </c>
      <c r="Z459">
        <v>0.25552327281945281</v>
      </c>
      <c r="AA459">
        <v>0.29608252247333422</v>
      </c>
      <c r="AB459">
        <v>0.45879528033139511</v>
      </c>
      <c r="AC459">
        <v>0.24661567525842668</v>
      </c>
      <c r="AD459">
        <v>0.29458904441017814</v>
      </c>
      <c r="AE459" t="s">
        <v>51</v>
      </c>
      <c r="AF459" t="s">
        <v>26</v>
      </c>
      <c r="AG459">
        <v>231.25</v>
      </c>
      <c r="AH459">
        <v>32</v>
      </c>
      <c r="AI459">
        <v>21</v>
      </c>
      <c r="AJ459">
        <v>12</v>
      </c>
      <c r="AK459">
        <v>25.4</v>
      </c>
      <c r="AL459">
        <v>45</v>
      </c>
      <c r="AM459">
        <v>6714</v>
      </c>
      <c r="AN459">
        <v>79</v>
      </c>
      <c r="AO459">
        <v>77</v>
      </c>
      <c r="AP459">
        <v>75</v>
      </c>
      <c r="AQ459">
        <v>4</v>
      </c>
      <c r="AR459" t="s">
        <v>46</v>
      </c>
      <c r="AS459" t="s">
        <v>60</v>
      </c>
      <c r="AT459" t="s">
        <v>26</v>
      </c>
      <c r="AU459">
        <v>76.66</v>
      </c>
      <c r="AV459">
        <v>30</v>
      </c>
      <c r="AW459">
        <v>11</v>
      </c>
      <c r="AX459">
        <v>6</v>
      </c>
      <c r="AY459">
        <v>25.1</v>
      </c>
      <c r="AZ459">
        <v>299</v>
      </c>
      <c r="BA459">
        <v>2454</v>
      </c>
      <c r="BB459">
        <v>74</v>
      </c>
      <c r="BC459">
        <v>74</v>
      </c>
      <c r="BD459">
        <v>72</v>
      </c>
      <c r="BE459">
        <v>3.5</v>
      </c>
      <c r="BF459" t="s">
        <v>46</v>
      </c>
      <c r="BG459">
        <v>-12</v>
      </c>
      <c r="BH459">
        <v>144</v>
      </c>
      <c r="BI459">
        <v>0.35199999999999998</v>
      </c>
      <c r="BJ459" t="s">
        <v>273</v>
      </c>
      <c r="BK459">
        <v>0.47220000000000001</v>
      </c>
      <c r="BL459">
        <v>0.28210000000000002</v>
      </c>
      <c r="BM459">
        <v>2</v>
      </c>
      <c r="BN459">
        <v>1.23</v>
      </c>
    </row>
    <row r="460" spans="1:66" x14ac:dyDescent="0.25">
      <c r="A460">
        <v>1</v>
      </c>
      <c r="B460">
        <v>3</v>
      </c>
      <c r="C460">
        <v>6</v>
      </c>
      <c r="D460">
        <v>1.3310000000000002</v>
      </c>
      <c r="E460">
        <v>5.3</v>
      </c>
      <c r="F460">
        <v>8.7999999999999989</v>
      </c>
      <c r="G460" s="40">
        <v>0.48</v>
      </c>
      <c r="H460" s="40">
        <v>0.23</v>
      </c>
      <c r="I460" s="40">
        <v>0.29000000000000004</v>
      </c>
      <c r="J460">
        <v>1.34</v>
      </c>
      <c r="K460">
        <v>5.25</v>
      </c>
      <c r="L460">
        <v>9</v>
      </c>
      <c r="M460">
        <v>1.333</v>
      </c>
      <c r="N460">
        <v>5.5</v>
      </c>
      <c r="O460">
        <v>9</v>
      </c>
      <c r="P460">
        <v>1.32</v>
      </c>
      <c r="Q460">
        <v>5.15</v>
      </c>
      <c r="R460">
        <v>8.4</v>
      </c>
      <c r="S460">
        <v>0.75900576470821279</v>
      </c>
      <c r="T460">
        <v>0.12798671032411982</v>
      </c>
      <c r="U460">
        <v>0.11300752496766725</v>
      </c>
      <c r="V460">
        <v>0.71917882853759707</v>
      </c>
      <c r="W460">
        <v>0.17430279608011218</v>
      </c>
      <c r="X460">
        <v>0.10651837538229077</v>
      </c>
      <c r="Y460">
        <v>0.70748699833186146</v>
      </c>
      <c r="Z460">
        <v>0.18133647335884601</v>
      </c>
      <c r="AA460">
        <v>0.11117652830929252</v>
      </c>
      <c r="AB460">
        <v>0.72855719719255718</v>
      </c>
      <c r="AC460">
        <v>0.16120865992102598</v>
      </c>
      <c r="AD460">
        <v>0.11023414288641685</v>
      </c>
      <c r="AE460" t="s">
        <v>25</v>
      </c>
      <c r="AF460" t="s">
        <v>26</v>
      </c>
      <c r="AG460">
        <v>505.55</v>
      </c>
      <c r="AH460">
        <v>28</v>
      </c>
      <c r="AI460">
        <v>21</v>
      </c>
      <c r="AJ460">
        <v>16</v>
      </c>
      <c r="AK460">
        <v>24.1</v>
      </c>
      <c r="AL460">
        <v>16</v>
      </c>
      <c r="AM460">
        <v>9221</v>
      </c>
      <c r="AN460">
        <v>78</v>
      </c>
      <c r="AO460">
        <v>81</v>
      </c>
      <c r="AP460">
        <v>80</v>
      </c>
      <c r="AQ460">
        <v>4.5</v>
      </c>
      <c r="AR460" t="s">
        <v>29</v>
      </c>
      <c r="AS460" t="s">
        <v>59</v>
      </c>
      <c r="AT460" t="s">
        <v>26</v>
      </c>
      <c r="AU460">
        <v>137.05000000000001</v>
      </c>
      <c r="AV460">
        <v>28</v>
      </c>
      <c r="AW460">
        <v>15</v>
      </c>
      <c r="AX460">
        <v>8</v>
      </c>
      <c r="AY460">
        <v>26.3</v>
      </c>
      <c r="AZ460">
        <v>258</v>
      </c>
      <c r="BA460">
        <v>2751</v>
      </c>
      <c r="BB460">
        <v>77</v>
      </c>
      <c r="BC460">
        <v>76</v>
      </c>
      <c r="BD460">
        <v>75</v>
      </c>
      <c r="BE460">
        <v>4</v>
      </c>
      <c r="BF460" t="s">
        <v>29</v>
      </c>
      <c r="BG460">
        <v>22</v>
      </c>
      <c r="BH460">
        <v>25</v>
      </c>
      <c r="BI460">
        <v>0.8</v>
      </c>
      <c r="BJ460" t="s">
        <v>273</v>
      </c>
      <c r="BK460">
        <v>0.58330000000000004</v>
      </c>
      <c r="BL460">
        <v>0.2286</v>
      </c>
      <c r="BM460">
        <v>1.79</v>
      </c>
      <c r="BN460">
        <v>1.29</v>
      </c>
    </row>
    <row r="461" spans="1:66" x14ac:dyDescent="0.25">
      <c r="A461">
        <v>1</v>
      </c>
      <c r="B461">
        <v>2</v>
      </c>
      <c r="C461">
        <v>4</v>
      </c>
      <c r="D461">
        <v>2.8433333333333333</v>
      </c>
      <c r="E461">
        <v>3.4333333333333336</v>
      </c>
      <c r="F461">
        <v>2.44</v>
      </c>
      <c r="G461" s="40">
        <v>0.13</v>
      </c>
      <c r="H461" s="40">
        <v>0.3</v>
      </c>
      <c r="I461" s="40">
        <v>0.57000000000000006</v>
      </c>
      <c r="J461">
        <v>2.85</v>
      </c>
      <c r="K461">
        <v>3.4</v>
      </c>
      <c r="L461">
        <v>2.4500000000000002</v>
      </c>
      <c r="M461">
        <v>2.9</v>
      </c>
      <c r="N461">
        <v>3.55</v>
      </c>
      <c r="O461">
        <v>2.4500000000000002</v>
      </c>
      <c r="P461">
        <v>2.78</v>
      </c>
      <c r="Q461">
        <v>3.35</v>
      </c>
      <c r="R461">
        <v>2.42</v>
      </c>
      <c r="S461">
        <v>0.34325744308231176</v>
      </c>
      <c r="T461">
        <v>0.25744308231173385</v>
      </c>
      <c r="U461">
        <v>0.3992994746059545</v>
      </c>
      <c r="V461">
        <v>0.33326947025577169</v>
      </c>
      <c r="W461">
        <v>0.27224829964555997</v>
      </c>
      <c r="X461">
        <v>0.39448223009866845</v>
      </c>
      <c r="Y461">
        <v>0.33572694594907981</v>
      </c>
      <c r="Z461">
        <v>0.27860325663834085</v>
      </c>
      <c r="AA461">
        <v>0.38566979741257928</v>
      </c>
      <c r="AB461">
        <v>0.33741795309572109</v>
      </c>
      <c r="AC461">
        <v>0.26943154619854487</v>
      </c>
      <c r="AD461">
        <v>0.3931505007057341</v>
      </c>
      <c r="AE461" t="s">
        <v>54</v>
      </c>
      <c r="AF461" t="s">
        <v>26</v>
      </c>
      <c r="AG461">
        <v>207.65</v>
      </c>
      <c r="AH461">
        <v>32</v>
      </c>
      <c r="AI461">
        <v>20</v>
      </c>
      <c r="AJ461">
        <v>16</v>
      </c>
      <c r="AK461">
        <v>25.8</v>
      </c>
      <c r="AL461">
        <v>194</v>
      </c>
      <c r="AM461">
        <v>3438</v>
      </c>
      <c r="AN461">
        <v>75</v>
      </c>
      <c r="AO461">
        <v>77</v>
      </c>
      <c r="AP461">
        <v>76</v>
      </c>
      <c r="AQ461">
        <v>4</v>
      </c>
      <c r="AR461" t="s">
        <v>29</v>
      </c>
      <c r="AS461" t="s">
        <v>274</v>
      </c>
      <c r="AT461" t="s">
        <v>26</v>
      </c>
      <c r="AU461">
        <v>287.75</v>
      </c>
      <c r="AV461">
        <v>31</v>
      </c>
      <c r="AW461">
        <v>20</v>
      </c>
      <c r="AX461">
        <v>11</v>
      </c>
      <c r="AY461">
        <v>25.4</v>
      </c>
      <c r="AZ461">
        <v>65</v>
      </c>
      <c r="BA461">
        <v>5919</v>
      </c>
      <c r="BB461">
        <v>78</v>
      </c>
      <c r="BC461">
        <v>78</v>
      </c>
      <c r="BD461">
        <v>77</v>
      </c>
      <c r="BE461">
        <v>4</v>
      </c>
      <c r="BF461" t="s">
        <v>46</v>
      </c>
      <c r="BG461">
        <v>-13</v>
      </c>
      <c r="BH461">
        <v>28</v>
      </c>
      <c r="BI461">
        <v>0.25900000000000001</v>
      </c>
      <c r="BJ461" t="s">
        <v>273</v>
      </c>
      <c r="BK461">
        <v>0.36359999999999998</v>
      </c>
      <c r="BL461">
        <v>0.53659999999999997</v>
      </c>
      <c r="BM461">
        <v>1.73</v>
      </c>
      <c r="BN461">
        <v>1.88</v>
      </c>
    </row>
    <row r="462" spans="1:66" x14ac:dyDescent="0.25">
      <c r="A462">
        <v>1</v>
      </c>
      <c r="B462">
        <v>1</v>
      </c>
      <c r="C462">
        <v>1</v>
      </c>
      <c r="D462">
        <v>3.8333333333333335</v>
      </c>
      <c r="E462">
        <v>4.1943333333333337</v>
      </c>
      <c r="F462">
        <v>1.8109999999999999</v>
      </c>
      <c r="G462" s="40">
        <v>0.28000000000000003</v>
      </c>
      <c r="H462" s="40">
        <v>0.19</v>
      </c>
      <c r="I462" s="40">
        <v>0.53</v>
      </c>
      <c r="J462">
        <v>3.9</v>
      </c>
      <c r="K462">
        <v>4.2</v>
      </c>
      <c r="L462">
        <v>1.8</v>
      </c>
      <c r="M462">
        <v>3.9</v>
      </c>
      <c r="N462">
        <v>4.3330000000000002</v>
      </c>
      <c r="O462">
        <v>1.833</v>
      </c>
      <c r="P462">
        <v>3.7</v>
      </c>
      <c r="Q462">
        <v>4.05</v>
      </c>
      <c r="R462">
        <v>1.8</v>
      </c>
      <c r="S462">
        <v>0.2533783783783784</v>
      </c>
      <c r="T462">
        <v>0.19763513513513511</v>
      </c>
      <c r="U462">
        <v>0.54898648648648651</v>
      </c>
      <c r="V462">
        <v>0.24827888048902108</v>
      </c>
      <c r="W462">
        <v>0.22346818230029589</v>
      </c>
      <c r="X462">
        <v>0.52825293721068312</v>
      </c>
      <c r="Y462">
        <v>0.25194401244167958</v>
      </c>
      <c r="Z462">
        <v>0.23017107309486778</v>
      </c>
      <c r="AA462">
        <v>0.51788491446345253</v>
      </c>
      <c r="AB462">
        <v>0.25120042376969304</v>
      </c>
      <c r="AC462">
        <v>0.21709146351009959</v>
      </c>
      <c r="AD462">
        <v>0.53170811272020735</v>
      </c>
      <c r="AE462" t="s">
        <v>52</v>
      </c>
      <c r="AF462" t="s">
        <v>26</v>
      </c>
      <c r="AG462">
        <v>300</v>
      </c>
      <c r="AH462">
        <v>28</v>
      </c>
      <c r="AI462">
        <v>15</v>
      </c>
      <c r="AJ462">
        <v>11</v>
      </c>
      <c r="AK462">
        <v>25.4</v>
      </c>
      <c r="AL462">
        <v>76</v>
      </c>
      <c r="AM462">
        <v>5412</v>
      </c>
      <c r="AN462">
        <v>78</v>
      </c>
      <c r="AO462">
        <v>79</v>
      </c>
      <c r="AP462">
        <v>80</v>
      </c>
      <c r="AQ462">
        <v>4.5</v>
      </c>
      <c r="AR462" t="s">
        <v>29</v>
      </c>
      <c r="AS462" t="s">
        <v>50</v>
      </c>
      <c r="AT462" t="s">
        <v>26</v>
      </c>
      <c r="AU462">
        <v>565.79999999999995</v>
      </c>
      <c r="AV462">
        <v>33</v>
      </c>
      <c r="AW462">
        <v>18</v>
      </c>
      <c r="AX462">
        <v>17</v>
      </c>
      <c r="AY462">
        <v>24.7</v>
      </c>
      <c r="AZ462">
        <v>36</v>
      </c>
      <c r="BA462">
        <v>7276</v>
      </c>
      <c r="BB462">
        <v>87</v>
      </c>
      <c r="BC462">
        <v>81</v>
      </c>
      <c r="BD462">
        <v>81</v>
      </c>
      <c r="BE462">
        <v>4.5</v>
      </c>
      <c r="BF462" t="s">
        <v>29</v>
      </c>
      <c r="BG462">
        <v>-38</v>
      </c>
      <c r="BH462">
        <v>133</v>
      </c>
      <c r="BI462">
        <v>0.28799999999999998</v>
      </c>
      <c r="BJ462" t="s">
        <v>273</v>
      </c>
      <c r="BK462">
        <v>0.60780000000000001</v>
      </c>
      <c r="BL462">
        <v>0.60780000000000001</v>
      </c>
      <c r="BM462">
        <v>2.27</v>
      </c>
      <c r="BN462">
        <v>2.27</v>
      </c>
    </row>
    <row r="463" spans="1:66" x14ac:dyDescent="0.25">
      <c r="A463">
        <v>1</v>
      </c>
      <c r="B463">
        <v>3</v>
      </c>
      <c r="C463">
        <v>3</v>
      </c>
      <c r="D463">
        <v>1.8796666666666668</v>
      </c>
      <c r="E463">
        <v>3.5</v>
      </c>
      <c r="F463">
        <v>4.1833333333333336</v>
      </c>
      <c r="G463" s="40">
        <v>0.35</v>
      </c>
      <c r="H463" s="40">
        <v>0.51</v>
      </c>
      <c r="I463" s="40">
        <v>0.14000000000000001</v>
      </c>
      <c r="J463">
        <v>1.85</v>
      </c>
      <c r="K463">
        <v>3.6</v>
      </c>
      <c r="L463">
        <v>4.25</v>
      </c>
      <c r="M463">
        <v>1.909</v>
      </c>
      <c r="N463">
        <v>3.55</v>
      </c>
      <c r="O463">
        <v>4.2</v>
      </c>
      <c r="P463">
        <v>1.88</v>
      </c>
      <c r="Q463">
        <v>3.35</v>
      </c>
      <c r="R463">
        <v>4.0999999999999996</v>
      </c>
      <c r="S463">
        <v>0.53699428987972309</v>
      </c>
      <c r="T463">
        <v>0.22925525452557408</v>
      </c>
      <c r="U463">
        <v>0.23375045559470298</v>
      </c>
      <c r="V463">
        <v>0.50193992543280108</v>
      </c>
      <c r="W463">
        <v>0.2699164275073852</v>
      </c>
      <c r="X463">
        <v>0.22814364705981363</v>
      </c>
      <c r="Y463">
        <v>0.49511553296564653</v>
      </c>
      <c r="Z463">
        <v>0.27785588118669113</v>
      </c>
      <c r="AA463">
        <v>0.22702858584766231</v>
      </c>
      <c r="AB463">
        <v>0.51134991609272362</v>
      </c>
      <c r="AC463">
        <v>0.25900918773988346</v>
      </c>
      <c r="AD463">
        <v>0.22964089616739294</v>
      </c>
      <c r="AE463" t="s">
        <v>55</v>
      </c>
      <c r="AF463" t="s">
        <v>26</v>
      </c>
      <c r="AG463">
        <v>125.15</v>
      </c>
      <c r="AH463">
        <v>26</v>
      </c>
      <c r="AI463">
        <v>9</v>
      </c>
      <c r="AJ463">
        <v>7</v>
      </c>
      <c r="AK463">
        <v>25.4</v>
      </c>
      <c r="AL463">
        <v>213</v>
      </c>
      <c r="AM463">
        <v>3138</v>
      </c>
      <c r="AN463">
        <v>75</v>
      </c>
      <c r="AO463">
        <v>75</v>
      </c>
      <c r="AP463">
        <v>73</v>
      </c>
      <c r="AQ463">
        <v>3.5</v>
      </c>
      <c r="AR463" t="s">
        <v>29</v>
      </c>
      <c r="AS463" t="s">
        <v>275</v>
      </c>
      <c r="AT463" t="s">
        <v>26</v>
      </c>
      <c r="AU463">
        <v>97.1</v>
      </c>
      <c r="AV463">
        <v>28</v>
      </c>
      <c r="AW463">
        <v>18</v>
      </c>
      <c r="AX463">
        <v>10</v>
      </c>
      <c r="AY463">
        <v>26</v>
      </c>
      <c r="AZ463">
        <v>276</v>
      </c>
      <c r="BA463">
        <v>2599</v>
      </c>
      <c r="BB463">
        <v>73</v>
      </c>
      <c r="BC463">
        <v>74</v>
      </c>
      <c r="BD463">
        <v>74</v>
      </c>
      <c r="BE463">
        <v>3.5</v>
      </c>
      <c r="BF463" t="s">
        <v>46</v>
      </c>
      <c r="BG463">
        <v>13</v>
      </c>
      <c r="BH463">
        <v>55</v>
      </c>
      <c r="BI463">
        <v>0.46899999999999997</v>
      </c>
      <c r="BJ463" t="s">
        <v>273</v>
      </c>
      <c r="BK463">
        <v>0.36109999999999998</v>
      </c>
      <c r="BL463">
        <v>0.30559999999999998</v>
      </c>
      <c r="BM463">
        <v>1.5</v>
      </c>
      <c r="BN463">
        <v>1.19</v>
      </c>
    </row>
    <row r="464" spans="1:66" x14ac:dyDescent="0.25">
      <c r="A464">
        <v>3</v>
      </c>
      <c r="B464">
        <v>-2</v>
      </c>
      <c r="C464">
        <v>4</v>
      </c>
      <c r="D464">
        <v>2.7666666666666671</v>
      </c>
      <c r="E464">
        <v>3.1333333333333333</v>
      </c>
      <c r="F464">
        <v>2.5500000000000003</v>
      </c>
      <c r="G464" s="40">
        <v>0.26</v>
      </c>
      <c r="H464" s="40">
        <v>0.36</v>
      </c>
      <c r="I464" s="40">
        <v>0.38</v>
      </c>
      <c r="J464">
        <v>2.7</v>
      </c>
      <c r="K464">
        <v>3.15</v>
      </c>
      <c r="L464">
        <v>2.4500000000000002</v>
      </c>
      <c r="M464">
        <v>2.8</v>
      </c>
      <c r="N464">
        <v>3.1</v>
      </c>
      <c r="O464">
        <v>2.6</v>
      </c>
      <c r="P464">
        <v>2.8</v>
      </c>
      <c r="Q464">
        <v>3.15</v>
      </c>
      <c r="R464">
        <v>2.6</v>
      </c>
      <c r="S464">
        <v>0.34574742711596052</v>
      </c>
      <c r="T464">
        <v>0.27322479606236877</v>
      </c>
      <c r="U464">
        <v>0.38102777682167077</v>
      </c>
      <c r="V464">
        <v>0.33555370524562866</v>
      </c>
      <c r="W464">
        <v>0.30308076602830969</v>
      </c>
      <c r="X464">
        <v>0.36136552872606159</v>
      </c>
      <c r="Y464">
        <v>0.33717579250720464</v>
      </c>
      <c r="Z464">
        <v>0.29971181556195964</v>
      </c>
      <c r="AA464">
        <v>0.36311239193083572</v>
      </c>
      <c r="AB464">
        <v>0.33949230828959792</v>
      </c>
      <c r="AC464">
        <v>0.29200579255087938</v>
      </c>
      <c r="AD464">
        <v>0.36850189915952275</v>
      </c>
      <c r="AE464" t="s">
        <v>105</v>
      </c>
      <c r="AF464" t="s">
        <v>85</v>
      </c>
      <c r="AG464">
        <v>11.18</v>
      </c>
      <c r="AH464">
        <v>31</v>
      </c>
      <c r="AI464">
        <v>31</v>
      </c>
      <c r="AJ464">
        <v>5</v>
      </c>
      <c r="AK464">
        <v>0</v>
      </c>
      <c r="AL464">
        <v>280</v>
      </c>
      <c r="AM464">
        <v>2561</v>
      </c>
      <c r="AN464">
        <v>66</v>
      </c>
      <c r="AO464">
        <v>67</v>
      </c>
      <c r="AP464">
        <v>69</v>
      </c>
      <c r="AQ464">
        <v>2.5</v>
      </c>
      <c r="AR464" t="s">
        <v>46</v>
      </c>
      <c r="AS464" t="s">
        <v>100</v>
      </c>
      <c r="AT464" t="s">
        <v>85</v>
      </c>
      <c r="AU464">
        <v>15.1</v>
      </c>
      <c r="AV464">
        <v>31</v>
      </c>
      <c r="AW464">
        <v>4</v>
      </c>
      <c r="AX464">
        <v>0</v>
      </c>
      <c r="AY464">
        <v>26.5</v>
      </c>
      <c r="AZ464">
        <v>224</v>
      </c>
      <c r="BA464">
        <v>3048</v>
      </c>
      <c r="BB464">
        <v>69</v>
      </c>
      <c r="BC464">
        <v>68</v>
      </c>
      <c r="BD464">
        <v>68</v>
      </c>
      <c r="BE464">
        <v>2.5</v>
      </c>
      <c r="BF464" t="s">
        <v>46</v>
      </c>
      <c r="BG464">
        <v>-1</v>
      </c>
      <c r="BH464">
        <v>15</v>
      </c>
      <c r="BI464">
        <v>0.25</v>
      </c>
      <c r="BJ464" t="s">
        <v>85</v>
      </c>
      <c r="BK464">
        <v>0.25</v>
      </c>
      <c r="BL464">
        <v>0.31580000000000003</v>
      </c>
      <c r="BM464">
        <v>0.97</v>
      </c>
      <c r="BN464">
        <v>1.21</v>
      </c>
    </row>
    <row r="465" spans="1:66" x14ac:dyDescent="0.25">
      <c r="A465">
        <v>1</v>
      </c>
      <c r="B465">
        <v>2</v>
      </c>
      <c r="C465">
        <v>2</v>
      </c>
      <c r="D465">
        <v>2.1966666666666668</v>
      </c>
      <c r="E465">
        <v>3.2000000000000006</v>
      </c>
      <c r="F465">
        <v>3.25</v>
      </c>
      <c r="G465" s="40">
        <v>0.21</v>
      </c>
      <c r="H465" s="40">
        <v>0.43</v>
      </c>
      <c r="I465" s="40">
        <v>0.36000000000000004</v>
      </c>
      <c r="J465">
        <v>2.16</v>
      </c>
      <c r="K465">
        <v>3.2</v>
      </c>
      <c r="L465">
        <v>3.1</v>
      </c>
      <c r="M465">
        <v>2.2000000000000002</v>
      </c>
      <c r="N465">
        <v>3.2</v>
      </c>
      <c r="O465">
        <v>3.35</v>
      </c>
      <c r="P465">
        <v>2.23</v>
      </c>
      <c r="Q465">
        <v>3.2</v>
      </c>
      <c r="R465">
        <v>3.3</v>
      </c>
      <c r="S465">
        <v>0.43282350701275618</v>
      </c>
      <c r="T465">
        <v>0.26559624293964584</v>
      </c>
      <c r="U465">
        <v>0.30158025004759786</v>
      </c>
      <c r="V465">
        <v>0.4265817747711898</v>
      </c>
      <c r="W465">
        <v>0.29327497015519299</v>
      </c>
      <c r="X465">
        <v>0.2801432550736172</v>
      </c>
      <c r="Y465">
        <v>0.42147275992815803</v>
      </c>
      <c r="Z465">
        <v>0.29371382957493508</v>
      </c>
      <c r="AA465">
        <v>0.28481341049690684</v>
      </c>
      <c r="AB465">
        <v>0.426959347237368</v>
      </c>
      <c r="AC465">
        <v>0.28419501422325794</v>
      </c>
      <c r="AD465">
        <v>0.28884563853937401</v>
      </c>
      <c r="AE465" t="s">
        <v>102</v>
      </c>
      <c r="AF465" t="s">
        <v>85</v>
      </c>
      <c r="AG465">
        <v>27.13</v>
      </c>
      <c r="AH465">
        <v>27</v>
      </c>
      <c r="AI465">
        <v>2</v>
      </c>
      <c r="AJ465">
        <v>0</v>
      </c>
      <c r="AK465">
        <v>25.3</v>
      </c>
      <c r="AL465">
        <v>232</v>
      </c>
      <c r="AM465">
        <v>3005</v>
      </c>
      <c r="AN465">
        <v>65</v>
      </c>
      <c r="AO465">
        <v>70</v>
      </c>
      <c r="AP465">
        <v>65</v>
      </c>
      <c r="AQ465">
        <v>3</v>
      </c>
      <c r="AR465" t="s">
        <v>46</v>
      </c>
      <c r="AS465" t="s">
        <v>99</v>
      </c>
      <c r="AT465" t="s">
        <v>85</v>
      </c>
      <c r="AU465">
        <v>14.2</v>
      </c>
      <c r="AV465">
        <v>31</v>
      </c>
      <c r="AW465">
        <v>1</v>
      </c>
      <c r="AX465">
        <v>0</v>
      </c>
      <c r="AY465">
        <v>26.5</v>
      </c>
      <c r="AZ465">
        <v>173</v>
      </c>
      <c r="BA465">
        <v>3707</v>
      </c>
      <c r="BB465">
        <v>70</v>
      </c>
      <c r="BC465">
        <v>69</v>
      </c>
      <c r="BD465">
        <v>68</v>
      </c>
      <c r="BE465">
        <v>3</v>
      </c>
      <c r="BF465" t="s">
        <v>46</v>
      </c>
      <c r="BG465">
        <v>-3</v>
      </c>
      <c r="BH465">
        <v>10</v>
      </c>
      <c r="BI465">
        <v>9.0999999999999998E-2</v>
      </c>
      <c r="BJ465" t="s">
        <v>85</v>
      </c>
      <c r="BK465">
        <v>0.3846</v>
      </c>
      <c r="BL465">
        <v>0.40479999999999999</v>
      </c>
      <c r="BM465">
        <v>1.1299999999999999</v>
      </c>
      <c r="BN465">
        <v>1.24</v>
      </c>
    </row>
    <row r="466" spans="1:66" x14ac:dyDescent="0.25">
      <c r="A466">
        <v>1</v>
      </c>
      <c r="B466">
        <v>1</v>
      </c>
      <c r="C466">
        <v>3</v>
      </c>
      <c r="D466">
        <v>2.9333333333333336</v>
      </c>
      <c r="E466">
        <v>2.9599999999999995</v>
      </c>
      <c r="F466">
        <v>2.5366666666666666</v>
      </c>
      <c r="G466" s="40">
        <v>0.28999999999999998</v>
      </c>
      <c r="H466" s="40">
        <v>0.44</v>
      </c>
      <c r="I466" s="40">
        <v>0.26999999999999996</v>
      </c>
      <c r="J466">
        <v>2.88</v>
      </c>
      <c r="K466">
        <v>2.88</v>
      </c>
      <c r="L466">
        <v>2.5</v>
      </c>
      <c r="M466">
        <v>2.95</v>
      </c>
      <c r="N466">
        <v>3</v>
      </c>
      <c r="O466">
        <v>2.5499999999999998</v>
      </c>
      <c r="P466">
        <v>2.97</v>
      </c>
      <c r="Q466">
        <v>3</v>
      </c>
      <c r="R466">
        <v>2.56</v>
      </c>
      <c r="S466">
        <v>0.32561104029263427</v>
      </c>
      <c r="T466">
        <v>0.29928504129025107</v>
      </c>
      <c r="U466">
        <v>0.37510391841711466</v>
      </c>
      <c r="V466">
        <v>0.31845145176397122</v>
      </c>
      <c r="W466">
        <v>0.3131439275679051</v>
      </c>
      <c r="X466">
        <v>0.36840462066812363</v>
      </c>
      <c r="Y466">
        <v>0.31744457120182534</v>
      </c>
      <c r="Z466">
        <v>0.3142701254898071</v>
      </c>
      <c r="AA466">
        <v>0.36828530330836767</v>
      </c>
      <c r="AB466">
        <v>0.32050235441947694</v>
      </c>
      <c r="AC466">
        <v>0.30889969811598772</v>
      </c>
      <c r="AD466">
        <v>0.37059794746453534</v>
      </c>
      <c r="AE466" t="s">
        <v>90</v>
      </c>
      <c r="AF466" t="s">
        <v>85</v>
      </c>
      <c r="AG466">
        <v>29.75</v>
      </c>
      <c r="AH466">
        <v>24</v>
      </c>
      <c r="AI466">
        <v>3</v>
      </c>
      <c r="AJ466">
        <v>0</v>
      </c>
      <c r="AK466">
        <v>26.6</v>
      </c>
      <c r="AL466">
        <v>88</v>
      </c>
      <c r="AM466">
        <v>5121</v>
      </c>
      <c r="AN466">
        <v>73</v>
      </c>
      <c r="AO466">
        <v>71</v>
      </c>
      <c r="AP466">
        <v>71</v>
      </c>
      <c r="AQ466">
        <v>3.5</v>
      </c>
      <c r="AR466" t="s">
        <v>29</v>
      </c>
      <c r="AS466" t="s">
        <v>94</v>
      </c>
      <c r="AT466" t="s">
        <v>85</v>
      </c>
      <c r="AU466">
        <v>28.25</v>
      </c>
      <c r="AV466">
        <v>30</v>
      </c>
      <c r="AW466">
        <v>5</v>
      </c>
      <c r="AX466">
        <v>0</v>
      </c>
      <c r="AY466">
        <v>26.1</v>
      </c>
      <c r="AZ466">
        <v>126</v>
      </c>
      <c r="BA466">
        <v>4236</v>
      </c>
      <c r="BB466">
        <v>74</v>
      </c>
      <c r="BC466">
        <v>71</v>
      </c>
      <c r="BD466">
        <v>71</v>
      </c>
      <c r="BE466">
        <v>3.5</v>
      </c>
      <c r="BF466" t="s">
        <v>28</v>
      </c>
      <c r="BG466">
        <v>2</v>
      </c>
      <c r="BH466">
        <v>12</v>
      </c>
      <c r="BI466">
        <v>0.57099999999999995</v>
      </c>
      <c r="BJ466" t="s">
        <v>85</v>
      </c>
      <c r="BK466">
        <v>0.45950000000000002</v>
      </c>
      <c r="BL466">
        <v>0.4239</v>
      </c>
      <c r="BM466">
        <v>1.43</v>
      </c>
      <c r="BN466">
        <v>1.29</v>
      </c>
    </row>
    <row r="467" spans="1:66" x14ac:dyDescent="0.25">
      <c r="A467">
        <v>3</v>
      </c>
      <c r="B467">
        <v>-3</v>
      </c>
      <c r="C467">
        <v>5</v>
      </c>
      <c r="D467">
        <v>1.79</v>
      </c>
      <c r="E467">
        <v>3.5</v>
      </c>
      <c r="F467">
        <v>4.3833333333333337</v>
      </c>
      <c r="G467" s="40">
        <v>0.38</v>
      </c>
      <c r="H467" s="40">
        <v>0.35</v>
      </c>
      <c r="I467" s="40">
        <v>0.27</v>
      </c>
      <c r="J467">
        <v>1.77</v>
      </c>
      <c r="K467">
        <v>3.4</v>
      </c>
      <c r="L467">
        <v>4.2</v>
      </c>
      <c r="M467">
        <v>1.8</v>
      </c>
      <c r="N467">
        <v>3.5</v>
      </c>
      <c r="O467">
        <v>4.5</v>
      </c>
      <c r="P467">
        <v>1.8</v>
      </c>
      <c r="Q467">
        <v>3.6</v>
      </c>
      <c r="R467">
        <v>4.45</v>
      </c>
      <c r="S467">
        <v>0.53724092543548685</v>
      </c>
      <c r="T467">
        <v>0.2363503988452722</v>
      </c>
      <c r="U467">
        <v>0.22640867571924089</v>
      </c>
      <c r="V467">
        <v>0.52238805970149249</v>
      </c>
      <c r="W467">
        <v>0.26865671641791045</v>
      </c>
      <c r="X467">
        <v>0.20895522388059701</v>
      </c>
      <c r="Y467">
        <v>0.52507374631268433</v>
      </c>
      <c r="Z467">
        <v>0.26253687315634217</v>
      </c>
      <c r="AA467">
        <v>0.21238938053097342</v>
      </c>
      <c r="AB467">
        <v>0.52823424381655459</v>
      </c>
      <c r="AC467">
        <v>0.2558479961398416</v>
      </c>
      <c r="AD467">
        <v>0.21591776004360375</v>
      </c>
      <c r="AE467" t="s">
        <v>87</v>
      </c>
      <c r="AF467" t="s">
        <v>85</v>
      </c>
      <c r="AG467">
        <v>41.68</v>
      </c>
      <c r="AH467">
        <v>25</v>
      </c>
      <c r="AI467">
        <v>4</v>
      </c>
      <c r="AJ467">
        <v>0</v>
      </c>
      <c r="AK467">
        <v>26.2</v>
      </c>
      <c r="AL467">
        <v>67</v>
      </c>
      <c r="AM467">
        <v>5744</v>
      </c>
      <c r="AN467">
        <v>73</v>
      </c>
      <c r="AO467">
        <v>74</v>
      </c>
      <c r="AP467">
        <v>71</v>
      </c>
      <c r="AQ467">
        <v>3.5</v>
      </c>
      <c r="AR467" t="s">
        <v>29</v>
      </c>
      <c r="AS467" t="s">
        <v>103</v>
      </c>
      <c r="AT467" t="s">
        <v>85</v>
      </c>
      <c r="AU467">
        <v>15.98</v>
      </c>
      <c r="AV467">
        <v>29</v>
      </c>
      <c r="AW467">
        <v>3</v>
      </c>
      <c r="AX467">
        <v>0</v>
      </c>
      <c r="AY467">
        <v>25.8</v>
      </c>
      <c r="AZ467">
        <v>235</v>
      </c>
      <c r="BA467">
        <v>2968</v>
      </c>
      <c r="BB467">
        <v>67</v>
      </c>
      <c r="BC467">
        <v>68</v>
      </c>
      <c r="BD467">
        <v>67</v>
      </c>
      <c r="BE467">
        <v>2.5</v>
      </c>
      <c r="BF467" t="s">
        <v>43</v>
      </c>
      <c r="BG467">
        <v>-5</v>
      </c>
      <c r="BH467">
        <v>23</v>
      </c>
      <c r="BI467">
        <v>0.23799999999999999</v>
      </c>
      <c r="BJ467" t="s">
        <v>85</v>
      </c>
      <c r="BK467">
        <v>0.42220000000000002</v>
      </c>
      <c r="BL467">
        <v>0.22220000000000001</v>
      </c>
      <c r="BM467">
        <v>1.22</v>
      </c>
      <c r="BN467">
        <v>0.92</v>
      </c>
    </row>
    <row r="468" spans="1:66" x14ac:dyDescent="0.25">
      <c r="A468">
        <v>1</v>
      </c>
      <c r="B468">
        <v>1</v>
      </c>
      <c r="C468">
        <v>1</v>
      </c>
      <c r="D468">
        <v>1.9733333333333334</v>
      </c>
      <c r="E468">
        <v>3.25</v>
      </c>
      <c r="F468">
        <v>3.9</v>
      </c>
      <c r="G468" s="40">
        <v>0.32</v>
      </c>
      <c r="H468" s="40">
        <v>0.48</v>
      </c>
      <c r="I468" s="40">
        <v>0.19999999999999996</v>
      </c>
      <c r="J468">
        <v>1.92</v>
      </c>
      <c r="K468">
        <v>3.2</v>
      </c>
      <c r="L468">
        <v>3.8</v>
      </c>
      <c r="M468">
        <v>2</v>
      </c>
      <c r="N468">
        <v>3.25</v>
      </c>
      <c r="O468">
        <v>3.95</v>
      </c>
      <c r="P468">
        <v>2</v>
      </c>
      <c r="Q468">
        <v>3.3</v>
      </c>
      <c r="R468">
        <v>3.95</v>
      </c>
      <c r="S468">
        <v>0.49310900304277783</v>
      </c>
      <c r="T468">
        <v>0.25774118489350273</v>
      </c>
      <c r="U468">
        <v>0.24914981206371936</v>
      </c>
      <c r="V468">
        <v>0.47131711794401104</v>
      </c>
      <c r="W468">
        <v>0.29004130335016065</v>
      </c>
      <c r="X468">
        <v>0.23864157870582836</v>
      </c>
      <c r="Y468">
        <v>0.47339749409842019</v>
      </c>
      <c r="Z468">
        <v>0.28690757218086077</v>
      </c>
      <c r="AA468">
        <v>0.23969493372071909</v>
      </c>
      <c r="AB468">
        <v>0.47927453836173634</v>
      </c>
      <c r="AC468">
        <v>0.27823002014150805</v>
      </c>
      <c r="AD468">
        <v>0.24249544149675561</v>
      </c>
      <c r="AE468" t="s">
        <v>86</v>
      </c>
      <c r="AF468" t="s">
        <v>85</v>
      </c>
      <c r="AG468">
        <v>86.53</v>
      </c>
      <c r="AH468">
        <v>28</v>
      </c>
      <c r="AI468">
        <v>7</v>
      </c>
      <c r="AJ468">
        <v>8</v>
      </c>
      <c r="AK468">
        <v>26.1</v>
      </c>
      <c r="AL468">
        <v>10</v>
      </c>
      <c r="AM468">
        <v>9954</v>
      </c>
      <c r="AN468">
        <v>76</v>
      </c>
      <c r="AO468">
        <v>73</v>
      </c>
      <c r="AP468">
        <v>75</v>
      </c>
      <c r="AQ468">
        <v>4</v>
      </c>
      <c r="AR468" t="s">
        <v>46</v>
      </c>
      <c r="AS468" t="s">
        <v>95</v>
      </c>
      <c r="AT468" t="s">
        <v>85</v>
      </c>
      <c r="AU468">
        <v>36.68</v>
      </c>
      <c r="AV468">
        <v>24</v>
      </c>
      <c r="AW468">
        <v>3</v>
      </c>
      <c r="AX468">
        <v>0</v>
      </c>
      <c r="AY468">
        <v>26.8</v>
      </c>
      <c r="AZ468">
        <v>130</v>
      </c>
      <c r="BA468">
        <v>4218</v>
      </c>
      <c r="BB468">
        <v>71</v>
      </c>
      <c r="BC468">
        <v>71</v>
      </c>
      <c r="BD468">
        <v>70</v>
      </c>
      <c r="BE468">
        <v>3.5</v>
      </c>
      <c r="BF468" t="s">
        <v>46</v>
      </c>
      <c r="BG468">
        <v>23</v>
      </c>
      <c r="BH468">
        <v>53</v>
      </c>
      <c r="BI468">
        <v>0.64</v>
      </c>
      <c r="BJ468" t="s">
        <v>85</v>
      </c>
      <c r="BK468">
        <v>0.54900000000000004</v>
      </c>
      <c r="BL468">
        <v>0.32429999999999998</v>
      </c>
      <c r="BM468">
        <v>1.47</v>
      </c>
      <c r="BN468">
        <v>1.03</v>
      </c>
    </row>
    <row r="469" spans="1:66" x14ac:dyDescent="0.25">
      <c r="A469">
        <v>1</v>
      </c>
      <c r="B469">
        <v>2</v>
      </c>
      <c r="C469">
        <v>2</v>
      </c>
      <c r="D469">
        <v>2.4</v>
      </c>
      <c r="E469">
        <v>2.94</v>
      </c>
      <c r="F469">
        <v>3.1333333333333333</v>
      </c>
      <c r="G469" s="40">
        <v>0.24</v>
      </c>
      <c r="H469" s="40">
        <v>0.46</v>
      </c>
      <c r="I469" s="40">
        <v>0.3</v>
      </c>
      <c r="J469">
        <v>2.2999999999999998</v>
      </c>
      <c r="K469">
        <v>2.9</v>
      </c>
      <c r="L469">
        <v>3.1</v>
      </c>
      <c r="M469">
        <v>2.4500000000000002</v>
      </c>
      <c r="N469">
        <v>2.95</v>
      </c>
      <c r="O469">
        <v>3.1</v>
      </c>
      <c r="P469">
        <v>2.4500000000000002</v>
      </c>
      <c r="Q469">
        <v>2.97</v>
      </c>
      <c r="R469">
        <v>3.2</v>
      </c>
      <c r="S469">
        <v>0.4051451368826523</v>
      </c>
      <c r="T469">
        <v>0.29426330994634753</v>
      </c>
      <c r="U469">
        <v>0.30059155317100006</v>
      </c>
      <c r="V469">
        <v>0.38155836027954521</v>
      </c>
      <c r="W469">
        <v>0.31688745175758842</v>
      </c>
      <c r="X469">
        <v>0.30155418796286637</v>
      </c>
      <c r="Y469">
        <v>0.38601978026441375</v>
      </c>
      <c r="Z469">
        <v>0.31843382547064436</v>
      </c>
      <c r="AA469">
        <v>0.29554639426494178</v>
      </c>
      <c r="AB469">
        <v>0.39090775914220383</v>
      </c>
      <c r="AC469">
        <v>0.30986152905819347</v>
      </c>
      <c r="AD469">
        <v>0.29923071179960276</v>
      </c>
      <c r="AE469" t="s">
        <v>89</v>
      </c>
      <c r="AF469" t="s">
        <v>85</v>
      </c>
      <c r="AG469">
        <v>31.6</v>
      </c>
      <c r="AH469">
        <v>27</v>
      </c>
      <c r="AI469">
        <v>3</v>
      </c>
      <c r="AJ469">
        <v>1</v>
      </c>
      <c r="AK469">
        <v>27.6</v>
      </c>
      <c r="AL469">
        <v>78</v>
      </c>
      <c r="AM469">
        <v>5364</v>
      </c>
      <c r="AN469">
        <v>71</v>
      </c>
      <c r="AO469">
        <v>71</v>
      </c>
      <c r="AP469">
        <v>72</v>
      </c>
      <c r="AQ469">
        <v>3.5</v>
      </c>
      <c r="AR469" t="s">
        <v>29</v>
      </c>
      <c r="AS469" t="s">
        <v>91</v>
      </c>
      <c r="AT469" t="s">
        <v>85</v>
      </c>
      <c r="AU469">
        <v>41.05</v>
      </c>
      <c r="AV469">
        <v>29</v>
      </c>
      <c r="AW469">
        <v>5</v>
      </c>
      <c r="AX469">
        <v>3</v>
      </c>
      <c r="AY469">
        <v>27.6</v>
      </c>
      <c r="AZ469">
        <v>97</v>
      </c>
      <c r="BA469">
        <v>4926</v>
      </c>
      <c r="BB469">
        <v>71</v>
      </c>
      <c r="BC469">
        <v>74</v>
      </c>
      <c r="BD469">
        <v>73</v>
      </c>
      <c r="BE469">
        <v>3.5</v>
      </c>
      <c r="BF469" t="s">
        <v>29</v>
      </c>
      <c r="BG469">
        <v>-5</v>
      </c>
      <c r="BH469">
        <v>37</v>
      </c>
      <c r="BI469">
        <v>0.40699999999999997</v>
      </c>
      <c r="BJ469" t="s">
        <v>85</v>
      </c>
      <c r="BK469">
        <v>0.47499999999999998</v>
      </c>
      <c r="BL469">
        <v>0.42859999999999998</v>
      </c>
      <c r="BM469">
        <v>1</v>
      </c>
      <c r="BN469">
        <v>1.35</v>
      </c>
    </row>
    <row r="470" spans="1:66" x14ac:dyDescent="0.25">
      <c r="A470">
        <v>3</v>
      </c>
      <c r="B470">
        <v>-1</v>
      </c>
      <c r="C470">
        <v>1</v>
      </c>
      <c r="D470">
        <v>2.1566666666666667</v>
      </c>
      <c r="E470">
        <v>3.25</v>
      </c>
      <c r="F470">
        <v>3.35</v>
      </c>
      <c r="G470" s="40">
        <v>0.31</v>
      </c>
      <c r="H470" s="40">
        <v>0.45</v>
      </c>
      <c r="I470" s="40">
        <v>0.23999999999999994</v>
      </c>
      <c r="J470">
        <v>2.1</v>
      </c>
      <c r="K470">
        <v>3.2</v>
      </c>
      <c r="L470">
        <v>3.25</v>
      </c>
      <c r="M470">
        <v>2.2000000000000002</v>
      </c>
      <c r="N470">
        <v>3.25</v>
      </c>
      <c r="O470">
        <v>3.4</v>
      </c>
      <c r="P470">
        <v>2.17</v>
      </c>
      <c r="Q470">
        <v>3.3</v>
      </c>
      <c r="R470">
        <v>3.4</v>
      </c>
      <c r="S470">
        <v>0.44688680158807009</v>
      </c>
      <c r="T470">
        <v>0.26435557277040767</v>
      </c>
      <c r="U470">
        <v>0.2887576256415223</v>
      </c>
      <c r="V470">
        <v>0.43029595015576322</v>
      </c>
      <c r="W470">
        <v>0.29127725856697817</v>
      </c>
      <c r="X470">
        <v>0.27842679127725856</v>
      </c>
      <c r="Y470">
        <v>0.43557591521409988</v>
      </c>
      <c r="Z470">
        <v>0.2864241624286657</v>
      </c>
      <c r="AA470">
        <v>0.27799992235723431</v>
      </c>
      <c r="AB470">
        <v>0.43758622231931105</v>
      </c>
      <c r="AC470">
        <v>0.28068566458868388</v>
      </c>
      <c r="AD470">
        <v>0.28172811309200507</v>
      </c>
      <c r="AE470" t="s">
        <v>96</v>
      </c>
      <c r="AF470" t="s">
        <v>85</v>
      </c>
      <c r="AG470">
        <v>21.6</v>
      </c>
      <c r="AH470">
        <v>31</v>
      </c>
      <c r="AI470">
        <v>2</v>
      </c>
      <c r="AJ470">
        <v>0</v>
      </c>
      <c r="AK470">
        <v>26.5</v>
      </c>
      <c r="AL470">
        <v>146</v>
      </c>
      <c r="AM470">
        <v>4001</v>
      </c>
      <c r="AN470">
        <v>70</v>
      </c>
      <c r="AO470">
        <v>69</v>
      </c>
      <c r="AP470">
        <v>71</v>
      </c>
      <c r="AQ470">
        <v>3.5</v>
      </c>
      <c r="AR470" t="s">
        <v>29</v>
      </c>
      <c r="AS470" t="s">
        <v>101</v>
      </c>
      <c r="AT470" t="s">
        <v>85</v>
      </c>
      <c r="AU470">
        <v>16.600000000000001</v>
      </c>
      <c r="AV470">
        <v>31</v>
      </c>
      <c r="AW470">
        <v>4</v>
      </c>
      <c r="AX470">
        <v>0</v>
      </c>
      <c r="AY470">
        <v>26</v>
      </c>
      <c r="AZ470">
        <v>225</v>
      </c>
      <c r="BA470">
        <v>3041</v>
      </c>
      <c r="BB470">
        <v>68</v>
      </c>
      <c r="BC470">
        <v>68</v>
      </c>
      <c r="BD470">
        <v>68</v>
      </c>
      <c r="BE470">
        <v>2.5</v>
      </c>
      <c r="BF470" t="s">
        <v>46</v>
      </c>
      <c r="BG470">
        <v>5</v>
      </c>
      <c r="BH470">
        <v>23</v>
      </c>
      <c r="BI470">
        <v>0.4</v>
      </c>
      <c r="BJ470" t="s">
        <v>85</v>
      </c>
      <c r="BK470">
        <v>0.43240000000000001</v>
      </c>
      <c r="BL470">
        <v>0.23680000000000001</v>
      </c>
      <c r="BM470">
        <v>1.46</v>
      </c>
      <c r="BN470">
        <v>0.82</v>
      </c>
    </row>
    <row r="471" spans="1:66" x14ac:dyDescent="0.25">
      <c r="A471">
        <v>1</v>
      </c>
      <c r="B471">
        <v>1</v>
      </c>
      <c r="C471">
        <v>3</v>
      </c>
      <c r="D471">
        <v>2.72</v>
      </c>
      <c r="E471">
        <v>2.9666666666666668</v>
      </c>
      <c r="F471">
        <v>2.6766666666666672</v>
      </c>
      <c r="G471" s="40">
        <v>0.28999999999999998</v>
      </c>
      <c r="H471" s="40">
        <v>0.38</v>
      </c>
      <c r="I471" s="40">
        <v>0.32999999999999996</v>
      </c>
      <c r="J471">
        <v>2.63</v>
      </c>
      <c r="K471">
        <v>2.9</v>
      </c>
      <c r="L471">
        <v>2.63</v>
      </c>
      <c r="M471">
        <v>2.75</v>
      </c>
      <c r="N471">
        <v>3</v>
      </c>
      <c r="O471">
        <v>2.7</v>
      </c>
      <c r="P471">
        <v>2.78</v>
      </c>
      <c r="Q471">
        <v>3</v>
      </c>
      <c r="R471">
        <v>2.7</v>
      </c>
      <c r="S471">
        <v>0.35174746335963925</v>
      </c>
      <c r="T471">
        <v>0.29650507328072151</v>
      </c>
      <c r="U471">
        <v>0.35174746335963925</v>
      </c>
      <c r="V471">
        <v>0.34069400630914826</v>
      </c>
      <c r="W471">
        <v>0.31230283911671924</v>
      </c>
      <c r="X471">
        <v>0.3470031545741325</v>
      </c>
      <c r="Y471">
        <v>0.33826108744675526</v>
      </c>
      <c r="Z471">
        <v>0.31345527436732645</v>
      </c>
      <c r="AA471">
        <v>0.34828363818591834</v>
      </c>
      <c r="AB471">
        <v>0.34356751903851429</v>
      </c>
      <c r="AC471">
        <v>0.30742106225492244</v>
      </c>
      <c r="AD471">
        <v>0.34901141870656333</v>
      </c>
      <c r="AE471" t="s">
        <v>115</v>
      </c>
      <c r="AF471" t="s">
        <v>108</v>
      </c>
      <c r="AG471">
        <v>71.75</v>
      </c>
      <c r="AH471">
        <v>32</v>
      </c>
      <c r="AI471">
        <v>2</v>
      </c>
      <c r="AJ471">
        <v>2</v>
      </c>
      <c r="AK471">
        <v>25.8</v>
      </c>
      <c r="AL471">
        <v>64</v>
      </c>
      <c r="AM471">
        <v>6079</v>
      </c>
      <c r="AN471">
        <v>72</v>
      </c>
      <c r="AO471">
        <v>72</v>
      </c>
      <c r="AP471">
        <v>74</v>
      </c>
      <c r="AQ471">
        <v>3.5</v>
      </c>
      <c r="AR471" t="s">
        <v>29</v>
      </c>
      <c r="AS471" t="s">
        <v>109</v>
      </c>
      <c r="AT471" t="s">
        <v>108</v>
      </c>
      <c r="AU471">
        <v>143.19999999999999</v>
      </c>
      <c r="AV471">
        <v>31</v>
      </c>
      <c r="AW471">
        <v>3</v>
      </c>
      <c r="AX471">
        <v>4</v>
      </c>
      <c r="AY471">
        <v>27</v>
      </c>
      <c r="AZ471">
        <v>5</v>
      </c>
      <c r="BA471">
        <v>11026</v>
      </c>
      <c r="BB471">
        <v>74</v>
      </c>
      <c r="BC471">
        <v>76</v>
      </c>
      <c r="BD471">
        <v>74</v>
      </c>
      <c r="BE471">
        <v>3.5</v>
      </c>
      <c r="BF471" t="s">
        <v>29</v>
      </c>
      <c r="BG471">
        <v>-16</v>
      </c>
      <c r="BH471">
        <v>48</v>
      </c>
      <c r="BI471">
        <v>0.28599999999999998</v>
      </c>
      <c r="BJ471" t="s">
        <v>108</v>
      </c>
      <c r="BK471">
        <v>0.3448</v>
      </c>
      <c r="BL471">
        <v>0.50649999999999995</v>
      </c>
      <c r="BM471">
        <v>1.1599999999999999</v>
      </c>
      <c r="BN471">
        <v>1.65</v>
      </c>
    </row>
    <row r="472" spans="1:66" x14ac:dyDescent="0.25">
      <c r="A472">
        <v>2</v>
      </c>
      <c r="B472">
        <v>0</v>
      </c>
      <c r="C472">
        <v>0</v>
      </c>
      <c r="D472">
        <v>2.7099999999999995</v>
      </c>
      <c r="E472">
        <v>3.0500000000000003</v>
      </c>
      <c r="F472">
        <v>2.6433333333333335</v>
      </c>
      <c r="G472" s="40">
        <v>0.24</v>
      </c>
      <c r="H472" s="40">
        <v>0.31</v>
      </c>
      <c r="I472" s="40">
        <v>0.45</v>
      </c>
      <c r="J472">
        <v>2.63</v>
      </c>
      <c r="K472">
        <v>2.95</v>
      </c>
      <c r="L472">
        <v>2.5499999999999998</v>
      </c>
      <c r="M472">
        <v>2.75</v>
      </c>
      <c r="N472">
        <v>3.1</v>
      </c>
      <c r="O472">
        <v>2.7</v>
      </c>
      <c r="P472">
        <v>2.75</v>
      </c>
      <c r="Q472">
        <v>3.1</v>
      </c>
      <c r="R472">
        <v>2.68</v>
      </c>
      <c r="S472">
        <v>0.34920456072077077</v>
      </c>
      <c r="T472">
        <v>0.29063544135937563</v>
      </c>
      <c r="U472">
        <v>0.36015999791985376</v>
      </c>
      <c r="V472">
        <v>0.34416118421052638</v>
      </c>
      <c r="W472">
        <v>0.30530427631578949</v>
      </c>
      <c r="X472">
        <v>0.35053453947368424</v>
      </c>
      <c r="Y472">
        <v>0.34326323183076479</v>
      </c>
      <c r="Z472">
        <v>0.30450770565632362</v>
      </c>
      <c r="AA472">
        <v>0.35222906251291164</v>
      </c>
      <c r="AB472">
        <v>0.34554299225402069</v>
      </c>
      <c r="AC472">
        <v>0.30014914111049623</v>
      </c>
      <c r="AD472">
        <v>0.35430786663548325</v>
      </c>
      <c r="AE472" t="s">
        <v>116</v>
      </c>
      <c r="AF472" t="s">
        <v>108</v>
      </c>
      <c r="AG472">
        <v>83.05</v>
      </c>
      <c r="AH472">
        <v>34</v>
      </c>
      <c r="AI472">
        <v>9</v>
      </c>
      <c r="AJ472">
        <v>5</v>
      </c>
      <c r="AK472">
        <v>26.4</v>
      </c>
      <c r="AL472">
        <v>75</v>
      </c>
      <c r="AM472">
        <v>5476</v>
      </c>
      <c r="AN472">
        <v>78</v>
      </c>
      <c r="AO472">
        <v>75</v>
      </c>
      <c r="AP472">
        <v>76</v>
      </c>
      <c r="AQ472">
        <v>4</v>
      </c>
      <c r="AR472" t="s">
        <v>29</v>
      </c>
      <c r="AS472" t="s">
        <v>113</v>
      </c>
      <c r="AT472" t="s">
        <v>108</v>
      </c>
      <c r="AU472">
        <v>98.45</v>
      </c>
      <c r="AV472">
        <v>29</v>
      </c>
      <c r="AW472">
        <v>8</v>
      </c>
      <c r="AX472">
        <v>7</v>
      </c>
      <c r="AY472">
        <v>27.3</v>
      </c>
      <c r="AZ472">
        <v>33</v>
      </c>
      <c r="BA472">
        <v>7418</v>
      </c>
      <c r="BB472">
        <v>81</v>
      </c>
      <c r="BC472">
        <v>75</v>
      </c>
      <c r="BD472">
        <v>75</v>
      </c>
      <c r="BE472">
        <v>4</v>
      </c>
      <c r="BF472" t="s">
        <v>29</v>
      </c>
      <c r="BG472">
        <v>8</v>
      </c>
      <c r="BH472">
        <v>60</v>
      </c>
      <c r="BI472">
        <v>0.35599999999999998</v>
      </c>
      <c r="BJ472" t="s">
        <v>108</v>
      </c>
      <c r="BK472">
        <v>0.44619999999999999</v>
      </c>
      <c r="BL472">
        <v>0.54390000000000005</v>
      </c>
      <c r="BM472">
        <v>1.69</v>
      </c>
      <c r="BN472">
        <v>1.68</v>
      </c>
    </row>
    <row r="473" spans="1:66" x14ac:dyDescent="0.25">
      <c r="A473">
        <v>1</v>
      </c>
      <c r="B473">
        <v>2</v>
      </c>
      <c r="C473">
        <v>2</v>
      </c>
      <c r="D473">
        <v>1.8333333333333333</v>
      </c>
      <c r="E473">
        <v>3.4833333333333329</v>
      </c>
      <c r="F473">
        <v>4.1166666666666671</v>
      </c>
      <c r="G473" s="40">
        <v>0.46</v>
      </c>
      <c r="H473" s="40">
        <v>0.36</v>
      </c>
      <c r="I473" s="40">
        <v>0.18000000000000005</v>
      </c>
      <c r="J473">
        <v>1.78</v>
      </c>
      <c r="K473">
        <v>3.35</v>
      </c>
      <c r="L473">
        <v>4</v>
      </c>
      <c r="M473">
        <v>1.85</v>
      </c>
      <c r="N473">
        <v>3.55</v>
      </c>
      <c r="O473">
        <v>4.2</v>
      </c>
      <c r="P473">
        <v>1.87</v>
      </c>
      <c r="Q473">
        <v>3.55</v>
      </c>
      <c r="R473">
        <v>4.1500000000000004</v>
      </c>
      <c r="S473">
        <v>0.52570934754428922</v>
      </c>
      <c r="T473">
        <v>0.24034999279850211</v>
      </c>
      <c r="U473">
        <v>0.2339406596572087</v>
      </c>
      <c r="V473">
        <v>0.50978716129583723</v>
      </c>
      <c r="W473">
        <v>0.2656637319429011</v>
      </c>
      <c r="X473">
        <v>0.22454910676126166</v>
      </c>
      <c r="Y473">
        <v>0.50572404441927121</v>
      </c>
      <c r="Z473">
        <v>0.26639548255324996</v>
      </c>
      <c r="AA473">
        <v>0.22788047302747882</v>
      </c>
      <c r="AB473">
        <v>0.5137401844197993</v>
      </c>
      <c r="AC473">
        <v>0.25746973576488441</v>
      </c>
      <c r="AD473">
        <v>0.22879007981531641</v>
      </c>
      <c r="AE473" t="s">
        <v>112</v>
      </c>
      <c r="AF473" t="s">
        <v>108</v>
      </c>
      <c r="AG473">
        <v>59.75</v>
      </c>
      <c r="AH473">
        <v>28</v>
      </c>
      <c r="AI473">
        <v>8</v>
      </c>
      <c r="AJ473">
        <v>4</v>
      </c>
      <c r="AK473">
        <v>26</v>
      </c>
      <c r="AL473">
        <v>17</v>
      </c>
      <c r="AM473">
        <v>9035</v>
      </c>
      <c r="AN473">
        <v>71</v>
      </c>
      <c r="AO473">
        <v>75</v>
      </c>
      <c r="AP473">
        <v>75</v>
      </c>
      <c r="AQ473">
        <v>3.5</v>
      </c>
      <c r="AR473" t="s">
        <v>29</v>
      </c>
      <c r="AS473" t="s">
        <v>117</v>
      </c>
      <c r="AT473" t="s">
        <v>108</v>
      </c>
      <c r="AU473">
        <v>24.33</v>
      </c>
      <c r="AV473">
        <v>30</v>
      </c>
      <c r="AW473">
        <v>6</v>
      </c>
      <c r="AX473">
        <v>0</v>
      </c>
      <c r="AY473">
        <v>27.8</v>
      </c>
      <c r="AZ473">
        <v>84</v>
      </c>
      <c r="BA473">
        <v>5249</v>
      </c>
      <c r="BB473">
        <v>69</v>
      </c>
      <c r="BC473">
        <v>71</v>
      </c>
      <c r="BD473">
        <v>71</v>
      </c>
      <c r="BE473">
        <v>3.5</v>
      </c>
      <c r="BF473" t="s">
        <v>28</v>
      </c>
      <c r="BG473">
        <v>12</v>
      </c>
      <c r="BH473">
        <v>44</v>
      </c>
      <c r="BI473">
        <v>0.56499999999999995</v>
      </c>
      <c r="BJ473" t="s">
        <v>108</v>
      </c>
      <c r="BK473">
        <v>0.52939999999999998</v>
      </c>
      <c r="BL473">
        <v>0.40279999999999999</v>
      </c>
      <c r="BM473">
        <v>1.5</v>
      </c>
      <c r="BN473">
        <v>1.33</v>
      </c>
    </row>
    <row r="474" spans="1:66" x14ac:dyDescent="0.25">
      <c r="A474">
        <v>1</v>
      </c>
      <c r="B474">
        <v>2</v>
      </c>
      <c r="C474">
        <v>6</v>
      </c>
      <c r="D474">
        <v>3.1666666666666665</v>
      </c>
      <c r="E474">
        <v>3.0666666666666664</v>
      </c>
      <c r="F474">
        <v>2.2966666666666669</v>
      </c>
      <c r="G474" s="40">
        <v>0.37</v>
      </c>
      <c r="H474" s="40">
        <v>0.27</v>
      </c>
      <c r="I474" s="40">
        <v>0.36</v>
      </c>
      <c r="J474">
        <v>3.15</v>
      </c>
      <c r="K474">
        <v>3</v>
      </c>
      <c r="L474">
        <v>2.1800000000000002</v>
      </c>
      <c r="M474">
        <v>3.2</v>
      </c>
      <c r="N474">
        <v>3.1</v>
      </c>
      <c r="O474">
        <v>2.35</v>
      </c>
      <c r="P474">
        <v>3.15</v>
      </c>
      <c r="Q474">
        <v>3.1</v>
      </c>
      <c r="R474">
        <v>2.36</v>
      </c>
      <c r="S474">
        <v>0.29357393461735004</v>
      </c>
      <c r="T474">
        <v>0.28222519655482781</v>
      </c>
      <c r="U474">
        <v>0.42420086882782226</v>
      </c>
      <c r="V474">
        <v>0.29464105156723963</v>
      </c>
      <c r="W474">
        <v>0.3041456016177958</v>
      </c>
      <c r="X474">
        <v>0.40121334681496462</v>
      </c>
      <c r="Y474">
        <v>0.29842953293901697</v>
      </c>
      <c r="Z474">
        <v>0.30324291250254948</v>
      </c>
      <c r="AA474">
        <v>0.39832755455843361</v>
      </c>
      <c r="AB474">
        <v>0.29554817304120223</v>
      </c>
      <c r="AC474">
        <v>0.29653790355839099</v>
      </c>
      <c r="AD474">
        <v>0.40791392340040683</v>
      </c>
      <c r="AE474" t="s">
        <v>111</v>
      </c>
      <c r="AF474" t="s">
        <v>108</v>
      </c>
      <c r="AG474">
        <v>56.2</v>
      </c>
      <c r="AH474">
        <v>28</v>
      </c>
      <c r="AI474">
        <v>2</v>
      </c>
      <c r="AJ474">
        <v>2</v>
      </c>
      <c r="AK474">
        <v>25.9</v>
      </c>
      <c r="AL474">
        <v>15</v>
      </c>
      <c r="AM474">
        <v>9286</v>
      </c>
      <c r="AN474">
        <v>74</v>
      </c>
      <c r="AO474">
        <v>71</v>
      </c>
      <c r="AP474">
        <v>72</v>
      </c>
      <c r="AQ474">
        <v>3.5</v>
      </c>
      <c r="AR474" t="s">
        <v>29</v>
      </c>
      <c r="AS474" t="s">
        <v>110</v>
      </c>
      <c r="AT474" t="s">
        <v>108</v>
      </c>
      <c r="AU474">
        <v>84.95</v>
      </c>
      <c r="AV474">
        <v>33</v>
      </c>
      <c r="AW474">
        <v>5</v>
      </c>
      <c r="AX474">
        <v>4</v>
      </c>
      <c r="AY474">
        <v>26.9</v>
      </c>
      <c r="AZ474">
        <v>9</v>
      </c>
      <c r="BA474">
        <v>10366</v>
      </c>
      <c r="BB474">
        <v>75</v>
      </c>
      <c r="BC474">
        <v>72</v>
      </c>
      <c r="BD474">
        <v>75</v>
      </c>
      <c r="BE474">
        <v>3.5</v>
      </c>
      <c r="BF474" t="s">
        <v>29</v>
      </c>
      <c r="BG474">
        <v>-15</v>
      </c>
      <c r="BH474">
        <v>31</v>
      </c>
      <c r="BI474">
        <v>0.21199999999999999</v>
      </c>
      <c r="BJ474" t="s">
        <v>108</v>
      </c>
      <c r="BK474">
        <v>0.43940000000000001</v>
      </c>
      <c r="BL474">
        <v>0.47299999999999998</v>
      </c>
      <c r="BM474">
        <v>1.29</v>
      </c>
      <c r="BN474">
        <v>1.36</v>
      </c>
    </row>
    <row r="475" spans="1:66" x14ac:dyDescent="0.25">
      <c r="A475">
        <v>3</v>
      </c>
      <c r="B475">
        <v>-1</v>
      </c>
      <c r="C475">
        <v>3</v>
      </c>
      <c r="D475">
        <v>2.85</v>
      </c>
      <c r="E475">
        <v>3.1666666666666665</v>
      </c>
      <c r="F475">
        <v>2.64</v>
      </c>
      <c r="G475" s="40">
        <v>0.27</v>
      </c>
      <c r="H475" s="40">
        <v>0.38</v>
      </c>
      <c r="I475" s="40">
        <v>0.35</v>
      </c>
      <c r="J475">
        <v>2.85</v>
      </c>
      <c r="K475">
        <v>3.2</v>
      </c>
      <c r="L475">
        <v>2.7</v>
      </c>
      <c r="M475">
        <v>2.85</v>
      </c>
      <c r="N475">
        <v>3.1</v>
      </c>
      <c r="O475">
        <v>2.6</v>
      </c>
      <c r="P475">
        <v>2.85</v>
      </c>
      <c r="Q475">
        <v>3.2</v>
      </c>
      <c r="R475">
        <v>2.62</v>
      </c>
      <c r="S475">
        <v>0.35167011794363917</v>
      </c>
      <c r="T475">
        <v>0.27712253533807507</v>
      </c>
      <c r="U475">
        <v>0.37120734671828581</v>
      </c>
      <c r="V475">
        <v>0.3316190084344785</v>
      </c>
      <c r="W475">
        <v>0.30487554001234318</v>
      </c>
      <c r="X475">
        <v>0.36350545155317843</v>
      </c>
      <c r="Y475">
        <v>0.33574946938448597</v>
      </c>
      <c r="Z475">
        <v>0.29902687117055782</v>
      </c>
      <c r="AA475">
        <v>0.36522365944495611</v>
      </c>
      <c r="AB475">
        <v>0.33967953192086786</v>
      </c>
      <c r="AC475">
        <v>0.29367498217365867</v>
      </c>
      <c r="AD475">
        <v>0.36664548590547347</v>
      </c>
      <c r="AE475" t="s">
        <v>313</v>
      </c>
      <c r="AF475" t="s">
        <v>307</v>
      </c>
      <c r="AG475">
        <v>466.9</v>
      </c>
      <c r="AH475">
        <v>28</v>
      </c>
      <c r="AI475">
        <v>19</v>
      </c>
      <c r="AJ475">
        <v>17</v>
      </c>
      <c r="AK475">
        <v>26.2</v>
      </c>
      <c r="AL475">
        <v>121</v>
      </c>
      <c r="AM475">
        <v>4490</v>
      </c>
      <c r="AN475">
        <v>84</v>
      </c>
      <c r="AO475">
        <v>78</v>
      </c>
      <c r="AP475">
        <v>80</v>
      </c>
      <c r="AQ475">
        <v>4.5</v>
      </c>
      <c r="AR475" t="s">
        <v>29</v>
      </c>
      <c r="AS475" t="s">
        <v>143</v>
      </c>
      <c r="AT475" t="s">
        <v>141</v>
      </c>
      <c r="AU475">
        <v>755.2</v>
      </c>
      <c r="AV475">
        <v>22</v>
      </c>
      <c r="AW475">
        <v>19</v>
      </c>
      <c r="AX475">
        <v>19</v>
      </c>
      <c r="AY475">
        <v>28</v>
      </c>
      <c r="AZ475">
        <v>13</v>
      </c>
      <c r="BA475">
        <v>9329</v>
      </c>
      <c r="BB475">
        <v>85</v>
      </c>
      <c r="BC475">
        <v>82</v>
      </c>
      <c r="BD475">
        <v>83</v>
      </c>
      <c r="BE475">
        <v>5</v>
      </c>
      <c r="BF475" t="s">
        <v>29</v>
      </c>
      <c r="BG475">
        <v>-4</v>
      </c>
      <c r="BH475">
        <v>0</v>
      </c>
      <c r="BI475">
        <v>0</v>
      </c>
      <c r="BJ475" t="s">
        <v>282</v>
      </c>
      <c r="BK475">
        <v>0.56599999999999995</v>
      </c>
      <c r="BL475">
        <v>0.60419999999999996</v>
      </c>
      <c r="BM475">
        <v>1.85</v>
      </c>
      <c r="BN475">
        <v>1.6</v>
      </c>
    </row>
    <row r="476" spans="1:66" x14ac:dyDescent="0.25">
      <c r="A476">
        <v>1</v>
      </c>
      <c r="B476">
        <v>2</v>
      </c>
      <c r="C476">
        <v>2</v>
      </c>
      <c r="D476">
        <v>3.0166666666666671</v>
      </c>
      <c r="E476">
        <v>3.5166666666666671</v>
      </c>
      <c r="F476">
        <v>2.3266666666666667</v>
      </c>
      <c r="G476" s="40">
        <v>0.2</v>
      </c>
      <c r="H476" s="40">
        <v>0.42</v>
      </c>
      <c r="I476" s="40">
        <v>0.38000000000000006</v>
      </c>
      <c r="J476">
        <v>3.05</v>
      </c>
      <c r="K476">
        <v>3.55</v>
      </c>
      <c r="L476">
        <v>2.38</v>
      </c>
      <c r="M476">
        <v>2.95</v>
      </c>
      <c r="N476">
        <v>3.45</v>
      </c>
      <c r="O476">
        <v>2.2999999999999998</v>
      </c>
      <c r="P476">
        <v>3.05</v>
      </c>
      <c r="Q476">
        <v>3.55</v>
      </c>
      <c r="R476">
        <v>2.2999999999999998</v>
      </c>
      <c r="S476">
        <v>0.32939804593412586</v>
      </c>
      <c r="T476">
        <v>0.24847420612508259</v>
      </c>
      <c r="U476">
        <v>0.42212774794079155</v>
      </c>
      <c r="V476">
        <v>0.3187066974595843</v>
      </c>
      <c r="W476">
        <v>0.27251732101616627</v>
      </c>
      <c r="X476">
        <v>0.40877598152424943</v>
      </c>
      <c r="Y476">
        <v>0.31394789964433339</v>
      </c>
      <c r="Z476">
        <v>0.26972988560992023</v>
      </c>
      <c r="AA476">
        <v>0.41632221474574643</v>
      </c>
      <c r="AB476">
        <v>0.32068421434601452</v>
      </c>
      <c r="AC476">
        <v>0.26357380425038968</v>
      </c>
      <c r="AD476">
        <v>0.41574198140359586</v>
      </c>
      <c r="AE476" t="s">
        <v>10</v>
      </c>
      <c r="AF476" t="s">
        <v>23</v>
      </c>
      <c r="AG476">
        <v>997.75</v>
      </c>
      <c r="AH476">
        <v>35</v>
      </c>
      <c r="AI476">
        <v>24</v>
      </c>
      <c r="AJ476">
        <v>19</v>
      </c>
      <c r="AK476">
        <v>26.1</v>
      </c>
      <c r="AL476">
        <v>12</v>
      </c>
      <c r="AM476">
        <v>9495</v>
      </c>
      <c r="AN476">
        <v>87</v>
      </c>
      <c r="AO476">
        <v>82</v>
      </c>
      <c r="AP476">
        <v>82</v>
      </c>
      <c r="AQ476">
        <v>5</v>
      </c>
      <c r="AR476" t="s">
        <v>28</v>
      </c>
      <c r="AS476" t="s">
        <v>254</v>
      </c>
      <c r="AT476" t="s">
        <v>253</v>
      </c>
      <c r="AU476">
        <v>1040</v>
      </c>
      <c r="AV476">
        <v>22</v>
      </c>
      <c r="AW476">
        <v>16</v>
      </c>
      <c r="AX476">
        <v>19</v>
      </c>
      <c r="AY476">
        <v>27.6</v>
      </c>
      <c r="AZ476">
        <v>8</v>
      </c>
      <c r="BA476">
        <v>10390</v>
      </c>
      <c r="BB476">
        <v>85</v>
      </c>
      <c r="BC476">
        <v>86</v>
      </c>
      <c r="BD476">
        <v>83</v>
      </c>
      <c r="BE476">
        <v>5</v>
      </c>
      <c r="BF476" t="s">
        <v>28</v>
      </c>
      <c r="BG476">
        <v>-4</v>
      </c>
      <c r="BH476">
        <v>2</v>
      </c>
      <c r="BI476">
        <v>0</v>
      </c>
      <c r="BJ476" t="s">
        <v>282</v>
      </c>
      <c r="BK476">
        <v>0.66669999999999996</v>
      </c>
      <c r="BL476">
        <v>0.77049999999999996</v>
      </c>
      <c r="BM476">
        <v>2.21</v>
      </c>
      <c r="BN476">
        <v>2.15</v>
      </c>
    </row>
    <row r="477" spans="1:66" x14ac:dyDescent="0.25">
      <c r="A477">
        <v>1</v>
      </c>
      <c r="B477">
        <v>1</v>
      </c>
      <c r="C477">
        <v>1</v>
      </c>
      <c r="D477">
        <v>4.0166666666666666</v>
      </c>
      <c r="E477">
        <v>3.5</v>
      </c>
      <c r="F477">
        <v>1.9566666666666668</v>
      </c>
      <c r="G477" s="40">
        <v>0.28999999999999998</v>
      </c>
      <c r="H477" s="40">
        <v>0.35</v>
      </c>
      <c r="I477" s="40">
        <v>0.36</v>
      </c>
      <c r="J477">
        <v>4.0999999999999996</v>
      </c>
      <c r="K477">
        <v>3.55</v>
      </c>
      <c r="L477">
        <v>1.98</v>
      </c>
      <c r="M477">
        <v>3.75</v>
      </c>
      <c r="N477">
        <v>3.4</v>
      </c>
      <c r="O477">
        <v>1.99</v>
      </c>
      <c r="P477">
        <v>4.2</v>
      </c>
      <c r="Q477">
        <v>3.55</v>
      </c>
      <c r="R477">
        <v>1.9</v>
      </c>
      <c r="S477">
        <v>0.24794525380083951</v>
      </c>
      <c r="T477">
        <v>0.23863275600550282</v>
      </c>
      <c r="U477">
        <v>0.51342199019365753</v>
      </c>
      <c r="V477">
        <v>0.25079229757028743</v>
      </c>
      <c r="W477">
        <v>0.27660915173193468</v>
      </c>
      <c r="X477">
        <v>0.47259855069777784</v>
      </c>
      <c r="Y477">
        <v>0.22760249704741012</v>
      </c>
      <c r="Z477">
        <v>0.26927619368989375</v>
      </c>
      <c r="AA477">
        <v>0.50312130926269616</v>
      </c>
      <c r="AB477">
        <v>0.24211334947284568</v>
      </c>
      <c r="AC477">
        <v>0.26150603380911042</v>
      </c>
      <c r="AD477">
        <v>0.49638061671804384</v>
      </c>
      <c r="AE477" t="s">
        <v>306</v>
      </c>
      <c r="AF477" t="s">
        <v>307</v>
      </c>
      <c r="AG477">
        <v>640.4</v>
      </c>
      <c r="AH477">
        <v>25</v>
      </c>
      <c r="AI477">
        <v>14</v>
      </c>
      <c r="AJ477">
        <v>20</v>
      </c>
      <c r="AK477">
        <v>27.3</v>
      </c>
      <c r="AL477">
        <v>14</v>
      </c>
      <c r="AM477">
        <v>9319</v>
      </c>
      <c r="AN477">
        <v>87</v>
      </c>
      <c r="AO477">
        <v>81</v>
      </c>
      <c r="AP477">
        <v>83</v>
      </c>
      <c r="AQ477">
        <v>5</v>
      </c>
      <c r="AR477" t="s">
        <v>28</v>
      </c>
      <c r="AS477" t="s">
        <v>255</v>
      </c>
      <c r="AT477" t="s">
        <v>253</v>
      </c>
      <c r="AU477">
        <v>882.5</v>
      </c>
      <c r="AV477">
        <v>27</v>
      </c>
      <c r="AW477">
        <v>18</v>
      </c>
      <c r="AX477">
        <v>17</v>
      </c>
      <c r="AY477">
        <v>26.7</v>
      </c>
      <c r="AZ477">
        <v>19</v>
      </c>
      <c r="BA477">
        <v>8832</v>
      </c>
      <c r="BB477">
        <v>82</v>
      </c>
      <c r="BC477">
        <v>84</v>
      </c>
      <c r="BD477">
        <v>82</v>
      </c>
      <c r="BE477">
        <v>4.5</v>
      </c>
      <c r="BF477" t="s">
        <v>28</v>
      </c>
      <c r="BG477">
        <v>2</v>
      </c>
      <c r="BH477">
        <v>5</v>
      </c>
      <c r="BI477">
        <v>0.25</v>
      </c>
      <c r="BJ477" t="s">
        <v>282</v>
      </c>
      <c r="BK477">
        <v>0.65380000000000005</v>
      </c>
      <c r="BL477">
        <v>0.57630000000000003</v>
      </c>
      <c r="BM477">
        <v>2.08</v>
      </c>
      <c r="BN477">
        <v>1.68</v>
      </c>
    </row>
    <row r="478" spans="1:66" x14ac:dyDescent="0.25">
      <c r="A478">
        <v>1</v>
      </c>
      <c r="B478">
        <v>1</v>
      </c>
      <c r="C478">
        <v>3</v>
      </c>
      <c r="D478">
        <v>1.5033333333333332</v>
      </c>
      <c r="E478">
        <v>4.4443333333333337</v>
      </c>
      <c r="F478">
        <v>6.4333333333333336</v>
      </c>
      <c r="G478" s="40">
        <v>0.41</v>
      </c>
      <c r="H478" s="40">
        <v>0.42</v>
      </c>
      <c r="I478" s="40">
        <v>0.1700000000000001</v>
      </c>
      <c r="J478">
        <v>1.5</v>
      </c>
      <c r="K478">
        <v>4.5</v>
      </c>
      <c r="L478">
        <v>7</v>
      </c>
      <c r="M478">
        <v>1.51</v>
      </c>
      <c r="N478">
        <v>4.3330000000000002</v>
      </c>
      <c r="O478">
        <v>6</v>
      </c>
      <c r="P478">
        <v>1.5</v>
      </c>
      <c r="Q478">
        <v>4.5</v>
      </c>
      <c r="R478">
        <v>6.3</v>
      </c>
      <c r="S478">
        <v>0.68911917098445596</v>
      </c>
      <c r="T478">
        <v>0.16321243523316065</v>
      </c>
      <c r="U478">
        <v>0.14766839378238342</v>
      </c>
      <c r="V478">
        <v>0.62493945433300246</v>
      </c>
      <c r="W478">
        <v>0.2177841163265252</v>
      </c>
      <c r="X478">
        <v>0.15727642934047228</v>
      </c>
      <c r="Y478">
        <v>0.63636363636363646</v>
      </c>
      <c r="Z478">
        <v>0.21212121212121213</v>
      </c>
      <c r="AA478">
        <v>0.15151515151515152</v>
      </c>
      <c r="AB478">
        <v>0.6501407538936983</v>
      </c>
      <c r="AC478">
        <v>0.19770592122696598</v>
      </c>
      <c r="AD478">
        <v>0.15215332487933575</v>
      </c>
      <c r="AE478" t="s">
        <v>258</v>
      </c>
      <c r="AF478" t="s">
        <v>253</v>
      </c>
      <c r="AG478">
        <v>937.25</v>
      </c>
      <c r="AH478">
        <v>28</v>
      </c>
      <c r="AI478">
        <v>17</v>
      </c>
      <c r="AJ478">
        <v>21</v>
      </c>
      <c r="AK478">
        <v>27.9</v>
      </c>
      <c r="AL478">
        <v>39</v>
      </c>
      <c r="AM478">
        <v>7151</v>
      </c>
      <c r="AN478">
        <v>83</v>
      </c>
      <c r="AO478">
        <v>82</v>
      </c>
      <c r="AP478">
        <v>82</v>
      </c>
      <c r="AQ478">
        <v>4.5</v>
      </c>
      <c r="AR478" t="s">
        <v>29</v>
      </c>
      <c r="AS478" t="s">
        <v>149</v>
      </c>
      <c r="AT478" t="s">
        <v>141</v>
      </c>
      <c r="AU478">
        <v>298.89999999999998</v>
      </c>
      <c r="AV478">
        <v>24</v>
      </c>
      <c r="AW478">
        <v>9</v>
      </c>
      <c r="AX478">
        <v>10</v>
      </c>
      <c r="AY478">
        <v>28.2</v>
      </c>
      <c r="AZ478">
        <v>77</v>
      </c>
      <c r="BA478">
        <v>5396</v>
      </c>
      <c r="BB478">
        <v>82</v>
      </c>
      <c r="BC478">
        <v>79</v>
      </c>
      <c r="BD478">
        <v>79</v>
      </c>
      <c r="BE478">
        <v>4.5</v>
      </c>
      <c r="BF478" t="s">
        <v>29</v>
      </c>
      <c r="BG478">
        <v>-1</v>
      </c>
      <c r="BH478">
        <v>4</v>
      </c>
      <c r="BI478">
        <v>0</v>
      </c>
      <c r="BJ478" t="s">
        <v>282</v>
      </c>
      <c r="BK478">
        <v>0.57379999999999998</v>
      </c>
      <c r="BL478">
        <v>0.53449999999999998</v>
      </c>
      <c r="BM478">
        <v>1.98</v>
      </c>
      <c r="BN478">
        <v>1.78</v>
      </c>
    </row>
    <row r="479" spans="1:66" x14ac:dyDescent="0.25">
      <c r="A479">
        <v>2</v>
      </c>
      <c r="B479">
        <v>0</v>
      </c>
      <c r="C479">
        <v>2</v>
      </c>
      <c r="D479">
        <v>2.94</v>
      </c>
      <c r="E479">
        <v>3.2000000000000006</v>
      </c>
      <c r="F479">
        <v>2.5533333333333332</v>
      </c>
      <c r="G479" s="40">
        <v>0.31</v>
      </c>
      <c r="H479" s="40">
        <v>0.42</v>
      </c>
      <c r="I479" s="40">
        <v>0.26999999999999996</v>
      </c>
      <c r="J479">
        <v>2.95</v>
      </c>
      <c r="K479">
        <v>3.2</v>
      </c>
      <c r="L479">
        <v>2.63</v>
      </c>
      <c r="M479">
        <v>2.9</v>
      </c>
      <c r="N479">
        <v>3.2</v>
      </c>
      <c r="O479">
        <v>2.5</v>
      </c>
      <c r="P479">
        <v>2.97</v>
      </c>
      <c r="Q479">
        <v>3.2</v>
      </c>
      <c r="R479">
        <v>2.5299999999999998</v>
      </c>
      <c r="S479">
        <v>0.34070480878337911</v>
      </c>
      <c r="T479">
        <v>0.27713580493868611</v>
      </c>
      <c r="U479">
        <v>0.38215938627793483</v>
      </c>
      <c r="V479">
        <v>0.32613126783530377</v>
      </c>
      <c r="W479">
        <v>0.29555646147574399</v>
      </c>
      <c r="X479">
        <v>0.37831227068895235</v>
      </c>
      <c r="Y479">
        <v>0.32236870921116023</v>
      </c>
      <c r="Z479">
        <v>0.29919845823660807</v>
      </c>
      <c r="AA479">
        <v>0.37843283255223159</v>
      </c>
      <c r="AB479">
        <v>0.32973492860994774</v>
      </c>
      <c r="AC479">
        <v>0.29063024155034606</v>
      </c>
      <c r="AD479">
        <v>0.37963482983970626</v>
      </c>
      <c r="AE479" t="s">
        <v>274</v>
      </c>
      <c r="AF479" t="s">
        <v>26</v>
      </c>
      <c r="AG479">
        <v>287.75</v>
      </c>
      <c r="AH479">
        <v>31</v>
      </c>
      <c r="AI479">
        <v>20</v>
      </c>
      <c r="AJ479">
        <v>11</v>
      </c>
      <c r="AK479">
        <v>25.4</v>
      </c>
      <c r="AL479">
        <v>65</v>
      </c>
      <c r="AM479">
        <v>5919</v>
      </c>
      <c r="AN479">
        <v>78</v>
      </c>
      <c r="AO479">
        <v>78</v>
      </c>
      <c r="AP479">
        <v>77</v>
      </c>
      <c r="AQ479">
        <v>4</v>
      </c>
      <c r="AR479" t="s">
        <v>46</v>
      </c>
      <c r="AS479" t="s">
        <v>146</v>
      </c>
      <c r="AT479" t="s">
        <v>141</v>
      </c>
      <c r="AU479">
        <v>430.9</v>
      </c>
      <c r="AV479">
        <v>27</v>
      </c>
      <c r="AW479">
        <v>20</v>
      </c>
      <c r="AX479">
        <v>14</v>
      </c>
      <c r="AY479">
        <v>28</v>
      </c>
      <c r="AZ479">
        <v>31</v>
      </c>
      <c r="BA479">
        <v>7447</v>
      </c>
      <c r="BB479">
        <v>80</v>
      </c>
      <c r="BC479">
        <v>81</v>
      </c>
      <c r="BD479">
        <v>82</v>
      </c>
      <c r="BE479">
        <v>4.5</v>
      </c>
      <c r="BF479" t="s">
        <v>29</v>
      </c>
      <c r="BG479">
        <v>0</v>
      </c>
      <c r="BH479">
        <v>0</v>
      </c>
      <c r="BI479">
        <v>0</v>
      </c>
      <c r="BJ479" t="s">
        <v>282</v>
      </c>
      <c r="BK479">
        <v>0.53659999999999997</v>
      </c>
      <c r="BL479">
        <v>0.62960000000000005</v>
      </c>
      <c r="BM479">
        <v>1.88</v>
      </c>
      <c r="BN479">
        <v>1.46</v>
      </c>
    </row>
    <row r="480" spans="1:66" x14ac:dyDescent="0.25">
      <c r="A480">
        <v>2</v>
      </c>
      <c r="B480">
        <v>0</v>
      </c>
      <c r="C480">
        <v>2</v>
      </c>
      <c r="D480">
        <v>1.9333333333333333</v>
      </c>
      <c r="E480">
        <v>3.3666666666666667</v>
      </c>
      <c r="F480">
        <v>4.3499999999999996</v>
      </c>
      <c r="G480" s="40">
        <v>0.52</v>
      </c>
      <c r="H480" s="40">
        <v>0.21</v>
      </c>
      <c r="I480" s="40">
        <v>0.27</v>
      </c>
      <c r="J480">
        <v>1.9</v>
      </c>
      <c r="K480">
        <v>3.3</v>
      </c>
      <c r="L480">
        <v>4.3</v>
      </c>
      <c r="M480">
        <v>1.98</v>
      </c>
      <c r="N480">
        <v>3.25</v>
      </c>
      <c r="O480">
        <v>4.0999999999999996</v>
      </c>
      <c r="P480">
        <v>1.92</v>
      </c>
      <c r="Q480">
        <v>3.55</v>
      </c>
      <c r="R480">
        <v>4.6500000000000004</v>
      </c>
      <c r="S480">
        <v>0.52060229931834368</v>
      </c>
      <c r="T480">
        <v>0.24936412656424861</v>
      </c>
      <c r="U480">
        <v>0.23003357411740766</v>
      </c>
      <c r="V480">
        <v>0.47797546452399736</v>
      </c>
      <c r="W480">
        <v>0.2911973599253892</v>
      </c>
      <c r="X480">
        <v>0.23082717555061341</v>
      </c>
      <c r="Y480">
        <v>0.51183665876005768</v>
      </c>
      <c r="Z480">
        <v>0.27682433375191856</v>
      </c>
      <c r="AA480">
        <v>0.21133900748802381</v>
      </c>
      <c r="AB480">
        <v>0.50347147420079963</v>
      </c>
      <c r="AC480">
        <v>0.27246194008051877</v>
      </c>
      <c r="AD480">
        <v>0.22406658571868163</v>
      </c>
      <c r="AE480" t="s">
        <v>113</v>
      </c>
      <c r="AF480" t="s">
        <v>108</v>
      </c>
      <c r="AG480">
        <v>98.45</v>
      </c>
      <c r="AH480">
        <v>29</v>
      </c>
      <c r="AI480">
        <v>8</v>
      </c>
      <c r="AJ480">
        <v>7</v>
      </c>
      <c r="AK480">
        <v>27.3</v>
      </c>
      <c r="AL480">
        <v>33</v>
      </c>
      <c r="AM480">
        <v>7418</v>
      </c>
      <c r="AN480">
        <v>81</v>
      </c>
      <c r="AO480">
        <v>75</v>
      </c>
      <c r="AP480">
        <v>75</v>
      </c>
      <c r="AQ480">
        <v>4</v>
      </c>
      <c r="AR480" t="s">
        <v>29</v>
      </c>
      <c r="AS480" t="s">
        <v>109</v>
      </c>
      <c r="AT480" t="s">
        <v>108</v>
      </c>
      <c r="AU480">
        <v>143.19999999999999</v>
      </c>
      <c r="AV480">
        <v>31</v>
      </c>
      <c r="AW480">
        <v>3</v>
      </c>
      <c r="AX480">
        <v>4</v>
      </c>
      <c r="AY480">
        <v>27</v>
      </c>
      <c r="AZ480">
        <v>5</v>
      </c>
      <c r="BA480">
        <v>11026</v>
      </c>
      <c r="BB480">
        <v>74</v>
      </c>
      <c r="BC480">
        <v>76</v>
      </c>
      <c r="BD480">
        <v>74</v>
      </c>
      <c r="BE480">
        <v>3.5</v>
      </c>
      <c r="BF480" t="s">
        <v>29</v>
      </c>
      <c r="BG480">
        <v>-1</v>
      </c>
      <c r="BH480">
        <v>44</v>
      </c>
      <c r="BI480">
        <v>0.32400000000000001</v>
      </c>
      <c r="BJ480" t="s">
        <v>271</v>
      </c>
      <c r="BK480">
        <v>0.54390000000000005</v>
      </c>
      <c r="BL480">
        <v>0.50649999999999995</v>
      </c>
      <c r="BM480">
        <v>1.68</v>
      </c>
      <c r="BN480">
        <v>1.65</v>
      </c>
    </row>
    <row r="481" spans="1:66" x14ac:dyDescent="0.25">
      <c r="A481">
        <v>3</v>
      </c>
      <c r="B481">
        <v>-2</v>
      </c>
      <c r="C481">
        <v>2</v>
      </c>
      <c r="D481">
        <v>3.8166666666666664</v>
      </c>
      <c r="E481">
        <v>3.9666666666666663</v>
      </c>
      <c r="F481">
        <v>1.8466666666666669</v>
      </c>
      <c r="G481" s="40">
        <v>0.31</v>
      </c>
      <c r="H481" s="40">
        <v>0.28999999999999998</v>
      </c>
      <c r="I481" s="40">
        <v>0.39999999999999997</v>
      </c>
      <c r="J481">
        <v>3.65</v>
      </c>
      <c r="K481">
        <v>4</v>
      </c>
      <c r="L481">
        <v>1.85</v>
      </c>
      <c r="M481">
        <v>3.9</v>
      </c>
      <c r="N481">
        <v>3.8</v>
      </c>
      <c r="O481">
        <v>1.85</v>
      </c>
      <c r="P481">
        <v>3.9</v>
      </c>
      <c r="Q481">
        <v>4.0999999999999996</v>
      </c>
      <c r="R481">
        <v>1.84</v>
      </c>
      <c r="S481">
        <v>0.26630336992005754</v>
      </c>
      <c r="T481">
        <v>0.20828727861604504</v>
      </c>
      <c r="U481">
        <v>0.52540935146389733</v>
      </c>
      <c r="V481">
        <v>0.24187166695338033</v>
      </c>
      <c r="W481">
        <v>0.24823671082057458</v>
      </c>
      <c r="X481">
        <v>0.509891622226045</v>
      </c>
      <c r="Y481">
        <v>0.24565288179746012</v>
      </c>
      <c r="Z481">
        <v>0.23366981439270598</v>
      </c>
      <c r="AA481">
        <v>0.5206773038098339</v>
      </c>
      <c r="AB481">
        <v>0.25127597289029935</v>
      </c>
      <c r="AC481">
        <v>0.23006460127644188</v>
      </c>
      <c r="AD481">
        <v>0.51865942583325875</v>
      </c>
      <c r="AE481" t="s">
        <v>272</v>
      </c>
      <c r="AF481" t="s">
        <v>134</v>
      </c>
      <c r="AG481">
        <v>15.95</v>
      </c>
      <c r="AH481">
        <v>27</v>
      </c>
      <c r="AI481">
        <v>8</v>
      </c>
      <c r="AJ481">
        <v>6</v>
      </c>
      <c r="AK481">
        <v>27.9</v>
      </c>
      <c r="AL481">
        <v>546</v>
      </c>
      <c r="AM481">
        <v>1204</v>
      </c>
      <c r="AN481">
        <v>66</v>
      </c>
      <c r="AO481">
        <v>68</v>
      </c>
      <c r="AP481">
        <v>70</v>
      </c>
      <c r="AQ481">
        <v>3</v>
      </c>
      <c r="AR481" t="s">
        <v>29</v>
      </c>
      <c r="AS481" t="s">
        <v>107</v>
      </c>
      <c r="AT481" t="s">
        <v>108</v>
      </c>
      <c r="AU481">
        <v>148.6</v>
      </c>
      <c r="AV481">
        <v>32</v>
      </c>
      <c r="AW481">
        <v>2</v>
      </c>
      <c r="AX481">
        <v>7</v>
      </c>
      <c r="AY481">
        <v>27.2</v>
      </c>
      <c r="AZ481">
        <v>2</v>
      </c>
      <c r="BA481">
        <v>13486</v>
      </c>
      <c r="BB481">
        <v>77</v>
      </c>
      <c r="BC481">
        <v>75</v>
      </c>
      <c r="BD481">
        <v>75</v>
      </c>
      <c r="BE481">
        <v>4</v>
      </c>
      <c r="BF481" t="s">
        <v>29</v>
      </c>
      <c r="BG481">
        <v>-6</v>
      </c>
      <c r="BH481">
        <v>0</v>
      </c>
      <c r="BI481">
        <v>0</v>
      </c>
      <c r="BJ481" t="s">
        <v>271</v>
      </c>
      <c r="BK481">
        <v>0.5</v>
      </c>
      <c r="BL481">
        <v>0.62860000000000005</v>
      </c>
      <c r="BM481">
        <v>1.48</v>
      </c>
      <c r="BN481">
        <v>1.87</v>
      </c>
    </row>
    <row r="482" spans="1:66" x14ac:dyDescent="0.25">
      <c r="A482">
        <v>1</v>
      </c>
      <c r="B482">
        <v>2</v>
      </c>
      <c r="C482">
        <v>2</v>
      </c>
      <c r="D482">
        <v>1.96</v>
      </c>
      <c r="E482">
        <v>3.2000000000000006</v>
      </c>
      <c r="F482">
        <v>4</v>
      </c>
      <c r="G482" s="40">
        <v>0.38</v>
      </c>
      <c r="H482" s="40">
        <v>0.22</v>
      </c>
      <c r="I482" s="40">
        <v>0.4</v>
      </c>
      <c r="J482">
        <v>1.88</v>
      </c>
      <c r="K482">
        <v>3.2</v>
      </c>
      <c r="L482">
        <v>3.95</v>
      </c>
      <c r="M482">
        <v>2</v>
      </c>
      <c r="N482">
        <v>3.2</v>
      </c>
      <c r="O482">
        <v>4</v>
      </c>
      <c r="P482">
        <v>2</v>
      </c>
      <c r="Q482">
        <v>3.2</v>
      </c>
      <c r="R482">
        <v>4.05</v>
      </c>
      <c r="S482">
        <v>0.5043658127777032</v>
      </c>
      <c r="T482">
        <v>0.2555815978496177</v>
      </c>
      <c r="U482">
        <v>0.24005258937267898</v>
      </c>
      <c r="V482">
        <v>0.4705882352941177</v>
      </c>
      <c r="W482">
        <v>0.29411764705882354</v>
      </c>
      <c r="X482">
        <v>0.23529411764705885</v>
      </c>
      <c r="Y482">
        <v>0.47195921340131097</v>
      </c>
      <c r="Z482">
        <v>0.29497450837581934</v>
      </c>
      <c r="AA482">
        <v>0.2330662782228696</v>
      </c>
      <c r="AB482">
        <v>0.48230442049104399</v>
      </c>
      <c r="AC482">
        <v>0.2815579177614202</v>
      </c>
      <c r="AD482">
        <v>0.23613766174753581</v>
      </c>
      <c r="AE482" t="s">
        <v>111</v>
      </c>
      <c r="AF482" t="s">
        <v>108</v>
      </c>
      <c r="AG482">
        <v>56.2</v>
      </c>
      <c r="AH482">
        <v>28</v>
      </c>
      <c r="AI482">
        <v>2</v>
      </c>
      <c r="AJ482">
        <v>2</v>
      </c>
      <c r="AK482">
        <v>25.9</v>
      </c>
      <c r="AL482">
        <v>15</v>
      </c>
      <c r="AM482">
        <v>9286</v>
      </c>
      <c r="AN482">
        <v>74</v>
      </c>
      <c r="AO482">
        <v>71</v>
      </c>
      <c r="AP482">
        <v>72</v>
      </c>
      <c r="AQ482">
        <v>3.5</v>
      </c>
      <c r="AR482" t="s">
        <v>29</v>
      </c>
      <c r="AS482" t="s">
        <v>245</v>
      </c>
      <c r="AT482" t="s">
        <v>246</v>
      </c>
      <c r="AU482">
        <v>23.33</v>
      </c>
      <c r="AV482">
        <v>31</v>
      </c>
      <c r="AW482">
        <v>4</v>
      </c>
      <c r="AX482">
        <v>3</v>
      </c>
      <c r="AY482">
        <v>25.6</v>
      </c>
      <c r="AZ482">
        <v>203</v>
      </c>
      <c r="BA482">
        <v>3267</v>
      </c>
      <c r="BB482">
        <v>68</v>
      </c>
      <c r="BC482">
        <v>69</v>
      </c>
      <c r="BD482">
        <v>65</v>
      </c>
      <c r="BE482">
        <v>2.5</v>
      </c>
      <c r="BF482" t="s">
        <v>29</v>
      </c>
      <c r="BG482">
        <v>6</v>
      </c>
      <c r="BH482">
        <v>12</v>
      </c>
      <c r="BI482">
        <v>0.8</v>
      </c>
      <c r="BJ482" t="s">
        <v>286</v>
      </c>
      <c r="BK482">
        <v>0.43940000000000001</v>
      </c>
      <c r="BL482">
        <v>0.4667</v>
      </c>
      <c r="BM482">
        <v>1.29</v>
      </c>
      <c r="BN482">
        <v>1.42</v>
      </c>
    </row>
    <row r="483" spans="1:66" x14ac:dyDescent="0.25">
      <c r="A483">
        <v>3</v>
      </c>
      <c r="B483">
        <v>-1</v>
      </c>
      <c r="C483">
        <v>3</v>
      </c>
      <c r="D483">
        <v>3.3333333333333335</v>
      </c>
      <c r="E483">
        <v>3.0833333333333335</v>
      </c>
      <c r="F483">
        <v>2.3066666666666666</v>
      </c>
      <c r="G483" s="40">
        <v>0.35</v>
      </c>
      <c r="H483" s="40">
        <v>0.39</v>
      </c>
      <c r="I483" s="40">
        <v>0.26</v>
      </c>
      <c r="J483">
        <v>3.25</v>
      </c>
      <c r="K483">
        <v>3.05</v>
      </c>
      <c r="L483">
        <v>2.35</v>
      </c>
      <c r="M483">
        <v>3.35</v>
      </c>
      <c r="N483">
        <v>3.1</v>
      </c>
      <c r="O483">
        <v>2.25</v>
      </c>
      <c r="P483">
        <v>3.4</v>
      </c>
      <c r="Q483">
        <v>3.1</v>
      </c>
      <c r="R483">
        <v>2.3199999999999998</v>
      </c>
      <c r="S483">
        <v>0.30033812079287775</v>
      </c>
      <c r="T483">
        <v>0.28430064832335511</v>
      </c>
      <c r="U483">
        <v>0.41536123088376703</v>
      </c>
      <c r="V483">
        <v>0.2801486092981223</v>
      </c>
      <c r="W483">
        <v>0.30274123908022893</v>
      </c>
      <c r="X483">
        <v>0.41711015162164877</v>
      </c>
      <c r="Y483">
        <v>0.28071818891491024</v>
      </c>
      <c r="Z483">
        <v>0.30788446526151447</v>
      </c>
      <c r="AA483">
        <v>0.4113973458235754</v>
      </c>
      <c r="AB483">
        <v>0.28706830633530345</v>
      </c>
      <c r="AC483">
        <v>0.29830878422169949</v>
      </c>
      <c r="AD483">
        <v>0.41462290944299712</v>
      </c>
      <c r="AE483" t="s">
        <v>77</v>
      </c>
      <c r="AF483" t="s">
        <v>63</v>
      </c>
      <c r="AG483">
        <v>8.4</v>
      </c>
      <c r="AH483">
        <v>32</v>
      </c>
      <c r="AI483">
        <v>3</v>
      </c>
      <c r="AJ483">
        <v>0</v>
      </c>
      <c r="AK483">
        <v>23.6</v>
      </c>
      <c r="AL483">
        <v>362</v>
      </c>
      <c r="AM483">
        <v>2071</v>
      </c>
      <c r="AN483">
        <v>65</v>
      </c>
      <c r="AO483">
        <v>66</v>
      </c>
      <c r="AP483">
        <v>61</v>
      </c>
      <c r="AQ483">
        <v>2</v>
      </c>
      <c r="AR483" t="s">
        <v>46</v>
      </c>
      <c r="AS483" t="s">
        <v>64</v>
      </c>
      <c r="AT483" t="s">
        <v>63</v>
      </c>
      <c r="AU483">
        <v>13.1</v>
      </c>
      <c r="AV483">
        <v>30</v>
      </c>
      <c r="AW483">
        <v>4</v>
      </c>
      <c r="AX483">
        <v>0</v>
      </c>
      <c r="AY483">
        <v>25.1</v>
      </c>
      <c r="AZ483">
        <v>71</v>
      </c>
      <c r="BA483">
        <v>5560</v>
      </c>
      <c r="BB483">
        <v>71</v>
      </c>
      <c r="BC483">
        <v>64</v>
      </c>
      <c r="BD483">
        <v>67</v>
      </c>
      <c r="BE483">
        <v>2</v>
      </c>
      <c r="BF483" t="s">
        <v>29</v>
      </c>
      <c r="BG483">
        <v>-3</v>
      </c>
      <c r="BH483">
        <v>23</v>
      </c>
      <c r="BI483">
        <v>0.182</v>
      </c>
      <c r="BJ483" t="s">
        <v>63</v>
      </c>
      <c r="BK483">
        <v>0.26090000000000002</v>
      </c>
      <c r="BL483">
        <v>0.37930000000000003</v>
      </c>
      <c r="BM483">
        <v>1.22</v>
      </c>
      <c r="BN483">
        <v>1.48</v>
      </c>
    </row>
    <row r="484" spans="1:66" x14ac:dyDescent="0.25">
      <c r="A484">
        <v>1</v>
      </c>
      <c r="B484">
        <v>1</v>
      </c>
      <c r="C484">
        <v>1</v>
      </c>
      <c r="D484">
        <v>1.4799999999999998</v>
      </c>
      <c r="E484">
        <v>4.2499999999999991</v>
      </c>
      <c r="F484">
        <v>6.7833333333333341</v>
      </c>
      <c r="G484" s="40">
        <v>0.48</v>
      </c>
      <c r="H484" s="40">
        <v>0.3</v>
      </c>
      <c r="I484" s="40">
        <v>0.22000000000000003</v>
      </c>
      <c r="J484">
        <v>1.48</v>
      </c>
      <c r="K484">
        <v>4.3</v>
      </c>
      <c r="L484">
        <v>6.75</v>
      </c>
      <c r="M484">
        <v>1.51</v>
      </c>
      <c r="N484">
        <v>4.0999999999999996</v>
      </c>
      <c r="O484">
        <v>6.5</v>
      </c>
      <c r="P484">
        <v>1.45</v>
      </c>
      <c r="Q484">
        <v>4.3499999999999996</v>
      </c>
      <c r="R484">
        <v>7.1</v>
      </c>
      <c r="S484">
        <v>0.68171487248350882</v>
      </c>
      <c r="T484">
        <v>0.1688128295497367</v>
      </c>
      <c r="U484">
        <v>0.14947229796675451</v>
      </c>
      <c r="V484">
        <v>0.62476556639159797</v>
      </c>
      <c r="W484">
        <v>0.23009658664666169</v>
      </c>
      <c r="X484">
        <v>0.14513784696174045</v>
      </c>
      <c r="Y484">
        <v>0.65038167938931302</v>
      </c>
      <c r="Z484">
        <v>0.21679389312977099</v>
      </c>
      <c r="AA484">
        <v>0.13282442748091602</v>
      </c>
      <c r="AB484">
        <v>0.65228737275480653</v>
      </c>
      <c r="AC484">
        <v>0.20523443644205649</v>
      </c>
      <c r="AD484">
        <v>0.14247819080313698</v>
      </c>
      <c r="AE484" t="s">
        <v>70</v>
      </c>
      <c r="AF484" t="s">
        <v>63</v>
      </c>
      <c r="AG484">
        <v>16.38</v>
      </c>
      <c r="AH484">
        <v>28</v>
      </c>
      <c r="AI484">
        <v>1</v>
      </c>
      <c r="AJ484">
        <v>3</v>
      </c>
      <c r="AK484">
        <v>25.3</v>
      </c>
      <c r="AL484">
        <v>200</v>
      </c>
      <c r="AM484">
        <v>3276</v>
      </c>
      <c r="AN484">
        <v>69</v>
      </c>
      <c r="AO484">
        <v>63</v>
      </c>
      <c r="AP484">
        <v>65</v>
      </c>
      <c r="AQ484">
        <v>2</v>
      </c>
      <c r="AR484" t="s">
        <v>29</v>
      </c>
      <c r="AS484" t="s">
        <v>75</v>
      </c>
      <c r="AT484" t="s">
        <v>63</v>
      </c>
      <c r="AU484">
        <v>9.3000000000000007</v>
      </c>
      <c r="AV484">
        <v>29</v>
      </c>
      <c r="AW484">
        <v>4</v>
      </c>
      <c r="AX484">
        <v>0</v>
      </c>
      <c r="AY484">
        <v>25.6</v>
      </c>
      <c r="AZ484">
        <v>317</v>
      </c>
      <c r="BA484">
        <v>2374</v>
      </c>
      <c r="BB484">
        <v>69</v>
      </c>
      <c r="BC484">
        <v>66</v>
      </c>
      <c r="BD484">
        <v>64</v>
      </c>
      <c r="BE484">
        <v>2.5</v>
      </c>
      <c r="BF484" t="s">
        <v>46</v>
      </c>
      <c r="BG484">
        <v>-1</v>
      </c>
      <c r="BH484">
        <v>22</v>
      </c>
      <c r="BI484">
        <v>0.2</v>
      </c>
      <c r="BJ484" t="s">
        <v>63</v>
      </c>
      <c r="BK484">
        <v>0.36</v>
      </c>
      <c r="BL484">
        <v>0.43480000000000002</v>
      </c>
      <c r="BM484">
        <v>1.44</v>
      </c>
      <c r="BN484">
        <v>1.43</v>
      </c>
    </row>
    <row r="485" spans="1:66" x14ac:dyDescent="0.25">
      <c r="A485">
        <v>2</v>
      </c>
      <c r="B485">
        <v>0</v>
      </c>
      <c r="C485">
        <v>2</v>
      </c>
      <c r="D485">
        <v>1.5</v>
      </c>
      <c r="E485">
        <v>4.3</v>
      </c>
      <c r="F485">
        <v>6.7</v>
      </c>
      <c r="G485" s="40">
        <v>0.43</v>
      </c>
      <c r="H485" s="40">
        <v>0.33</v>
      </c>
      <c r="I485" s="40">
        <v>0.24000000000000005</v>
      </c>
      <c r="J485">
        <v>1.47</v>
      </c>
      <c r="K485">
        <v>4.4000000000000004</v>
      </c>
      <c r="L485">
        <v>7.5</v>
      </c>
      <c r="M485">
        <v>1.53</v>
      </c>
      <c r="N485">
        <v>4.2</v>
      </c>
      <c r="O485">
        <v>6</v>
      </c>
      <c r="P485">
        <v>1.5</v>
      </c>
      <c r="Q485">
        <v>4.3</v>
      </c>
      <c r="R485">
        <v>6.6</v>
      </c>
      <c r="S485">
        <v>0.70064649059509754</v>
      </c>
      <c r="T485">
        <v>0.16202679724826324</v>
      </c>
      <c r="U485">
        <v>0.13732671215663911</v>
      </c>
      <c r="V485">
        <v>0.61755624172915757</v>
      </c>
      <c r="W485">
        <v>0.22496691662990737</v>
      </c>
      <c r="X485">
        <v>0.15747684164093517</v>
      </c>
      <c r="Y485">
        <v>0.63447350771294431</v>
      </c>
      <c r="Z485">
        <v>0.22132796780684105</v>
      </c>
      <c r="AA485">
        <v>0.14419852448021461</v>
      </c>
      <c r="AB485">
        <v>0.65089208001239984</v>
      </c>
      <c r="AC485">
        <v>0.20277389389500389</v>
      </c>
      <c r="AD485">
        <v>0.1463340260925963</v>
      </c>
      <c r="AE485" t="s">
        <v>258</v>
      </c>
      <c r="AF485" t="s">
        <v>253</v>
      </c>
      <c r="AG485">
        <v>937.25</v>
      </c>
      <c r="AH485">
        <v>28</v>
      </c>
      <c r="AI485">
        <v>17</v>
      </c>
      <c r="AJ485">
        <v>21</v>
      </c>
      <c r="AK485">
        <v>27.9</v>
      </c>
      <c r="AL485">
        <v>39</v>
      </c>
      <c r="AM485">
        <v>7151</v>
      </c>
      <c r="AN485">
        <v>83</v>
      </c>
      <c r="AO485">
        <v>82</v>
      </c>
      <c r="AP485">
        <v>82</v>
      </c>
      <c r="AQ485">
        <v>4.5</v>
      </c>
      <c r="AR485" t="s">
        <v>29</v>
      </c>
      <c r="AS485" t="s">
        <v>262</v>
      </c>
      <c r="AT485" t="s">
        <v>253</v>
      </c>
      <c r="AU485">
        <v>461.75</v>
      </c>
      <c r="AV485">
        <v>27</v>
      </c>
      <c r="AW485">
        <v>14</v>
      </c>
      <c r="AX485">
        <v>15</v>
      </c>
      <c r="AY485">
        <v>27.9</v>
      </c>
      <c r="AZ485">
        <v>149</v>
      </c>
      <c r="BA485">
        <v>3982</v>
      </c>
      <c r="BB485">
        <v>81</v>
      </c>
      <c r="BC485">
        <v>79</v>
      </c>
      <c r="BD485">
        <v>80</v>
      </c>
      <c r="BE485">
        <v>4.5</v>
      </c>
      <c r="BF485" t="s">
        <v>29</v>
      </c>
      <c r="BG485">
        <v>54</v>
      </c>
      <c r="BH485">
        <v>224</v>
      </c>
      <c r="BI485">
        <v>0.48899999999999999</v>
      </c>
      <c r="BJ485" t="s">
        <v>267</v>
      </c>
      <c r="BK485">
        <v>0.57379999999999998</v>
      </c>
      <c r="BL485">
        <v>0.5</v>
      </c>
      <c r="BM485">
        <v>1.98</v>
      </c>
      <c r="BN485">
        <v>1.5</v>
      </c>
    </row>
    <row r="486" spans="1:66" x14ac:dyDescent="0.25">
      <c r="A486">
        <v>1</v>
      </c>
      <c r="B486">
        <v>2</v>
      </c>
      <c r="C486">
        <v>2</v>
      </c>
      <c r="D486">
        <v>1.9166666666666667</v>
      </c>
      <c r="E486">
        <v>3.5</v>
      </c>
      <c r="F486">
        <v>4.1166666666666671</v>
      </c>
      <c r="G486" s="40">
        <v>0.24</v>
      </c>
      <c r="H486" s="40">
        <v>0.54</v>
      </c>
      <c r="I486" s="40">
        <v>0.21999999999999997</v>
      </c>
      <c r="J486">
        <v>1.9</v>
      </c>
      <c r="K486">
        <v>3.5</v>
      </c>
      <c r="L486">
        <v>4.3499999999999996</v>
      </c>
      <c r="M486">
        <v>1.95</v>
      </c>
      <c r="N486">
        <v>3.5</v>
      </c>
      <c r="O486">
        <v>3.8</v>
      </c>
      <c r="P486">
        <v>1.9</v>
      </c>
      <c r="Q486">
        <v>3.5</v>
      </c>
      <c r="R486">
        <v>4.2</v>
      </c>
      <c r="S486">
        <v>0.53083052185772739</v>
      </c>
      <c r="T486">
        <v>0.23731246859521926</v>
      </c>
      <c r="U486">
        <v>0.23185700954705335</v>
      </c>
      <c r="V486">
        <v>0.48302160886144907</v>
      </c>
      <c r="W486">
        <v>0.2691120392228073</v>
      </c>
      <c r="X486">
        <v>0.24786635191574358</v>
      </c>
      <c r="Y486">
        <v>0.50119331742243434</v>
      </c>
      <c r="Z486">
        <v>0.27207637231503579</v>
      </c>
      <c r="AA486">
        <v>0.22673031026252982</v>
      </c>
      <c r="AB486">
        <v>0.50501514938053693</v>
      </c>
      <c r="AC486">
        <v>0.25950029337768749</v>
      </c>
      <c r="AD486">
        <v>0.23548455724177556</v>
      </c>
      <c r="AE486" t="s">
        <v>143</v>
      </c>
      <c r="AF486" t="s">
        <v>141</v>
      </c>
      <c r="AG486">
        <v>755.2</v>
      </c>
      <c r="AH486">
        <v>22</v>
      </c>
      <c r="AI486">
        <v>19</v>
      </c>
      <c r="AJ486">
        <v>19</v>
      </c>
      <c r="AK486">
        <v>28</v>
      </c>
      <c r="AL486">
        <v>13</v>
      </c>
      <c r="AM486">
        <v>9329</v>
      </c>
      <c r="AN486">
        <v>85</v>
      </c>
      <c r="AO486">
        <v>82</v>
      </c>
      <c r="AP486">
        <v>83</v>
      </c>
      <c r="AQ486">
        <v>5</v>
      </c>
      <c r="AR486" t="s">
        <v>29</v>
      </c>
      <c r="AS486" t="s">
        <v>137</v>
      </c>
      <c r="AT486" t="s">
        <v>141</v>
      </c>
      <c r="AU486">
        <v>676</v>
      </c>
      <c r="AV486">
        <v>26</v>
      </c>
      <c r="AW486">
        <v>15</v>
      </c>
      <c r="AX486">
        <v>21</v>
      </c>
      <c r="AY486">
        <v>26.1</v>
      </c>
      <c r="AZ486">
        <v>3</v>
      </c>
      <c r="BA486">
        <v>13105</v>
      </c>
      <c r="BB486">
        <v>84</v>
      </c>
      <c r="BC486">
        <v>82</v>
      </c>
      <c r="BD486">
        <v>81</v>
      </c>
      <c r="BE486">
        <v>5</v>
      </c>
      <c r="BF486" t="s">
        <v>28</v>
      </c>
      <c r="BG486">
        <v>-89</v>
      </c>
      <c r="BH486">
        <v>248</v>
      </c>
      <c r="BI486">
        <v>0.311</v>
      </c>
      <c r="BJ486" t="s">
        <v>270</v>
      </c>
      <c r="BK486">
        <v>0.60419999999999996</v>
      </c>
      <c r="BL486">
        <v>0.62960000000000005</v>
      </c>
      <c r="BM486">
        <v>1.6</v>
      </c>
      <c r="BN486">
        <v>2.2599999999999998</v>
      </c>
    </row>
    <row r="487" spans="1:66" x14ac:dyDescent="0.25">
      <c r="A487">
        <v>1</v>
      </c>
      <c r="B487">
        <v>1</v>
      </c>
      <c r="C487">
        <v>3</v>
      </c>
      <c r="D487">
        <v>1.5599999999999998</v>
      </c>
      <c r="E487">
        <v>4.2610000000000001</v>
      </c>
      <c r="F487">
        <v>5.666666666666667</v>
      </c>
      <c r="G487" s="40">
        <v>0.53</v>
      </c>
      <c r="H487" s="40">
        <v>0.34</v>
      </c>
      <c r="I487" s="40">
        <v>0.12999999999999995</v>
      </c>
      <c r="J487">
        <v>1.55</v>
      </c>
      <c r="K487">
        <v>4.0999999999999996</v>
      </c>
      <c r="L487">
        <v>5.25</v>
      </c>
      <c r="M487">
        <v>1.55</v>
      </c>
      <c r="N487">
        <v>4.3330000000000002</v>
      </c>
      <c r="O487">
        <v>6.25</v>
      </c>
      <c r="P487">
        <v>1.58</v>
      </c>
      <c r="Q487">
        <v>4.3499999999999996</v>
      </c>
      <c r="R487">
        <v>5.5</v>
      </c>
      <c r="S487">
        <v>0.62837103813680462</v>
      </c>
      <c r="T487">
        <v>0.18610989346090076</v>
      </c>
      <c r="U487">
        <v>0.18551906840229468</v>
      </c>
      <c r="V487">
        <v>0.62277365246326899</v>
      </c>
      <c r="W487">
        <v>0.2227784817258405</v>
      </c>
      <c r="X487">
        <v>0.15444786581089071</v>
      </c>
      <c r="Y487">
        <v>0.6058802674230146</v>
      </c>
      <c r="Z487">
        <v>0.22006685575364671</v>
      </c>
      <c r="AA487">
        <v>0.17405287682333875</v>
      </c>
      <c r="AB487">
        <v>0.6190083193410294</v>
      </c>
      <c r="AC487">
        <v>0.20965174364679598</v>
      </c>
      <c r="AD487">
        <v>0.17133993701217473</v>
      </c>
      <c r="AE487" t="s">
        <v>40</v>
      </c>
      <c r="AF487" t="s">
        <v>23</v>
      </c>
      <c r="AG487">
        <v>218.25</v>
      </c>
      <c r="AH487">
        <v>26</v>
      </c>
      <c r="AI487">
        <v>17</v>
      </c>
      <c r="AJ487">
        <v>8</v>
      </c>
      <c r="AK487">
        <v>24.1</v>
      </c>
      <c r="AL487">
        <v>255</v>
      </c>
      <c r="AM487">
        <v>2803</v>
      </c>
      <c r="AN487">
        <v>77</v>
      </c>
      <c r="AO487">
        <v>74</v>
      </c>
      <c r="AP487">
        <v>73</v>
      </c>
      <c r="AQ487">
        <v>4</v>
      </c>
      <c r="AR487" t="s">
        <v>28</v>
      </c>
      <c r="AS487" t="s">
        <v>45</v>
      </c>
      <c r="AT487" t="s">
        <v>23</v>
      </c>
      <c r="AU487">
        <v>88.3</v>
      </c>
      <c r="AV487">
        <v>26</v>
      </c>
      <c r="AW487">
        <v>7</v>
      </c>
      <c r="AX487">
        <v>4</v>
      </c>
      <c r="AY487">
        <v>25.1</v>
      </c>
      <c r="AZ487">
        <v>347</v>
      </c>
      <c r="BA487">
        <v>2156</v>
      </c>
      <c r="BB487">
        <v>72</v>
      </c>
      <c r="BC487">
        <v>73</v>
      </c>
      <c r="BD487">
        <v>72</v>
      </c>
      <c r="BE487">
        <v>3.5</v>
      </c>
      <c r="BF487" t="s">
        <v>29</v>
      </c>
      <c r="BG487">
        <v>-5</v>
      </c>
      <c r="BH487">
        <v>34</v>
      </c>
      <c r="BI487">
        <v>0.34599999999999997</v>
      </c>
      <c r="BJ487" t="s">
        <v>266</v>
      </c>
      <c r="BK487">
        <v>0.36959999999999998</v>
      </c>
      <c r="BL487">
        <v>0.3</v>
      </c>
      <c r="BM487">
        <v>1.33</v>
      </c>
      <c r="BN487">
        <v>1.3</v>
      </c>
    </row>
    <row r="488" spans="1:66" x14ac:dyDescent="0.25">
      <c r="A488">
        <v>3</v>
      </c>
      <c r="B488">
        <v>-1</v>
      </c>
      <c r="C488">
        <v>1</v>
      </c>
      <c r="D488">
        <v>4.1833333333333336</v>
      </c>
      <c r="E488">
        <v>3.4666666666666668</v>
      </c>
      <c r="F488">
        <v>1.8933333333333333</v>
      </c>
      <c r="G488" s="40">
        <v>0.26</v>
      </c>
      <c r="H488" s="40">
        <v>0.39</v>
      </c>
      <c r="I488" s="40">
        <v>0.35</v>
      </c>
      <c r="J488">
        <v>4.3499999999999996</v>
      </c>
      <c r="K488">
        <v>3.4</v>
      </c>
      <c r="L488">
        <v>1.87</v>
      </c>
      <c r="M488">
        <v>4</v>
      </c>
      <c r="N488">
        <v>3.5</v>
      </c>
      <c r="O488">
        <v>1.91</v>
      </c>
      <c r="P488">
        <v>4.2</v>
      </c>
      <c r="Q488">
        <v>3.5</v>
      </c>
      <c r="R488">
        <v>1.9</v>
      </c>
      <c r="S488">
        <v>0.22802643469172232</v>
      </c>
      <c r="T488">
        <v>0.241537741292774</v>
      </c>
      <c r="U488">
        <v>0.53043582401550371</v>
      </c>
      <c r="V488">
        <v>0.23601059135039718</v>
      </c>
      <c r="W488">
        <v>0.26972639011473964</v>
      </c>
      <c r="X488">
        <v>0.49426301853486321</v>
      </c>
      <c r="Y488">
        <v>0.22673031026252982</v>
      </c>
      <c r="Z488">
        <v>0.27207637231503579</v>
      </c>
      <c r="AA488">
        <v>0.50119331742243434</v>
      </c>
      <c r="AB488">
        <v>0.23025577876821646</v>
      </c>
      <c r="AC488">
        <v>0.26111350124084981</v>
      </c>
      <c r="AD488">
        <v>0.50863071999093379</v>
      </c>
      <c r="AE488" t="s">
        <v>315</v>
      </c>
      <c r="AF488" t="s">
        <v>307</v>
      </c>
      <c r="AG488">
        <v>184.13</v>
      </c>
      <c r="AH488">
        <v>30</v>
      </c>
      <c r="AI488">
        <v>20</v>
      </c>
      <c r="AJ488">
        <v>13</v>
      </c>
      <c r="AK488">
        <v>26</v>
      </c>
      <c r="AL488">
        <v>162</v>
      </c>
      <c r="AM488">
        <v>3817</v>
      </c>
      <c r="AN488">
        <v>76</v>
      </c>
      <c r="AO488">
        <v>74</v>
      </c>
      <c r="AP488">
        <v>77</v>
      </c>
      <c r="AQ488">
        <v>4</v>
      </c>
      <c r="AR488" t="s">
        <v>46</v>
      </c>
      <c r="AS488" t="s">
        <v>306</v>
      </c>
      <c r="AT488" t="s">
        <v>307</v>
      </c>
      <c r="AU488">
        <v>640.4</v>
      </c>
      <c r="AV488">
        <v>25</v>
      </c>
      <c r="AW488">
        <v>14</v>
      </c>
      <c r="AX488">
        <v>20</v>
      </c>
      <c r="AY488">
        <v>27.3</v>
      </c>
      <c r="AZ488">
        <v>14</v>
      </c>
      <c r="BA488">
        <v>9319</v>
      </c>
      <c r="BB488">
        <v>87</v>
      </c>
      <c r="BC488">
        <v>81</v>
      </c>
      <c r="BD488">
        <v>83</v>
      </c>
      <c r="BE488">
        <v>5</v>
      </c>
      <c r="BF488" t="s">
        <v>28</v>
      </c>
      <c r="BG488">
        <v>-89</v>
      </c>
      <c r="BH488">
        <v>179</v>
      </c>
      <c r="BI488">
        <v>0.246</v>
      </c>
      <c r="BJ488" t="s">
        <v>322</v>
      </c>
      <c r="BK488">
        <v>0.2195</v>
      </c>
      <c r="BL488">
        <v>0.65380000000000005</v>
      </c>
      <c r="BM488">
        <v>1.34</v>
      </c>
      <c r="BN488">
        <v>2.08</v>
      </c>
    </row>
    <row r="489" spans="1:66" x14ac:dyDescent="0.25">
      <c r="A489">
        <v>3</v>
      </c>
      <c r="B489">
        <v>-1</v>
      </c>
      <c r="C489">
        <v>3</v>
      </c>
      <c r="D489">
        <v>4.5333333333333332</v>
      </c>
      <c r="E489">
        <v>4.2</v>
      </c>
      <c r="F489">
        <v>1.6733333333333331</v>
      </c>
      <c r="G489" s="40">
        <v>0.22</v>
      </c>
      <c r="H489" s="40">
        <v>0.32</v>
      </c>
      <c r="I489" s="40">
        <v>0.46</v>
      </c>
      <c r="J489">
        <v>4.5</v>
      </c>
      <c r="K489">
        <v>4.25</v>
      </c>
      <c r="L489">
        <v>1.65</v>
      </c>
      <c r="M489">
        <v>4.5</v>
      </c>
      <c r="N489">
        <v>4.05</v>
      </c>
      <c r="O489">
        <v>1.69</v>
      </c>
      <c r="P489">
        <v>4.5999999999999996</v>
      </c>
      <c r="Q489">
        <v>4.3</v>
      </c>
      <c r="R489">
        <v>1.68</v>
      </c>
      <c r="S489">
        <v>0.21787002467885846</v>
      </c>
      <c r="T489">
        <v>0.18793899892425489</v>
      </c>
      <c r="U489">
        <v>0.59419097639688678</v>
      </c>
      <c r="V489">
        <v>0.2094752788872056</v>
      </c>
      <c r="W489">
        <v>0.23275030987467288</v>
      </c>
      <c r="X489">
        <v>0.55777441123812155</v>
      </c>
      <c r="Y489">
        <v>0.207992629275596</v>
      </c>
      <c r="Z489">
        <v>0.22250374294598643</v>
      </c>
      <c r="AA489">
        <v>0.56950362777841756</v>
      </c>
      <c r="AB489">
        <v>0.21177931094722002</v>
      </c>
      <c r="AC489">
        <v>0.21439768391497141</v>
      </c>
      <c r="AD489">
        <v>0.57382300513780871</v>
      </c>
      <c r="AE489" t="s">
        <v>317</v>
      </c>
      <c r="AF489" t="s">
        <v>307</v>
      </c>
      <c r="AG489">
        <v>216.9</v>
      </c>
      <c r="AH489">
        <v>27</v>
      </c>
      <c r="AI489">
        <v>15</v>
      </c>
      <c r="AJ489">
        <v>12</v>
      </c>
      <c r="AK489">
        <v>27.2</v>
      </c>
      <c r="AL489">
        <v>218</v>
      </c>
      <c r="AM489">
        <v>3086</v>
      </c>
      <c r="AN489">
        <v>79</v>
      </c>
      <c r="AO489">
        <v>77</v>
      </c>
      <c r="AP489">
        <v>72</v>
      </c>
      <c r="AQ489">
        <v>4</v>
      </c>
      <c r="AR489" t="s">
        <v>29</v>
      </c>
      <c r="AS489" t="s">
        <v>309</v>
      </c>
      <c r="AT489" t="s">
        <v>307</v>
      </c>
      <c r="AU489">
        <v>573.29999999999995</v>
      </c>
      <c r="AV489">
        <v>28</v>
      </c>
      <c r="AW489">
        <v>19</v>
      </c>
      <c r="AX489">
        <v>20</v>
      </c>
      <c r="AY489">
        <v>28.8</v>
      </c>
      <c r="AZ489">
        <v>37</v>
      </c>
      <c r="BA489">
        <v>7235</v>
      </c>
      <c r="BB489">
        <v>83</v>
      </c>
      <c r="BC489">
        <v>81</v>
      </c>
      <c r="BD489">
        <v>83</v>
      </c>
      <c r="BE489">
        <v>4.5</v>
      </c>
      <c r="BF489" t="s">
        <v>29</v>
      </c>
      <c r="BG489">
        <v>-12</v>
      </c>
      <c r="BH489">
        <v>23</v>
      </c>
      <c r="BI489">
        <v>0.438</v>
      </c>
      <c r="BJ489" t="s">
        <v>322</v>
      </c>
      <c r="BK489">
        <v>0.43590000000000001</v>
      </c>
      <c r="BL489">
        <v>0.64580000000000004</v>
      </c>
      <c r="BM489">
        <v>1.64</v>
      </c>
      <c r="BN489">
        <v>2.1</v>
      </c>
    </row>
    <row r="490" spans="1:66" x14ac:dyDescent="0.25">
      <c r="A490">
        <v>2</v>
      </c>
      <c r="B490">
        <v>0</v>
      </c>
      <c r="C490">
        <v>4</v>
      </c>
      <c r="D490">
        <v>1.95</v>
      </c>
      <c r="E490">
        <v>3.4666666666666663</v>
      </c>
      <c r="F490">
        <v>3.7000000000000006</v>
      </c>
      <c r="G490" s="40">
        <v>0.43</v>
      </c>
      <c r="H490" s="40">
        <v>0.37</v>
      </c>
      <c r="I490" s="40">
        <v>0.20000000000000007</v>
      </c>
      <c r="J490">
        <v>1.96</v>
      </c>
      <c r="K490">
        <v>3.25</v>
      </c>
      <c r="L490">
        <v>3.6</v>
      </c>
      <c r="M490">
        <v>1.95</v>
      </c>
      <c r="N490">
        <v>3.55</v>
      </c>
      <c r="O490">
        <v>3.7</v>
      </c>
      <c r="P490">
        <v>1.94</v>
      </c>
      <c r="Q490">
        <v>3.6</v>
      </c>
      <c r="R490">
        <v>3.8</v>
      </c>
      <c r="S490">
        <v>0.48167468328704022</v>
      </c>
      <c r="T490">
        <v>0.25608021136779346</v>
      </c>
      <c r="U490">
        <v>0.26224510534516632</v>
      </c>
      <c r="V490">
        <v>0.48162068017233484</v>
      </c>
      <c r="W490">
        <v>0.26455220460170503</v>
      </c>
      <c r="X490">
        <v>0.25382711522596019</v>
      </c>
      <c r="Y490">
        <v>0.48794407190754746</v>
      </c>
      <c r="Z490">
        <v>0.26294763875017835</v>
      </c>
      <c r="AA490">
        <v>0.24910828934227422</v>
      </c>
      <c r="AB490">
        <v>0.48374647845564084</v>
      </c>
      <c r="AC490">
        <v>0.2611933515732256</v>
      </c>
      <c r="AD490">
        <v>0.25506016997113357</v>
      </c>
      <c r="AE490" t="s">
        <v>103</v>
      </c>
      <c r="AF490" t="s">
        <v>85</v>
      </c>
      <c r="AG490">
        <v>15.98</v>
      </c>
      <c r="AH490">
        <v>29</v>
      </c>
      <c r="AI490">
        <v>3</v>
      </c>
      <c r="AJ490">
        <v>0</v>
      </c>
      <c r="AK490">
        <v>25.8</v>
      </c>
      <c r="AL490">
        <v>235</v>
      </c>
      <c r="AM490">
        <v>2968</v>
      </c>
      <c r="AN490">
        <v>67</v>
      </c>
      <c r="AO490">
        <v>68</v>
      </c>
      <c r="AP490">
        <v>67</v>
      </c>
      <c r="AQ490">
        <v>2.5</v>
      </c>
      <c r="AR490" t="s">
        <v>43</v>
      </c>
      <c r="AS490" t="s">
        <v>96</v>
      </c>
      <c r="AT490" t="s">
        <v>85</v>
      </c>
      <c r="AU490">
        <v>21.6</v>
      </c>
      <c r="AV490">
        <v>31</v>
      </c>
      <c r="AW490">
        <v>2</v>
      </c>
      <c r="AX490">
        <v>0</v>
      </c>
      <c r="AY490">
        <v>26.5</v>
      </c>
      <c r="AZ490">
        <v>146</v>
      </c>
      <c r="BA490">
        <v>4001</v>
      </c>
      <c r="BB490">
        <v>70</v>
      </c>
      <c r="BC490">
        <v>69</v>
      </c>
      <c r="BD490">
        <v>71</v>
      </c>
      <c r="BE490">
        <v>3.5</v>
      </c>
      <c r="BF490" t="s">
        <v>29</v>
      </c>
      <c r="BG490">
        <v>-1</v>
      </c>
      <c r="BH490">
        <v>27</v>
      </c>
      <c r="BI490">
        <v>0.22700000000000001</v>
      </c>
      <c r="BJ490" t="s">
        <v>85</v>
      </c>
      <c r="BK490">
        <v>0.22220000000000001</v>
      </c>
      <c r="BL490">
        <v>0.43240000000000001</v>
      </c>
      <c r="BM490">
        <v>0.92</v>
      </c>
      <c r="BN490">
        <v>1.46</v>
      </c>
    </row>
    <row r="491" spans="1:66" x14ac:dyDescent="0.25">
      <c r="A491">
        <v>2</v>
      </c>
      <c r="B491">
        <v>0</v>
      </c>
      <c r="C491">
        <v>0</v>
      </c>
      <c r="D491">
        <v>2.1999999999999997</v>
      </c>
      <c r="E491">
        <v>3.1666666666666665</v>
      </c>
      <c r="F491">
        <v>3.3333333333333335</v>
      </c>
      <c r="G491" s="40">
        <v>0.33</v>
      </c>
      <c r="H491" s="40">
        <v>0.36</v>
      </c>
      <c r="I491" s="40">
        <v>0.30999999999999994</v>
      </c>
      <c r="J491">
        <v>2.1</v>
      </c>
      <c r="K491">
        <v>3.05</v>
      </c>
      <c r="L491">
        <v>3.4</v>
      </c>
      <c r="M491">
        <v>2.25</v>
      </c>
      <c r="N491">
        <v>3.25</v>
      </c>
      <c r="O491">
        <v>3.3</v>
      </c>
      <c r="P491">
        <v>2.25</v>
      </c>
      <c r="Q491">
        <v>3.2</v>
      </c>
      <c r="R491">
        <v>3.3</v>
      </c>
      <c r="S491">
        <v>0.44736842105263158</v>
      </c>
      <c r="T491">
        <v>0.27631578947368424</v>
      </c>
      <c r="U491">
        <v>0.27631578947368424</v>
      </c>
      <c r="V491">
        <v>0.42120765832106039</v>
      </c>
      <c r="W491">
        <v>0.29160530191458028</v>
      </c>
      <c r="X491">
        <v>0.28718703976435939</v>
      </c>
      <c r="Y491">
        <v>0.4192972007147111</v>
      </c>
      <c r="Z491">
        <v>0.29481834425253123</v>
      </c>
      <c r="AA491">
        <v>0.28588445503275761</v>
      </c>
      <c r="AB491">
        <v>0.42929109336280108</v>
      </c>
      <c r="AC491">
        <v>0.28757981188026527</v>
      </c>
      <c r="AD491">
        <v>0.28312909475693376</v>
      </c>
      <c r="AE491" t="s">
        <v>99</v>
      </c>
      <c r="AF491" t="s">
        <v>85</v>
      </c>
      <c r="AG491">
        <v>14.2</v>
      </c>
      <c r="AH491">
        <v>31</v>
      </c>
      <c r="AI491">
        <v>1</v>
      </c>
      <c r="AJ491">
        <v>0</v>
      </c>
      <c r="AK491">
        <v>26.5</v>
      </c>
      <c r="AL491">
        <v>173</v>
      </c>
      <c r="AM491">
        <v>3707</v>
      </c>
      <c r="AN491">
        <v>70</v>
      </c>
      <c r="AO491">
        <v>69</v>
      </c>
      <c r="AP491">
        <v>68</v>
      </c>
      <c r="AQ491">
        <v>3</v>
      </c>
      <c r="AR491" t="s">
        <v>46</v>
      </c>
      <c r="AS491" t="s">
        <v>90</v>
      </c>
      <c r="AT491" t="s">
        <v>85</v>
      </c>
      <c r="AU491">
        <v>29.75</v>
      </c>
      <c r="AV491">
        <v>24</v>
      </c>
      <c r="AW491">
        <v>3</v>
      </c>
      <c r="AX491">
        <v>0</v>
      </c>
      <c r="AY491">
        <v>26.6</v>
      </c>
      <c r="AZ491">
        <v>88</v>
      </c>
      <c r="BA491">
        <v>5121</v>
      </c>
      <c r="BB491">
        <v>73</v>
      </c>
      <c r="BC491">
        <v>71</v>
      </c>
      <c r="BD491">
        <v>71</v>
      </c>
      <c r="BE491">
        <v>3.5</v>
      </c>
      <c r="BF491" t="s">
        <v>29</v>
      </c>
      <c r="BG491">
        <v>-4</v>
      </c>
      <c r="BH491">
        <v>7</v>
      </c>
      <c r="BI491">
        <v>0.28599999999999998</v>
      </c>
      <c r="BJ491" t="s">
        <v>85</v>
      </c>
      <c r="BK491">
        <v>0.40479999999999999</v>
      </c>
      <c r="BL491">
        <v>0.45950000000000002</v>
      </c>
      <c r="BM491">
        <v>1.24</v>
      </c>
      <c r="BN491">
        <v>1.43</v>
      </c>
    </row>
    <row r="492" spans="1:66" x14ac:dyDescent="0.25">
      <c r="A492">
        <v>2</v>
      </c>
      <c r="B492">
        <v>0</v>
      </c>
      <c r="C492">
        <v>6</v>
      </c>
      <c r="D492">
        <v>2.0333333333333332</v>
      </c>
      <c r="E492">
        <v>3.1</v>
      </c>
      <c r="F492">
        <v>3.8833333333333329</v>
      </c>
      <c r="G492" s="40">
        <v>0.37</v>
      </c>
      <c r="H492" s="40">
        <v>0.39</v>
      </c>
      <c r="I492" s="40">
        <v>0.24</v>
      </c>
      <c r="J492">
        <v>2</v>
      </c>
      <c r="K492">
        <v>3</v>
      </c>
      <c r="L492">
        <v>3.8</v>
      </c>
      <c r="M492">
        <v>2.0499999999999998</v>
      </c>
      <c r="N492">
        <v>3.1</v>
      </c>
      <c r="O492">
        <v>3.95</v>
      </c>
      <c r="P492">
        <v>2.0499999999999998</v>
      </c>
      <c r="Q492">
        <v>3.2</v>
      </c>
      <c r="R492">
        <v>3.9</v>
      </c>
      <c r="S492">
        <v>0.47419433002180761</v>
      </c>
      <c r="T492">
        <v>0.27622970680881997</v>
      </c>
      <c r="U492">
        <v>0.24957596316937242</v>
      </c>
      <c r="V492">
        <v>0.45865717763835567</v>
      </c>
      <c r="W492">
        <v>0.30330555295439648</v>
      </c>
      <c r="X492">
        <v>0.23803726940724784</v>
      </c>
      <c r="Y492">
        <v>0.46162382097281307</v>
      </c>
      <c r="Z492">
        <v>0.29572776031070835</v>
      </c>
      <c r="AA492">
        <v>0.24264841871647866</v>
      </c>
      <c r="AB492">
        <v>0.46482510954432543</v>
      </c>
      <c r="AC492">
        <v>0.29175434002464162</v>
      </c>
      <c r="AD492">
        <v>0.24342055043103294</v>
      </c>
      <c r="AE492" t="s">
        <v>92</v>
      </c>
      <c r="AF492" t="s">
        <v>85</v>
      </c>
      <c r="AG492">
        <v>64.430000000000007</v>
      </c>
      <c r="AH492">
        <v>26</v>
      </c>
      <c r="AI492">
        <v>3</v>
      </c>
      <c r="AJ492">
        <v>1</v>
      </c>
      <c r="AK492">
        <v>26.8</v>
      </c>
      <c r="AL492">
        <v>98</v>
      </c>
      <c r="AM492">
        <v>4872</v>
      </c>
      <c r="AN492">
        <v>74</v>
      </c>
      <c r="AO492">
        <v>73</v>
      </c>
      <c r="AP492">
        <v>73</v>
      </c>
      <c r="AQ492">
        <v>3.5</v>
      </c>
      <c r="AR492" t="s">
        <v>28</v>
      </c>
      <c r="AS492" t="s">
        <v>87</v>
      </c>
      <c r="AT492" t="s">
        <v>85</v>
      </c>
      <c r="AU492">
        <v>41.68</v>
      </c>
      <c r="AV492">
        <v>25</v>
      </c>
      <c r="AW492">
        <v>4</v>
      </c>
      <c r="AX492">
        <v>0</v>
      </c>
      <c r="AY492">
        <v>26.2</v>
      </c>
      <c r="AZ492">
        <v>67</v>
      </c>
      <c r="BA492">
        <v>5744</v>
      </c>
      <c r="BB492">
        <v>73</v>
      </c>
      <c r="BC492">
        <v>74</v>
      </c>
      <c r="BD492">
        <v>71</v>
      </c>
      <c r="BE492">
        <v>3.5</v>
      </c>
      <c r="BF492" t="s">
        <v>29</v>
      </c>
      <c r="BG492">
        <v>2</v>
      </c>
      <c r="BH492">
        <v>34</v>
      </c>
      <c r="BI492">
        <v>0.26700000000000002</v>
      </c>
      <c r="BJ492" t="s">
        <v>85</v>
      </c>
      <c r="BK492">
        <v>0.46810000000000002</v>
      </c>
      <c r="BL492">
        <v>0.42220000000000002</v>
      </c>
      <c r="BM492">
        <v>1.3</v>
      </c>
      <c r="BN492">
        <v>1.22</v>
      </c>
    </row>
    <row r="493" spans="1:66" x14ac:dyDescent="0.25">
      <c r="A493">
        <v>1</v>
      </c>
      <c r="B493">
        <v>1</v>
      </c>
      <c r="C493">
        <v>1</v>
      </c>
      <c r="D493">
        <v>1.5836666666666668</v>
      </c>
      <c r="E493">
        <v>3.8666666666666667</v>
      </c>
      <c r="F493">
        <v>5.416666666666667</v>
      </c>
      <c r="G493" s="40">
        <v>0.36</v>
      </c>
      <c r="H493" s="40">
        <v>0.37</v>
      </c>
      <c r="I493" s="40">
        <v>0.27</v>
      </c>
      <c r="J493">
        <v>1.58</v>
      </c>
      <c r="K493">
        <v>3.8</v>
      </c>
      <c r="L493">
        <v>4.75</v>
      </c>
      <c r="M493">
        <v>1.571</v>
      </c>
      <c r="N493">
        <v>3.85</v>
      </c>
      <c r="O493">
        <v>6</v>
      </c>
      <c r="P493">
        <v>1.6</v>
      </c>
      <c r="Q493">
        <v>3.95</v>
      </c>
      <c r="R493">
        <v>5.5</v>
      </c>
      <c r="S493">
        <v>0.59863067471877351</v>
      </c>
      <c r="T493">
        <v>0.20224585874319226</v>
      </c>
      <c r="U493">
        <v>0.19912346653803417</v>
      </c>
      <c r="V493">
        <v>0.59884353203618468</v>
      </c>
      <c r="W493">
        <v>0.24435926982567432</v>
      </c>
      <c r="X493">
        <v>0.15679719813814105</v>
      </c>
      <c r="Y493">
        <v>0.58963224318089291</v>
      </c>
      <c r="Z493">
        <v>0.23883837698466548</v>
      </c>
      <c r="AA493">
        <v>0.17152937983444158</v>
      </c>
      <c r="AB493">
        <v>0.59570214997861703</v>
      </c>
      <c r="AC493">
        <v>0.22848116851784403</v>
      </c>
      <c r="AD493">
        <v>0.17581668150353894</v>
      </c>
      <c r="AE493" t="s">
        <v>113</v>
      </c>
      <c r="AF493" t="s">
        <v>108</v>
      </c>
      <c r="AG493">
        <v>98.45</v>
      </c>
      <c r="AH493">
        <v>29</v>
      </c>
      <c r="AI493">
        <v>8</v>
      </c>
      <c r="AJ493">
        <v>7</v>
      </c>
      <c r="AK493">
        <v>27.3</v>
      </c>
      <c r="AL493">
        <v>33</v>
      </c>
      <c r="AM493">
        <v>7418</v>
      </c>
      <c r="AN493">
        <v>81</v>
      </c>
      <c r="AO493">
        <v>75</v>
      </c>
      <c r="AP493">
        <v>75</v>
      </c>
      <c r="AQ493">
        <v>4</v>
      </c>
      <c r="AR493" t="s">
        <v>29</v>
      </c>
      <c r="AS493" t="s">
        <v>112</v>
      </c>
      <c r="AT493" t="s">
        <v>108</v>
      </c>
      <c r="AU493">
        <v>59.75</v>
      </c>
      <c r="AV493">
        <v>28</v>
      </c>
      <c r="AW493">
        <v>8</v>
      </c>
      <c r="AX493">
        <v>4</v>
      </c>
      <c r="AY493">
        <v>26</v>
      </c>
      <c r="AZ493">
        <v>17</v>
      </c>
      <c r="BA493">
        <v>9035</v>
      </c>
      <c r="BB493">
        <v>71</v>
      </c>
      <c r="BC493">
        <v>75</v>
      </c>
      <c r="BD493">
        <v>75</v>
      </c>
      <c r="BE493">
        <v>3.5</v>
      </c>
      <c r="BF493" t="s">
        <v>29</v>
      </c>
      <c r="BG493">
        <v>-17</v>
      </c>
      <c r="BH493">
        <v>34</v>
      </c>
      <c r="BI493">
        <v>0.22900000000000001</v>
      </c>
      <c r="BJ493" t="s">
        <v>108</v>
      </c>
      <c r="BK493">
        <v>0.54390000000000005</v>
      </c>
      <c r="BL493">
        <v>0.52939999999999998</v>
      </c>
      <c r="BM493">
        <v>1.68</v>
      </c>
      <c r="BN493">
        <v>1.5</v>
      </c>
    </row>
    <row r="494" spans="1:66" x14ac:dyDescent="0.25">
      <c r="A494">
        <v>3</v>
      </c>
      <c r="B494">
        <v>-1</v>
      </c>
      <c r="C494">
        <v>3</v>
      </c>
      <c r="D494">
        <v>2.2533333333333334</v>
      </c>
      <c r="E494">
        <v>3.0333333333333337</v>
      </c>
      <c r="F494">
        <v>3.0666666666666664</v>
      </c>
      <c r="G494" s="40">
        <v>0.17</v>
      </c>
      <c r="H494" s="40">
        <v>0.39</v>
      </c>
      <c r="I494" s="40">
        <v>0.43999999999999995</v>
      </c>
      <c r="J494">
        <v>2.25</v>
      </c>
      <c r="K494">
        <v>3</v>
      </c>
      <c r="L494">
        <v>3</v>
      </c>
      <c r="M494">
        <v>2.25</v>
      </c>
      <c r="N494">
        <v>2.95</v>
      </c>
      <c r="O494">
        <v>3</v>
      </c>
      <c r="P494">
        <v>2.2599999999999998</v>
      </c>
      <c r="Q494">
        <v>3.15</v>
      </c>
      <c r="R494">
        <v>3.2</v>
      </c>
      <c r="S494">
        <v>0.40944881889763779</v>
      </c>
      <c r="T494">
        <v>0.28346456692913385</v>
      </c>
      <c r="U494">
        <v>0.30708661417322836</v>
      </c>
      <c r="V494">
        <v>0.39797639123102868</v>
      </c>
      <c r="W494">
        <v>0.30354131534569984</v>
      </c>
      <c r="X494">
        <v>0.29848229342327154</v>
      </c>
      <c r="Y494">
        <v>0.4125905611722811</v>
      </c>
      <c r="Z494">
        <v>0.29601735499979531</v>
      </c>
      <c r="AA494">
        <v>0.29139208382792348</v>
      </c>
      <c r="AB494">
        <v>0.40667192376698252</v>
      </c>
      <c r="AC494">
        <v>0.294341079091543</v>
      </c>
      <c r="AD494">
        <v>0.29898699714147442</v>
      </c>
      <c r="AE494" t="s">
        <v>68</v>
      </c>
      <c r="AF494" t="s">
        <v>63</v>
      </c>
      <c r="AG494">
        <v>16.600000000000001</v>
      </c>
      <c r="AH494">
        <v>36</v>
      </c>
      <c r="AI494">
        <v>2</v>
      </c>
      <c r="AJ494">
        <v>1</v>
      </c>
      <c r="AK494">
        <v>25.1</v>
      </c>
      <c r="AL494">
        <v>129</v>
      </c>
      <c r="AM494">
        <v>4227</v>
      </c>
      <c r="AN494">
        <v>62</v>
      </c>
      <c r="AO494">
        <v>66</v>
      </c>
      <c r="AP494">
        <v>64</v>
      </c>
      <c r="AQ494">
        <v>2</v>
      </c>
      <c r="AR494" t="s">
        <v>46</v>
      </c>
      <c r="AS494" t="s">
        <v>72</v>
      </c>
      <c r="AT494" t="s">
        <v>63</v>
      </c>
      <c r="AU494">
        <v>14.85</v>
      </c>
      <c r="AV494">
        <v>33</v>
      </c>
      <c r="AW494">
        <v>3</v>
      </c>
      <c r="AX494">
        <v>2</v>
      </c>
      <c r="AY494">
        <v>25.9</v>
      </c>
      <c r="AZ494">
        <v>209</v>
      </c>
      <c r="BA494">
        <v>3175</v>
      </c>
      <c r="BB494">
        <v>65</v>
      </c>
      <c r="BC494">
        <v>64</v>
      </c>
      <c r="BD494">
        <v>63</v>
      </c>
      <c r="BE494">
        <v>1.5</v>
      </c>
      <c r="BF494" t="s">
        <v>46</v>
      </c>
      <c r="BG494">
        <v>-2</v>
      </c>
      <c r="BH494">
        <v>25</v>
      </c>
      <c r="BI494">
        <v>0.3</v>
      </c>
      <c r="BJ494" t="s">
        <v>63</v>
      </c>
      <c r="BK494">
        <v>0.38890000000000002</v>
      </c>
      <c r="BL494">
        <v>0.51719999999999999</v>
      </c>
      <c r="BM494">
        <v>1.39</v>
      </c>
      <c r="BN494">
        <v>1.55</v>
      </c>
    </row>
    <row r="495" spans="1:66" x14ac:dyDescent="0.25">
      <c r="A495">
        <v>2</v>
      </c>
      <c r="B495">
        <v>0</v>
      </c>
      <c r="C495">
        <v>4</v>
      </c>
      <c r="D495">
        <v>2.6833333333333336</v>
      </c>
      <c r="E495">
        <v>3.1166666666666667</v>
      </c>
      <c r="F495">
        <v>2.7000000000000006</v>
      </c>
      <c r="G495" s="40">
        <v>0.32</v>
      </c>
      <c r="H495" s="40">
        <v>0.31</v>
      </c>
      <c r="I495" s="40">
        <v>0.36999999999999994</v>
      </c>
      <c r="J495">
        <v>2.65</v>
      </c>
      <c r="K495">
        <v>3.1</v>
      </c>
      <c r="L495">
        <v>2.7</v>
      </c>
      <c r="M495">
        <v>2.7</v>
      </c>
      <c r="N495">
        <v>3.1</v>
      </c>
      <c r="O495">
        <v>2.7</v>
      </c>
      <c r="P495">
        <v>2.7</v>
      </c>
      <c r="Q495">
        <v>3.15</v>
      </c>
      <c r="R495">
        <v>2.7</v>
      </c>
      <c r="S495">
        <v>0.3627010910520625</v>
      </c>
      <c r="T495">
        <v>0.28131450476720948</v>
      </c>
      <c r="U495">
        <v>0.35598440418072796</v>
      </c>
      <c r="V495">
        <v>0.34831460674157311</v>
      </c>
      <c r="W495">
        <v>0.30337078651685395</v>
      </c>
      <c r="X495">
        <v>0.34831460674157311</v>
      </c>
      <c r="Y495">
        <v>0.35</v>
      </c>
      <c r="Z495">
        <v>0.30000000000000004</v>
      </c>
      <c r="AA495">
        <v>0.35</v>
      </c>
      <c r="AB495">
        <v>0.35367189926454518</v>
      </c>
      <c r="AC495">
        <v>0.29489509709468781</v>
      </c>
      <c r="AD495">
        <v>0.35143300364076707</v>
      </c>
      <c r="AE495" t="s">
        <v>64</v>
      </c>
      <c r="AF495" t="s">
        <v>63</v>
      </c>
      <c r="AG495">
        <v>13.1</v>
      </c>
      <c r="AH495">
        <v>30</v>
      </c>
      <c r="AI495">
        <v>4</v>
      </c>
      <c r="AJ495">
        <v>0</v>
      </c>
      <c r="AK495">
        <v>25.1</v>
      </c>
      <c r="AL495">
        <v>71</v>
      </c>
      <c r="AM495">
        <v>5560</v>
      </c>
      <c r="AN495">
        <v>71</v>
      </c>
      <c r="AO495">
        <v>64</v>
      </c>
      <c r="AP495">
        <v>67</v>
      </c>
      <c r="AQ495">
        <v>2</v>
      </c>
      <c r="AR495" t="s">
        <v>29</v>
      </c>
      <c r="AS495" t="s">
        <v>67</v>
      </c>
      <c r="AT495" t="s">
        <v>63</v>
      </c>
      <c r="AU495">
        <v>21.85</v>
      </c>
      <c r="AV495">
        <v>29</v>
      </c>
      <c r="AW495">
        <v>2</v>
      </c>
      <c r="AX495">
        <v>4</v>
      </c>
      <c r="AY495">
        <v>25.7</v>
      </c>
      <c r="AZ495">
        <v>104</v>
      </c>
      <c r="BA495">
        <v>4793</v>
      </c>
      <c r="BB495">
        <v>67</v>
      </c>
      <c r="BC495">
        <v>70</v>
      </c>
      <c r="BD495">
        <v>67</v>
      </c>
      <c r="BE495">
        <v>2.5</v>
      </c>
      <c r="BF495" t="s">
        <v>29</v>
      </c>
      <c r="BG495">
        <v>-14</v>
      </c>
      <c r="BH495">
        <v>52</v>
      </c>
      <c r="BI495">
        <v>0.33300000000000002</v>
      </c>
      <c r="BJ495" t="s">
        <v>63</v>
      </c>
      <c r="BK495">
        <v>0.37930000000000003</v>
      </c>
      <c r="BL495">
        <v>0.42859999999999998</v>
      </c>
      <c r="BM495">
        <v>1.48</v>
      </c>
      <c r="BN495">
        <v>1.75</v>
      </c>
    </row>
    <row r="496" spans="1:66" x14ac:dyDescent="0.25">
      <c r="A496">
        <v>1</v>
      </c>
      <c r="B496">
        <v>2</v>
      </c>
      <c r="C496">
        <v>4</v>
      </c>
      <c r="D496">
        <v>1.6386666666666667</v>
      </c>
      <c r="E496">
        <v>3.35</v>
      </c>
      <c r="F496">
        <v>5.8500000000000005</v>
      </c>
      <c r="G496" s="40">
        <v>0.41</v>
      </c>
      <c r="H496" s="40">
        <v>0.38</v>
      </c>
      <c r="I496" s="40">
        <v>0.21000000000000008</v>
      </c>
      <c r="J496">
        <v>1.57</v>
      </c>
      <c r="K496">
        <v>3.25</v>
      </c>
      <c r="L496">
        <v>6</v>
      </c>
      <c r="M496">
        <v>1.6659999999999999</v>
      </c>
      <c r="N496">
        <v>3.45</v>
      </c>
      <c r="O496">
        <v>5.75</v>
      </c>
      <c r="P496">
        <v>1.68</v>
      </c>
      <c r="Q496">
        <v>3.35</v>
      </c>
      <c r="R496">
        <v>5.8</v>
      </c>
      <c r="S496">
        <v>0.61650991863987314</v>
      </c>
      <c r="T496">
        <v>0.22216998598269336</v>
      </c>
      <c r="U496">
        <v>0.1613200953774335</v>
      </c>
      <c r="V496">
        <v>0.56413107462881817</v>
      </c>
      <c r="W496">
        <v>0.27241807835698867</v>
      </c>
      <c r="X496">
        <v>0.16345084701419321</v>
      </c>
      <c r="Y496">
        <v>0.55830124705476702</v>
      </c>
      <c r="Z496">
        <v>0.27998390897074876</v>
      </c>
      <c r="AA496">
        <v>0.16171484397448421</v>
      </c>
      <c r="AB496">
        <v>0.57964741344115278</v>
      </c>
      <c r="AC496">
        <v>0.25819065777014361</v>
      </c>
      <c r="AD496">
        <v>0.16216192878870364</v>
      </c>
      <c r="AE496" t="s">
        <v>115</v>
      </c>
      <c r="AF496" t="s">
        <v>108</v>
      </c>
      <c r="AG496">
        <v>71.75</v>
      </c>
      <c r="AH496">
        <v>32</v>
      </c>
      <c r="AI496">
        <v>2</v>
      </c>
      <c r="AJ496">
        <v>2</v>
      </c>
      <c r="AK496">
        <v>25.8</v>
      </c>
      <c r="AL496">
        <v>64</v>
      </c>
      <c r="AM496">
        <v>6079</v>
      </c>
      <c r="AN496">
        <v>72</v>
      </c>
      <c r="AO496">
        <v>72</v>
      </c>
      <c r="AP496">
        <v>74</v>
      </c>
      <c r="AQ496">
        <v>3.5</v>
      </c>
      <c r="AR496" t="s">
        <v>29</v>
      </c>
      <c r="AS496" t="s">
        <v>117</v>
      </c>
      <c r="AT496" t="s">
        <v>108</v>
      </c>
      <c r="AU496">
        <v>24.33</v>
      </c>
      <c r="AV496">
        <v>30</v>
      </c>
      <c r="AW496">
        <v>6</v>
      </c>
      <c r="AX496">
        <v>0</v>
      </c>
      <c r="AY496">
        <v>27.8</v>
      </c>
      <c r="AZ496">
        <v>84</v>
      </c>
      <c r="BA496">
        <v>5249</v>
      </c>
      <c r="BB496">
        <v>69</v>
      </c>
      <c r="BC496">
        <v>71</v>
      </c>
      <c r="BD496">
        <v>71</v>
      </c>
      <c r="BE496">
        <v>3.5</v>
      </c>
      <c r="BF496" t="s">
        <v>28</v>
      </c>
      <c r="BG496">
        <v>7</v>
      </c>
      <c r="BH496">
        <v>32</v>
      </c>
      <c r="BI496">
        <v>0.47399999999999998</v>
      </c>
      <c r="BJ496" t="s">
        <v>108</v>
      </c>
      <c r="BK496">
        <v>0.3448</v>
      </c>
      <c r="BL496">
        <v>0.40279999999999999</v>
      </c>
      <c r="BM496">
        <v>1.1599999999999999</v>
      </c>
      <c r="BN496">
        <v>1.33</v>
      </c>
    </row>
    <row r="497" spans="1:66" x14ac:dyDescent="0.25">
      <c r="A497">
        <v>2</v>
      </c>
      <c r="B497">
        <v>0</v>
      </c>
      <c r="C497">
        <v>4</v>
      </c>
      <c r="D497">
        <v>7.5666666666666664</v>
      </c>
      <c r="E497">
        <v>4.21</v>
      </c>
      <c r="F497">
        <v>1.4033333333333331</v>
      </c>
      <c r="G497" s="40">
        <v>0.14000000000000001</v>
      </c>
      <c r="H497" s="40">
        <v>0.23</v>
      </c>
      <c r="I497" s="40">
        <v>0.63</v>
      </c>
      <c r="J497">
        <v>7</v>
      </c>
      <c r="K497">
        <v>4</v>
      </c>
      <c r="L497">
        <v>1.38</v>
      </c>
      <c r="M497">
        <v>8</v>
      </c>
      <c r="N497">
        <v>4.33</v>
      </c>
      <c r="O497">
        <v>1.4</v>
      </c>
      <c r="P497">
        <v>7.7</v>
      </c>
      <c r="Q497">
        <v>4.3</v>
      </c>
      <c r="R497">
        <v>1.43</v>
      </c>
      <c r="S497">
        <v>0.13667663335570754</v>
      </c>
      <c r="T497">
        <v>0.1700360959993992</v>
      </c>
      <c r="U497">
        <v>0.69328727064489337</v>
      </c>
      <c r="V497">
        <v>0.11679704057647103</v>
      </c>
      <c r="W497">
        <v>0.21579129898655156</v>
      </c>
      <c r="X497">
        <v>0.66741166043697742</v>
      </c>
      <c r="Y497">
        <v>0.1223194748358862</v>
      </c>
      <c r="Z497">
        <v>0.21903719912472647</v>
      </c>
      <c r="AA497">
        <v>0.65864332603938724</v>
      </c>
      <c r="AB497">
        <v>0.12526438292268827</v>
      </c>
      <c r="AC497">
        <v>0.20162153137022573</v>
      </c>
      <c r="AD497">
        <v>0.67311408570708597</v>
      </c>
      <c r="AE497" t="s">
        <v>124</v>
      </c>
      <c r="AF497" t="s">
        <v>108</v>
      </c>
      <c r="AG497">
        <v>150.30000000000001</v>
      </c>
      <c r="AH497">
        <v>36</v>
      </c>
      <c r="AI497">
        <v>0</v>
      </c>
      <c r="AJ497">
        <v>0</v>
      </c>
      <c r="AK497">
        <v>26.5</v>
      </c>
      <c r="AL497">
        <v>318</v>
      </c>
      <c r="AM497">
        <v>2355</v>
      </c>
      <c r="AN497">
        <v>69</v>
      </c>
      <c r="AO497">
        <v>71</v>
      </c>
      <c r="AP497">
        <v>71</v>
      </c>
      <c r="AQ497">
        <v>3.5</v>
      </c>
      <c r="AR497" t="s">
        <v>46</v>
      </c>
      <c r="AS497" t="s">
        <v>113</v>
      </c>
      <c r="AT497" t="s">
        <v>108</v>
      </c>
      <c r="AU497">
        <v>98.45</v>
      </c>
      <c r="AV497">
        <v>29</v>
      </c>
      <c r="AW497">
        <v>8</v>
      </c>
      <c r="AX497">
        <v>7</v>
      </c>
      <c r="AY497">
        <v>27.3</v>
      </c>
      <c r="AZ497">
        <v>33</v>
      </c>
      <c r="BA497">
        <v>7418</v>
      </c>
      <c r="BB497">
        <v>81</v>
      </c>
      <c r="BC497">
        <v>75</v>
      </c>
      <c r="BD497">
        <v>75</v>
      </c>
      <c r="BE497">
        <v>4</v>
      </c>
      <c r="BF497" t="s">
        <v>29</v>
      </c>
      <c r="BG497">
        <v>-3</v>
      </c>
      <c r="BH497">
        <v>15</v>
      </c>
      <c r="BI497">
        <v>0.33300000000000002</v>
      </c>
      <c r="BJ497" t="s">
        <v>108</v>
      </c>
      <c r="BK497">
        <v>0.4909</v>
      </c>
      <c r="BL497">
        <v>0.54390000000000005</v>
      </c>
      <c r="BM497">
        <v>1.07</v>
      </c>
      <c r="BN497">
        <v>1.68</v>
      </c>
    </row>
    <row r="498" spans="1:66" x14ac:dyDescent="0.25">
      <c r="A498">
        <v>3</v>
      </c>
      <c r="B498">
        <v>-2</v>
      </c>
      <c r="C498">
        <v>2</v>
      </c>
      <c r="D498">
        <v>2.3266666666666667</v>
      </c>
      <c r="E498">
        <v>3.0500000000000003</v>
      </c>
      <c r="F498">
        <v>3.15</v>
      </c>
      <c r="G498" s="40">
        <v>0.4</v>
      </c>
      <c r="H498" s="40">
        <v>0.36</v>
      </c>
      <c r="I498" s="40">
        <v>0.24</v>
      </c>
      <c r="J498">
        <v>2.25</v>
      </c>
      <c r="K498">
        <v>3</v>
      </c>
      <c r="L498">
        <v>3</v>
      </c>
      <c r="M498">
        <v>2.35</v>
      </c>
      <c r="N498">
        <v>3.1</v>
      </c>
      <c r="O498">
        <v>3.25</v>
      </c>
      <c r="P498">
        <v>2.38</v>
      </c>
      <c r="Q498">
        <v>3.05</v>
      </c>
      <c r="R498">
        <v>3.2</v>
      </c>
      <c r="S498">
        <v>0.40944881889763779</v>
      </c>
      <c r="T498">
        <v>0.28346456692913385</v>
      </c>
      <c r="U498">
        <v>0.30708661417322836</v>
      </c>
      <c r="V498">
        <v>0.40304030403040303</v>
      </c>
      <c r="W498">
        <v>0.30553055305530558</v>
      </c>
      <c r="X498">
        <v>0.29142914291429145</v>
      </c>
      <c r="Y498">
        <v>0.3961842906433935</v>
      </c>
      <c r="Z498">
        <v>0.30915364319058247</v>
      </c>
      <c r="AA498">
        <v>0.29466206616602386</v>
      </c>
      <c r="AB498">
        <v>0.40289113785714475</v>
      </c>
      <c r="AC498">
        <v>0.29938292105834058</v>
      </c>
      <c r="AD498">
        <v>0.29772594108451456</v>
      </c>
      <c r="AE498" t="s">
        <v>118</v>
      </c>
      <c r="AF498" t="s">
        <v>108</v>
      </c>
      <c r="AG498">
        <v>65.8</v>
      </c>
      <c r="AH498">
        <v>34</v>
      </c>
      <c r="AI498">
        <v>4</v>
      </c>
      <c r="AJ498">
        <v>2</v>
      </c>
      <c r="AK498">
        <v>27.6</v>
      </c>
      <c r="AL498">
        <v>89</v>
      </c>
      <c r="AM498">
        <v>5108</v>
      </c>
      <c r="AN498">
        <v>70</v>
      </c>
      <c r="AO498">
        <v>73</v>
      </c>
      <c r="AP498">
        <v>72</v>
      </c>
      <c r="AQ498">
        <v>3.5</v>
      </c>
      <c r="AR498" t="s">
        <v>29</v>
      </c>
      <c r="AS498" t="s">
        <v>120</v>
      </c>
      <c r="AT498" t="s">
        <v>108</v>
      </c>
      <c r="AU498">
        <v>22.38</v>
      </c>
      <c r="AV498">
        <v>31</v>
      </c>
      <c r="AW498">
        <v>2</v>
      </c>
      <c r="AX498">
        <v>1</v>
      </c>
      <c r="AY498">
        <v>27.8</v>
      </c>
      <c r="AZ498">
        <v>106</v>
      </c>
      <c r="BA498">
        <v>4727</v>
      </c>
      <c r="BB498">
        <v>70</v>
      </c>
      <c r="BC498">
        <v>71</v>
      </c>
      <c r="BD498">
        <v>72</v>
      </c>
      <c r="BE498">
        <v>3.5</v>
      </c>
      <c r="BF498" t="s">
        <v>28</v>
      </c>
      <c r="BG498">
        <v>1</v>
      </c>
      <c r="BH498">
        <v>18</v>
      </c>
      <c r="BI498">
        <v>0.45500000000000002</v>
      </c>
      <c r="BJ498" t="s">
        <v>108</v>
      </c>
      <c r="BK498">
        <v>0.4839</v>
      </c>
      <c r="BL498">
        <v>0.4032</v>
      </c>
      <c r="BM498">
        <v>1.52</v>
      </c>
      <c r="BN498">
        <v>1.26</v>
      </c>
    </row>
    <row r="499" spans="1:66" x14ac:dyDescent="0.25">
      <c r="A499">
        <v>2</v>
      </c>
      <c r="B499">
        <v>0</v>
      </c>
      <c r="C499">
        <v>4</v>
      </c>
      <c r="D499">
        <v>3.0333333333333337</v>
      </c>
      <c r="E499">
        <v>3.53</v>
      </c>
      <c r="F499">
        <v>2.2833333333333337</v>
      </c>
      <c r="G499" s="40">
        <v>0.35</v>
      </c>
      <c r="H499" s="40">
        <v>0.4</v>
      </c>
      <c r="I499" s="40">
        <v>0.25</v>
      </c>
      <c r="J499">
        <v>3.02</v>
      </c>
      <c r="K499">
        <v>3.54</v>
      </c>
      <c r="L499">
        <v>2.35</v>
      </c>
      <c r="M499">
        <v>3.2</v>
      </c>
      <c r="N499">
        <v>3.45</v>
      </c>
      <c r="O499">
        <v>2.2000000000000002</v>
      </c>
      <c r="P499">
        <v>2.88</v>
      </c>
      <c r="Q499">
        <v>3.6</v>
      </c>
      <c r="R499">
        <v>2.2999999999999998</v>
      </c>
      <c r="S499">
        <v>0.3291396996929869</v>
      </c>
      <c r="T499">
        <v>0.24788077133985548</v>
      </c>
      <c r="U499">
        <v>0.42297952896715763</v>
      </c>
      <c r="V499">
        <v>0.29567588624853919</v>
      </c>
      <c r="W499">
        <v>0.27425009738994938</v>
      </c>
      <c r="X499">
        <v>0.43007401636151155</v>
      </c>
      <c r="Y499">
        <v>0.32763532763532766</v>
      </c>
      <c r="Z499">
        <v>0.2621082621082621</v>
      </c>
      <c r="AA499">
        <v>0.4102564102564103</v>
      </c>
      <c r="AB499">
        <v>0.31748363785895123</v>
      </c>
      <c r="AC499">
        <v>0.26141304361268897</v>
      </c>
      <c r="AD499">
        <v>0.42110331852835986</v>
      </c>
      <c r="AE499" t="s">
        <v>252</v>
      </c>
      <c r="AF499" t="s">
        <v>253</v>
      </c>
      <c r="AG499">
        <v>879.5</v>
      </c>
      <c r="AH499">
        <v>27</v>
      </c>
      <c r="AI499">
        <v>19</v>
      </c>
      <c r="AJ499">
        <v>18</v>
      </c>
      <c r="AK499">
        <v>27</v>
      </c>
      <c r="AL499">
        <v>1</v>
      </c>
      <c r="AM499">
        <v>14695</v>
      </c>
      <c r="AN499">
        <v>86</v>
      </c>
      <c r="AO499">
        <v>83</v>
      </c>
      <c r="AP499">
        <v>80</v>
      </c>
      <c r="AQ499">
        <v>5</v>
      </c>
      <c r="AR499" t="s">
        <v>29</v>
      </c>
      <c r="AS499" t="s">
        <v>254</v>
      </c>
      <c r="AT499" t="s">
        <v>253</v>
      </c>
      <c r="AU499">
        <v>1040</v>
      </c>
      <c r="AV499">
        <v>22</v>
      </c>
      <c r="AW499">
        <v>16</v>
      </c>
      <c r="AX499">
        <v>19</v>
      </c>
      <c r="AY499">
        <v>27.6</v>
      </c>
      <c r="AZ499">
        <v>8</v>
      </c>
      <c r="BA499">
        <v>10390</v>
      </c>
      <c r="BB499">
        <v>85</v>
      </c>
      <c r="BC499">
        <v>86</v>
      </c>
      <c r="BD499">
        <v>83</v>
      </c>
      <c r="BE499">
        <v>5</v>
      </c>
      <c r="BF499" t="s">
        <v>28</v>
      </c>
      <c r="BG499">
        <v>79</v>
      </c>
      <c r="BH499">
        <v>196</v>
      </c>
      <c r="BI499">
        <v>0.51400000000000001</v>
      </c>
      <c r="BJ499" t="s">
        <v>267</v>
      </c>
      <c r="BK499">
        <v>0.52829999999999999</v>
      </c>
      <c r="BL499">
        <v>0.77049999999999996</v>
      </c>
      <c r="BM499">
        <v>1.83</v>
      </c>
      <c r="BN499">
        <v>2.15</v>
      </c>
    </row>
    <row r="500" spans="1:66" x14ac:dyDescent="0.25">
      <c r="A500">
        <v>1</v>
      </c>
      <c r="B500">
        <v>1</v>
      </c>
      <c r="C500">
        <v>3</v>
      </c>
      <c r="D500">
        <v>1.2133333333333332</v>
      </c>
      <c r="E500">
        <v>7.07</v>
      </c>
      <c r="F500">
        <v>12.49</v>
      </c>
      <c r="G500" s="40">
        <v>0.61</v>
      </c>
      <c r="H500" s="40">
        <v>0.25</v>
      </c>
      <c r="I500" s="40">
        <v>0.14000000000000001</v>
      </c>
      <c r="J500">
        <v>1.22</v>
      </c>
      <c r="K500">
        <v>7.21</v>
      </c>
      <c r="L500">
        <v>12.47</v>
      </c>
      <c r="M500">
        <v>1.22</v>
      </c>
      <c r="N500">
        <v>7</v>
      </c>
      <c r="O500">
        <v>12</v>
      </c>
      <c r="P500">
        <v>1.2</v>
      </c>
      <c r="Q500">
        <v>7</v>
      </c>
      <c r="R500">
        <v>13</v>
      </c>
      <c r="S500">
        <v>0.83172763032203478</v>
      </c>
      <c r="T500">
        <v>8.6900460376210326E-2</v>
      </c>
      <c r="U500">
        <v>8.1371909301754808E-2</v>
      </c>
      <c r="V500">
        <v>0.78372830752005973</v>
      </c>
      <c r="W500">
        <v>0.13659264788206757</v>
      </c>
      <c r="X500">
        <v>7.9679044597872742E-2</v>
      </c>
      <c r="Y500">
        <v>0.79130434782608694</v>
      </c>
      <c r="Z500">
        <v>0.13565217391304346</v>
      </c>
      <c r="AA500">
        <v>7.3043478260869557E-2</v>
      </c>
      <c r="AB500">
        <v>0.80225342855606041</v>
      </c>
      <c r="AC500">
        <v>0.11971509405710712</v>
      </c>
      <c r="AD500">
        <v>7.8031477386832374E-2</v>
      </c>
      <c r="AE500" t="s">
        <v>50</v>
      </c>
      <c r="AF500" t="s">
        <v>26</v>
      </c>
      <c r="AG500">
        <v>565.79999999999995</v>
      </c>
      <c r="AH500">
        <v>33</v>
      </c>
      <c r="AI500">
        <v>18</v>
      </c>
      <c r="AJ500">
        <v>17</v>
      </c>
      <c r="AK500">
        <v>24.7</v>
      </c>
      <c r="AL500">
        <v>36</v>
      </c>
      <c r="AM500">
        <v>7276</v>
      </c>
      <c r="AN500">
        <v>87</v>
      </c>
      <c r="AO500">
        <v>81</v>
      </c>
      <c r="AP500">
        <v>81</v>
      </c>
      <c r="AQ500">
        <v>4.5</v>
      </c>
      <c r="AR500" t="s">
        <v>29</v>
      </c>
      <c r="AS500" t="s">
        <v>275</v>
      </c>
      <c r="AT500" t="s">
        <v>26</v>
      </c>
      <c r="AU500">
        <v>97.1</v>
      </c>
      <c r="AV500">
        <v>28</v>
      </c>
      <c r="AW500">
        <v>18</v>
      </c>
      <c r="AX500">
        <v>10</v>
      </c>
      <c r="AY500">
        <v>26</v>
      </c>
      <c r="AZ500">
        <v>276</v>
      </c>
      <c r="BA500">
        <v>2599</v>
      </c>
      <c r="BB500">
        <v>73</v>
      </c>
      <c r="BC500">
        <v>74</v>
      </c>
      <c r="BD500">
        <v>74</v>
      </c>
      <c r="BE500">
        <v>3.5</v>
      </c>
      <c r="BF500" t="s">
        <v>46</v>
      </c>
      <c r="BG500">
        <v>28</v>
      </c>
      <c r="BH500">
        <v>47</v>
      </c>
      <c r="BI500">
        <v>0.63600000000000001</v>
      </c>
      <c r="BJ500" t="s">
        <v>273</v>
      </c>
      <c r="BK500">
        <v>0.60780000000000001</v>
      </c>
      <c r="BL500">
        <v>0.30559999999999998</v>
      </c>
      <c r="BM500">
        <v>2.27</v>
      </c>
      <c r="BN500">
        <v>1.19</v>
      </c>
    </row>
    <row r="501" spans="1:66" x14ac:dyDescent="0.25">
      <c r="A501">
        <v>3</v>
      </c>
      <c r="B501">
        <v>-1</v>
      </c>
      <c r="C501">
        <v>3</v>
      </c>
      <c r="D501">
        <v>3.0766666666666667</v>
      </c>
      <c r="E501">
        <v>3.2833333333333332</v>
      </c>
      <c r="F501">
        <v>2.4099999999999997</v>
      </c>
      <c r="G501" s="40">
        <v>0.21</v>
      </c>
      <c r="H501" s="40">
        <v>0.36</v>
      </c>
      <c r="I501" s="40">
        <v>0.43000000000000005</v>
      </c>
      <c r="J501">
        <v>3.13</v>
      </c>
      <c r="K501">
        <v>3.3</v>
      </c>
      <c r="L501">
        <v>2.4</v>
      </c>
      <c r="M501">
        <v>3.1</v>
      </c>
      <c r="N501">
        <v>3.25</v>
      </c>
      <c r="O501">
        <v>2.4500000000000002</v>
      </c>
      <c r="P501">
        <v>3</v>
      </c>
      <c r="Q501">
        <v>3.3</v>
      </c>
      <c r="R501">
        <v>2.38</v>
      </c>
      <c r="S501">
        <v>0.31843890266653596</v>
      </c>
      <c r="T501">
        <v>0.26626369510585685</v>
      </c>
      <c r="U501">
        <v>0.41529740222760725</v>
      </c>
      <c r="V501">
        <v>0.3106407880620306</v>
      </c>
      <c r="W501">
        <v>0.29630352092070611</v>
      </c>
      <c r="X501">
        <v>0.39305569101726323</v>
      </c>
      <c r="Y501">
        <v>0.31549771029163654</v>
      </c>
      <c r="Z501">
        <v>0.28681610026512416</v>
      </c>
      <c r="AA501">
        <v>0.39768618944323936</v>
      </c>
      <c r="AB501">
        <v>0.31485913367340101</v>
      </c>
      <c r="AC501">
        <v>0.283127772097229</v>
      </c>
      <c r="AD501">
        <v>0.40201309422936998</v>
      </c>
      <c r="AE501" t="s">
        <v>59</v>
      </c>
      <c r="AF501" t="s">
        <v>26</v>
      </c>
      <c r="AG501">
        <v>137.05000000000001</v>
      </c>
      <c r="AH501">
        <v>28</v>
      </c>
      <c r="AI501">
        <v>15</v>
      </c>
      <c r="AJ501">
        <v>8</v>
      </c>
      <c r="AK501">
        <v>26.3</v>
      </c>
      <c r="AL501">
        <v>258</v>
      </c>
      <c r="AM501">
        <v>2751</v>
      </c>
      <c r="AN501">
        <v>77</v>
      </c>
      <c r="AO501">
        <v>76</v>
      </c>
      <c r="AP501">
        <v>75</v>
      </c>
      <c r="AQ501">
        <v>4</v>
      </c>
      <c r="AR501" t="s">
        <v>29</v>
      </c>
      <c r="AS501" t="s">
        <v>55</v>
      </c>
      <c r="AT501" t="s">
        <v>26</v>
      </c>
      <c r="AU501">
        <v>125.15</v>
      </c>
      <c r="AV501">
        <v>26</v>
      </c>
      <c r="AW501">
        <v>9</v>
      </c>
      <c r="AX501">
        <v>7</v>
      </c>
      <c r="AY501">
        <v>25.4</v>
      </c>
      <c r="AZ501">
        <v>213</v>
      </c>
      <c r="BA501">
        <v>3138</v>
      </c>
      <c r="BB501">
        <v>75</v>
      </c>
      <c r="BC501">
        <v>75</v>
      </c>
      <c r="BD501">
        <v>73</v>
      </c>
      <c r="BE501">
        <v>3.5</v>
      </c>
      <c r="BF501" t="s">
        <v>29</v>
      </c>
      <c r="BG501">
        <v>6</v>
      </c>
      <c r="BH501">
        <v>65</v>
      </c>
      <c r="BI501">
        <v>0.34799999999999998</v>
      </c>
      <c r="BJ501" t="s">
        <v>273</v>
      </c>
      <c r="BK501">
        <v>0.2286</v>
      </c>
      <c r="BL501">
        <v>0.36109999999999998</v>
      </c>
      <c r="BM501">
        <v>1.29</v>
      </c>
      <c r="BN501">
        <v>1.5</v>
      </c>
    </row>
    <row r="502" spans="1:66" x14ac:dyDescent="0.25">
      <c r="A502">
        <v>1</v>
      </c>
      <c r="B502">
        <v>2</v>
      </c>
      <c r="C502">
        <v>4</v>
      </c>
      <c r="D502">
        <v>2.7466666666666666</v>
      </c>
      <c r="E502">
        <v>3.7233333333333332</v>
      </c>
      <c r="F502">
        <v>2.4433333333333334</v>
      </c>
      <c r="G502" s="40">
        <v>0.27</v>
      </c>
      <c r="H502" s="40">
        <v>0.36</v>
      </c>
      <c r="I502" s="40">
        <v>0.37</v>
      </c>
      <c r="J502">
        <v>2.84</v>
      </c>
      <c r="K502">
        <v>3.62</v>
      </c>
      <c r="L502">
        <v>2.4300000000000002</v>
      </c>
      <c r="M502">
        <v>2.6</v>
      </c>
      <c r="N502">
        <v>3.75</v>
      </c>
      <c r="O502">
        <v>2.6</v>
      </c>
      <c r="P502">
        <v>2.8</v>
      </c>
      <c r="Q502">
        <v>3.8</v>
      </c>
      <c r="R502">
        <v>2.2999999999999998</v>
      </c>
      <c r="S502">
        <v>0.34913342661542018</v>
      </c>
      <c r="T502">
        <v>0.24282586079701057</v>
      </c>
      <c r="U502">
        <v>0.40804071258756924</v>
      </c>
      <c r="V502">
        <v>0.37128712871287134</v>
      </c>
      <c r="W502">
        <v>0.25742574257425743</v>
      </c>
      <c r="X502">
        <v>0.37128712871287134</v>
      </c>
      <c r="Y502">
        <v>0.33849728892331526</v>
      </c>
      <c r="Z502">
        <v>0.24941905499612704</v>
      </c>
      <c r="AA502">
        <v>0.41208365608055769</v>
      </c>
      <c r="AB502">
        <v>0.3529726147505356</v>
      </c>
      <c r="AC502">
        <v>0.24989021945579837</v>
      </c>
      <c r="AD502">
        <v>0.39713716579366604</v>
      </c>
      <c r="AE502" t="s">
        <v>61</v>
      </c>
      <c r="AF502" t="s">
        <v>26</v>
      </c>
      <c r="AG502">
        <v>169.63</v>
      </c>
      <c r="AH502">
        <v>33</v>
      </c>
      <c r="AI502">
        <v>18</v>
      </c>
      <c r="AJ502">
        <v>4</v>
      </c>
      <c r="AK502">
        <v>23.3</v>
      </c>
      <c r="AL502">
        <v>671</v>
      </c>
      <c r="AM502">
        <v>828</v>
      </c>
      <c r="AN502">
        <v>74</v>
      </c>
      <c r="AO502">
        <v>73</v>
      </c>
      <c r="AP502">
        <v>72</v>
      </c>
      <c r="AQ502">
        <v>3.5</v>
      </c>
      <c r="AR502" t="s">
        <v>29</v>
      </c>
      <c r="AS502" t="s">
        <v>54</v>
      </c>
      <c r="AT502" t="s">
        <v>26</v>
      </c>
      <c r="AU502">
        <v>207.65</v>
      </c>
      <c r="AV502">
        <v>32</v>
      </c>
      <c r="AW502">
        <v>20</v>
      </c>
      <c r="AX502">
        <v>16</v>
      </c>
      <c r="AY502">
        <v>25.8</v>
      </c>
      <c r="AZ502">
        <v>194</v>
      </c>
      <c r="BA502">
        <v>3438</v>
      </c>
      <c r="BB502">
        <v>75</v>
      </c>
      <c r="BC502">
        <v>77</v>
      </c>
      <c r="BD502">
        <v>76</v>
      </c>
      <c r="BE502">
        <v>4</v>
      </c>
      <c r="BF502" t="s">
        <v>29</v>
      </c>
      <c r="BG502">
        <v>8</v>
      </c>
      <c r="BH502">
        <v>40</v>
      </c>
      <c r="BI502">
        <v>0.45800000000000002</v>
      </c>
      <c r="BJ502" t="s">
        <v>273</v>
      </c>
      <c r="BK502">
        <v>0.37840000000000001</v>
      </c>
      <c r="BL502">
        <v>0.36359999999999998</v>
      </c>
      <c r="BM502">
        <v>1.59</v>
      </c>
      <c r="BN502">
        <v>1.73</v>
      </c>
    </row>
    <row r="503" spans="1:66" x14ac:dyDescent="0.25">
      <c r="A503">
        <v>3</v>
      </c>
      <c r="B503">
        <v>-2</v>
      </c>
      <c r="C503">
        <v>4</v>
      </c>
      <c r="D503">
        <v>2</v>
      </c>
      <c r="E503">
        <v>3.5466666666666669</v>
      </c>
      <c r="F503">
        <v>3.813333333333333</v>
      </c>
      <c r="G503" s="40">
        <v>0.59</v>
      </c>
      <c r="H503" s="40">
        <v>0.25</v>
      </c>
      <c r="I503" s="40">
        <v>0.16000000000000003</v>
      </c>
      <c r="J503">
        <v>2</v>
      </c>
      <c r="K503">
        <v>3.59</v>
      </c>
      <c r="L503">
        <v>3.84</v>
      </c>
      <c r="M503">
        <v>1.95</v>
      </c>
      <c r="N503">
        <v>3.65</v>
      </c>
      <c r="O503">
        <v>4</v>
      </c>
      <c r="P503">
        <v>2.0499999999999998</v>
      </c>
      <c r="Q503">
        <v>3.4</v>
      </c>
      <c r="R503">
        <v>3.6</v>
      </c>
      <c r="S503">
        <v>0.5016871039420624</v>
      </c>
      <c r="T503">
        <v>0.23701752942144688</v>
      </c>
      <c r="U503">
        <v>0.26129536663649083</v>
      </c>
      <c r="V503">
        <v>0.49462183450495467</v>
      </c>
      <c r="W503">
        <v>0.26425002117387986</v>
      </c>
      <c r="X503">
        <v>0.24112814432116539</v>
      </c>
      <c r="Y503">
        <v>0.46032342986084995</v>
      </c>
      <c r="Z503">
        <v>0.2775479503572772</v>
      </c>
      <c r="AA503">
        <v>0.26212861978187285</v>
      </c>
      <c r="AB503">
        <v>0.48554412276928899</v>
      </c>
      <c r="AC503">
        <v>0.25960516698420127</v>
      </c>
      <c r="AD503">
        <v>0.25485071024650968</v>
      </c>
      <c r="AE503" t="s">
        <v>274</v>
      </c>
      <c r="AF503" t="s">
        <v>26</v>
      </c>
      <c r="AG503">
        <v>287.75</v>
      </c>
      <c r="AH503">
        <v>31</v>
      </c>
      <c r="AI503">
        <v>20</v>
      </c>
      <c r="AJ503">
        <v>11</v>
      </c>
      <c r="AK503">
        <v>25.4</v>
      </c>
      <c r="AL503">
        <v>65</v>
      </c>
      <c r="AM503">
        <v>5919</v>
      </c>
      <c r="AN503">
        <v>78</v>
      </c>
      <c r="AO503">
        <v>78</v>
      </c>
      <c r="AP503">
        <v>77</v>
      </c>
      <c r="AQ503">
        <v>4</v>
      </c>
      <c r="AR503" t="s">
        <v>46</v>
      </c>
      <c r="AS503" t="s">
        <v>52</v>
      </c>
      <c r="AT503" t="s">
        <v>26</v>
      </c>
      <c r="AU503">
        <v>300</v>
      </c>
      <c r="AV503">
        <v>28</v>
      </c>
      <c r="AW503">
        <v>15</v>
      </c>
      <c r="AX503">
        <v>11</v>
      </c>
      <c r="AY503">
        <v>25.4</v>
      </c>
      <c r="AZ503">
        <v>76</v>
      </c>
      <c r="BA503">
        <v>5412</v>
      </c>
      <c r="BB503">
        <v>78</v>
      </c>
      <c r="BC503">
        <v>79</v>
      </c>
      <c r="BD503">
        <v>80</v>
      </c>
      <c r="BE503">
        <v>4.5</v>
      </c>
      <c r="BF503" t="s">
        <v>29</v>
      </c>
      <c r="BG503">
        <v>12</v>
      </c>
      <c r="BH503">
        <v>74</v>
      </c>
      <c r="BI503">
        <v>0.5</v>
      </c>
      <c r="BJ503" t="s">
        <v>273</v>
      </c>
      <c r="BK503">
        <v>0.53659999999999997</v>
      </c>
      <c r="BL503">
        <v>0.60780000000000001</v>
      </c>
      <c r="BM503">
        <v>1.88</v>
      </c>
      <c r="BN503">
        <v>2.27</v>
      </c>
    </row>
    <row r="504" spans="1:66" x14ac:dyDescent="0.25">
      <c r="A504">
        <v>3</v>
      </c>
      <c r="B504">
        <v>-1</v>
      </c>
      <c r="C504">
        <v>3</v>
      </c>
      <c r="D504">
        <v>2.14</v>
      </c>
      <c r="E504">
        <v>3.3033333333333332</v>
      </c>
      <c r="F504">
        <v>3.6466666666666669</v>
      </c>
      <c r="G504" s="40">
        <v>0.4</v>
      </c>
      <c r="H504" s="40">
        <v>0.38</v>
      </c>
      <c r="I504" s="40">
        <v>0.21999999999999997</v>
      </c>
      <c r="J504">
        <v>2.2200000000000002</v>
      </c>
      <c r="K504">
        <v>3.26</v>
      </c>
      <c r="L504">
        <v>3.54</v>
      </c>
      <c r="M504">
        <v>2.1</v>
      </c>
      <c r="N504">
        <v>3.35</v>
      </c>
      <c r="O504">
        <v>3.8</v>
      </c>
      <c r="P504">
        <v>2.1</v>
      </c>
      <c r="Q504">
        <v>3.3</v>
      </c>
      <c r="R504">
        <v>3.6</v>
      </c>
      <c r="S504">
        <v>0.4511619094021953</v>
      </c>
      <c r="T504">
        <v>0.26590604571846205</v>
      </c>
      <c r="U504">
        <v>0.28293204487934281</v>
      </c>
      <c r="V504">
        <v>0.45882140926293025</v>
      </c>
      <c r="W504">
        <v>0.28761939088123983</v>
      </c>
      <c r="X504">
        <v>0.25355919985582986</v>
      </c>
      <c r="Y504">
        <v>0.45051194539249145</v>
      </c>
      <c r="Z504">
        <v>0.28668941979522189</v>
      </c>
      <c r="AA504">
        <v>0.26279863481228671</v>
      </c>
      <c r="AB504">
        <v>0.45349842135253898</v>
      </c>
      <c r="AC504">
        <v>0.28007161879830794</v>
      </c>
      <c r="AD504">
        <v>0.26642995984915313</v>
      </c>
      <c r="AE504" t="s">
        <v>57</v>
      </c>
      <c r="AF504" t="s">
        <v>26</v>
      </c>
      <c r="AG504">
        <v>100.5</v>
      </c>
      <c r="AH504">
        <v>25</v>
      </c>
      <c r="AI504">
        <v>13</v>
      </c>
      <c r="AJ504">
        <v>6</v>
      </c>
      <c r="AK504">
        <v>25.5</v>
      </c>
      <c r="AL504">
        <v>234</v>
      </c>
      <c r="AM504">
        <v>2973</v>
      </c>
      <c r="AN504">
        <v>72</v>
      </c>
      <c r="AO504">
        <v>73</v>
      </c>
      <c r="AP504">
        <v>73</v>
      </c>
      <c r="AQ504">
        <v>3.5</v>
      </c>
      <c r="AR504" t="s">
        <v>46</v>
      </c>
      <c r="AS504" t="s">
        <v>58</v>
      </c>
      <c r="AT504" t="s">
        <v>26</v>
      </c>
      <c r="AU504">
        <v>77.8</v>
      </c>
      <c r="AV504">
        <v>31</v>
      </c>
      <c r="AW504">
        <v>13</v>
      </c>
      <c r="AX504">
        <v>7</v>
      </c>
      <c r="AY504">
        <v>26.9</v>
      </c>
      <c r="AZ504">
        <v>243</v>
      </c>
      <c r="BA504">
        <v>2873</v>
      </c>
      <c r="BB504">
        <v>75</v>
      </c>
      <c r="BC504">
        <v>72</v>
      </c>
      <c r="BD504">
        <v>73</v>
      </c>
      <c r="BE504">
        <v>3.5</v>
      </c>
      <c r="BF504" t="s">
        <v>46</v>
      </c>
      <c r="BG504">
        <v>-2</v>
      </c>
      <c r="BH504">
        <v>17</v>
      </c>
      <c r="BI504">
        <v>0.45500000000000002</v>
      </c>
      <c r="BJ504" t="s">
        <v>273</v>
      </c>
      <c r="BK504">
        <v>0.30559999999999998</v>
      </c>
      <c r="BL504">
        <v>0.36109999999999998</v>
      </c>
      <c r="BM504">
        <v>1.28</v>
      </c>
      <c r="BN504">
        <v>1.47</v>
      </c>
    </row>
    <row r="505" spans="1:66" x14ac:dyDescent="0.25">
      <c r="A505">
        <v>3</v>
      </c>
      <c r="B505">
        <v>-1</v>
      </c>
      <c r="C505">
        <v>3</v>
      </c>
      <c r="D505">
        <v>1.0866666666666667</v>
      </c>
      <c r="E505">
        <v>11.653333333333334</v>
      </c>
      <c r="F505">
        <v>24.656666666666666</v>
      </c>
      <c r="G505" s="40">
        <v>0.64</v>
      </c>
      <c r="H505" s="40">
        <v>0.28999999999999998</v>
      </c>
      <c r="I505" s="40">
        <v>7.0000000000000007E-2</v>
      </c>
      <c r="J505">
        <v>1.0900000000000001</v>
      </c>
      <c r="K505">
        <v>11.96</v>
      </c>
      <c r="L505">
        <v>23.97</v>
      </c>
      <c r="M505">
        <v>1.08</v>
      </c>
      <c r="N505">
        <v>12</v>
      </c>
      <c r="O505">
        <v>29</v>
      </c>
      <c r="P505">
        <v>1.0900000000000001</v>
      </c>
      <c r="Q505">
        <v>11</v>
      </c>
      <c r="R505">
        <v>21</v>
      </c>
      <c r="S505">
        <v>0.91284726850353204</v>
      </c>
      <c r="T505">
        <v>4.5642363425176614E-2</v>
      </c>
      <c r="U505">
        <v>4.1510368071291194E-2</v>
      </c>
      <c r="V505">
        <v>0.88712144386662584</v>
      </c>
      <c r="W505">
        <v>7.9840929947996325E-2</v>
      </c>
      <c r="X505">
        <v>3.303762618537779E-2</v>
      </c>
      <c r="Y505">
        <v>0.86881299834511816</v>
      </c>
      <c r="Z505">
        <v>8.6091469836016246E-2</v>
      </c>
      <c r="AA505">
        <v>4.5095531818865657E-2</v>
      </c>
      <c r="AB505">
        <v>0.88959390357175872</v>
      </c>
      <c r="AC505">
        <v>7.0524921069729726E-2</v>
      </c>
      <c r="AD505">
        <v>3.9881175358511545E-2</v>
      </c>
      <c r="AE505" t="s">
        <v>31</v>
      </c>
      <c r="AF505" t="s">
        <v>26</v>
      </c>
      <c r="AG505">
        <v>852.4</v>
      </c>
      <c r="AH505">
        <v>25</v>
      </c>
      <c r="AI505">
        <v>15</v>
      </c>
      <c r="AJ505">
        <v>17</v>
      </c>
      <c r="AK505">
        <v>26.1</v>
      </c>
      <c r="AL505">
        <v>6</v>
      </c>
      <c r="AM505">
        <v>10885</v>
      </c>
      <c r="AN505">
        <v>92</v>
      </c>
      <c r="AO505">
        <v>85</v>
      </c>
      <c r="AP505">
        <v>82</v>
      </c>
      <c r="AQ505">
        <v>5</v>
      </c>
      <c r="AR505" t="s">
        <v>29</v>
      </c>
      <c r="AS505" t="s">
        <v>51</v>
      </c>
      <c r="AT505" t="s">
        <v>26</v>
      </c>
      <c r="AU505">
        <v>231.25</v>
      </c>
      <c r="AV505">
        <v>32</v>
      </c>
      <c r="AW505">
        <v>21</v>
      </c>
      <c r="AX505">
        <v>12</v>
      </c>
      <c r="AY505">
        <v>25.4</v>
      </c>
      <c r="AZ505">
        <v>45</v>
      </c>
      <c r="BA505">
        <v>6714</v>
      </c>
      <c r="BB505">
        <v>79</v>
      </c>
      <c r="BC505">
        <v>77</v>
      </c>
      <c r="BD505">
        <v>75</v>
      </c>
      <c r="BE505">
        <v>4</v>
      </c>
      <c r="BF505" t="s">
        <v>46</v>
      </c>
      <c r="BG505">
        <v>76</v>
      </c>
      <c r="BH505">
        <v>209</v>
      </c>
      <c r="BI505">
        <v>0.53</v>
      </c>
      <c r="BJ505" t="s">
        <v>273</v>
      </c>
      <c r="BK505">
        <v>0.72919999999999996</v>
      </c>
      <c r="BL505">
        <v>0.47220000000000001</v>
      </c>
      <c r="BM505">
        <v>2.83</v>
      </c>
      <c r="BN505">
        <v>2</v>
      </c>
    </row>
    <row r="506" spans="1:66" x14ac:dyDescent="0.25">
      <c r="A506">
        <v>1</v>
      </c>
      <c r="B506">
        <v>1</v>
      </c>
      <c r="C506">
        <v>1</v>
      </c>
      <c r="D506">
        <v>1.5833333333333333</v>
      </c>
      <c r="E506">
        <v>3.7900000000000005</v>
      </c>
      <c r="F506">
        <v>6.4933333333333323</v>
      </c>
      <c r="G506" s="40">
        <v>0.51</v>
      </c>
      <c r="H506" s="40">
        <v>0.28999999999999998</v>
      </c>
      <c r="I506" s="40">
        <v>0.2</v>
      </c>
      <c r="J506">
        <v>1.58</v>
      </c>
      <c r="K506">
        <v>3.82</v>
      </c>
      <c r="L506">
        <v>6.88</v>
      </c>
      <c r="M506">
        <v>1.62</v>
      </c>
      <c r="N506">
        <v>3.8</v>
      </c>
      <c r="O506">
        <v>5.6</v>
      </c>
      <c r="P506">
        <v>1.55</v>
      </c>
      <c r="Q506">
        <v>3.75</v>
      </c>
      <c r="R506">
        <v>7</v>
      </c>
      <c r="S506">
        <v>0.65723616718901468</v>
      </c>
      <c r="T506">
        <v>0.19182878278792667</v>
      </c>
      <c r="U506">
        <v>0.1509350500230586</v>
      </c>
      <c r="V506">
        <v>0.58288594280705586</v>
      </c>
      <c r="W506">
        <v>0.24849348088090281</v>
      </c>
      <c r="X506">
        <v>0.16862057631204119</v>
      </c>
      <c r="Y506">
        <v>0.61170987474512084</v>
      </c>
      <c r="Z506">
        <v>0.25284008156131665</v>
      </c>
      <c r="AA506">
        <v>0.13545004369356251</v>
      </c>
      <c r="AB506">
        <v>0.61727732824706383</v>
      </c>
      <c r="AC506">
        <v>0.23105411507671539</v>
      </c>
      <c r="AD506">
        <v>0.15166855667622078</v>
      </c>
      <c r="AE506" t="s">
        <v>148</v>
      </c>
      <c r="AF506" t="s">
        <v>141</v>
      </c>
      <c r="AG506">
        <v>188.3</v>
      </c>
      <c r="AH506">
        <v>26</v>
      </c>
      <c r="AI506">
        <v>0</v>
      </c>
      <c r="AJ506">
        <v>2</v>
      </c>
      <c r="AK506">
        <v>26.4</v>
      </c>
      <c r="AL506">
        <v>61</v>
      </c>
      <c r="AM506">
        <v>6139</v>
      </c>
      <c r="AN506">
        <v>80</v>
      </c>
      <c r="AO506">
        <v>78</v>
      </c>
      <c r="AP506">
        <v>79</v>
      </c>
      <c r="AQ506">
        <v>4.5</v>
      </c>
      <c r="AR506" t="s">
        <v>29</v>
      </c>
      <c r="AS506" t="s">
        <v>156</v>
      </c>
      <c r="AT506" t="s">
        <v>141</v>
      </c>
      <c r="AU506">
        <v>66.099999999999994</v>
      </c>
      <c r="AV506">
        <v>24</v>
      </c>
      <c r="AW506">
        <v>6</v>
      </c>
      <c r="AX506">
        <v>3</v>
      </c>
      <c r="AY506">
        <v>26.8</v>
      </c>
      <c r="AZ506">
        <v>177</v>
      </c>
      <c r="BA506">
        <v>3663</v>
      </c>
      <c r="BB506">
        <v>77</v>
      </c>
      <c r="BC506">
        <v>74</v>
      </c>
      <c r="BD506">
        <v>76</v>
      </c>
      <c r="BE506">
        <v>4</v>
      </c>
      <c r="BF506" t="s">
        <v>43</v>
      </c>
      <c r="BG506">
        <v>42</v>
      </c>
      <c r="BH506">
        <v>75</v>
      </c>
      <c r="BI506">
        <v>0.65700000000000003</v>
      </c>
      <c r="BJ506" t="s">
        <v>270</v>
      </c>
      <c r="BK506">
        <v>0.3478</v>
      </c>
      <c r="BL506">
        <v>0.26829999999999998</v>
      </c>
      <c r="BM506">
        <v>1.28</v>
      </c>
      <c r="BN506">
        <v>0.95</v>
      </c>
    </row>
    <row r="507" spans="1:66" x14ac:dyDescent="0.25">
      <c r="A507">
        <v>2</v>
      </c>
      <c r="B507">
        <v>0</v>
      </c>
      <c r="C507">
        <v>2</v>
      </c>
      <c r="D507">
        <v>3.5233333333333334</v>
      </c>
      <c r="E507">
        <v>2.9033333333333338</v>
      </c>
      <c r="F507">
        <v>2.3566666666666669</v>
      </c>
      <c r="G507" s="40">
        <v>0.17</v>
      </c>
      <c r="H507" s="40">
        <v>0.14000000000000001</v>
      </c>
      <c r="I507" s="40">
        <v>0.69</v>
      </c>
      <c r="J507">
        <v>3.42</v>
      </c>
      <c r="K507">
        <v>2.91</v>
      </c>
      <c r="L507">
        <v>2.4700000000000002</v>
      </c>
      <c r="M507">
        <v>3.65</v>
      </c>
      <c r="N507">
        <v>2.9</v>
      </c>
      <c r="O507">
        <v>2.25</v>
      </c>
      <c r="P507">
        <v>3.5</v>
      </c>
      <c r="Q507">
        <v>2.9</v>
      </c>
      <c r="R507">
        <v>2.35</v>
      </c>
      <c r="S507">
        <v>0.29346627354774818</v>
      </c>
      <c r="T507">
        <v>0.30019580923229272</v>
      </c>
      <c r="U507">
        <v>0.40633791721995899</v>
      </c>
      <c r="V507">
        <v>0.2576759798598085</v>
      </c>
      <c r="W507">
        <v>0.32431631947872447</v>
      </c>
      <c r="X507">
        <v>0.41800770066146709</v>
      </c>
      <c r="Y507">
        <v>0.27054386661373558</v>
      </c>
      <c r="Z507">
        <v>0.32651845970623261</v>
      </c>
      <c r="AA507">
        <v>0.40293767368003169</v>
      </c>
      <c r="AB507">
        <v>0.27389537334043079</v>
      </c>
      <c r="AC507">
        <v>0.31701019613908327</v>
      </c>
      <c r="AD507">
        <v>0.40909443052048594</v>
      </c>
      <c r="AE507" t="s">
        <v>145</v>
      </c>
      <c r="AF507" t="s">
        <v>141</v>
      </c>
      <c r="AG507">
        <v>159.44999999999999</v>
      </c>
      <c r="AH507">
        <v>25</v>
      </c>
      <c r="AI507">
        <v>13</v>
      </c>
      <c r="AJ507">
        <v>9</v>
      </c>
      <c r="AK507">
        <v>27.1</v>
      </c>
      <c r="AL507">
        <v>27</v>
      </c>
      <c r="AM507">
        <v>7881</v>
      </c>
      <c r="AN507">
        <v>77</v>
      </c>
      <c r="AO507">
        <v>78</v>
      </c>
      <c r="AP507">
        <v>77</v>
      </c>
      <c r="AQ507">
        <v>4</v>
      </c>
      <c r="AR507" t="s">
        <v>46</v>
      </c>
      <c r="AS507" t="s">
        <v>147</v>
      </c>
      <c r="AT507" t="s">
        <v>141</v>
      </c>
      <c r="AU507">
        <v>373.5</v>
      </c>
      <c r="AV507">
        <v>25</v>
      </c>
      <c r="AW507">
        <v>5</v>
      </c>
      <c r="AX507">
        <v>7</v>
      </c>
      <c r="AY507">
        <v>26.2</v>
      </c>
      <c r="AZ507">
        <v>32</v>
      </c>
      <c r="BA507">
        <v>7427</v>
      </c>
      <c r="BB507">
        <v>81</v>
      </c>
      <c r="BC507">
        <v>81</v>
      </c>
      <c r="BD507">
        <v>77</v>
      </c>
      <c r="BE507">
        <v>4.5</v>
      </c>
      <c r="BF507" t="s">
        <v>28</v>
      </c>
      <c r="BG507">
        <v>-2</v>
      </c>
      <c r="BH507">
        <v>44</v>
      </c>
      <c r="BI507">
        <v>0.44</v>
      </c>
      <c r="BJ507" t="s">
        <v>270</v>
      </c>
      <c r="BK507">
        <v>0.25</v>
      </c>
      <c r="BL507">
        <v>0.40820000000000001</v>
      </c>
      <c r="BM507">
        <v>0.75</v>
      </c>
      <c r="BN507">
        <v>1.39</v>
      </c>
    </row>
    <row r="508" spans="1:66" x14ac:dyDescent="0.25">
      <c r="A508">
        <v>1</v>
      </c>
      <c r="B508">
        <v>2</v>
      </c>
      <c r="C508">
        <v>2</v>
      </c>
      <c r="D508">
        <v>1.9633333333333332</v>
      </c>
      <c r="E508">
        <v>3.5500000000000003</v>
      </c>
      <c r="F508">
        <v>3.81</v>
      </c>
      <c r="G508" s="40">
        <v>0.27</v>
      </c>
      <c r="H508" s="40">
        <v>0.43</v>
      </c>
      <c r="I508" s="40">
        <v>0.3</v>
      </c>
      <c r="J508">
        <v>1.99</v>
      </c>
      <c r="K508">
        <v>3.65</v>
      </c>
      <c r="L508">
        <v>3.78</v>
      </c>
      <c r="M508">
        <v>1.95</v>
      </c>
      <c r="N508">
        <v>3.5</v>
      </c>
      <c r="O508">
        <v>3.75</v>
      </c>
      <c r="P508">
        <v>1.95</v>
      </c>
      <c r="Q508">
        <v>3.5</v>
      </c>
      <c r="R508">
        <v>3.9</v>
      </c>
      <c r="S508">
        <v>0.50243063624111173</v>
      </c>
      <c r="T508">
        <v>0.23306222986475808</v>
      </c>
      <c r="U508">
        <v>0.26450713389413022</v>
      </c>
      <c r="V508">
        <v>0.48143053645116918</v>
      </c>
      <c r="W508">
        <v>0.2682255845942228</v>
      </c>
      <c r="X508">
        <v>0.25034387895460797</v>
      </c>
      <c r="Y508">
        <v>0.48611111111111105</v>
      </c>
      <c r="Z508">
        <v>0.27083333333333331</v>
      </c>
      <c r="AA508">
        <v>0.24305555555555552</v>
      </c>
      <c r="AB508">
        <v>0.48999076126779734</v>
      </c>
      <c r="AC508">
        <v>0.25737371593077141</v>
      </c>
      <c r="AD508">
        <v>0.25263552280143126</v>
      </c>
      <c r="AE508" t="s">
        <v>149</v>
      </c>
      <c r="AF508" t="s">
        <v>141</v>
      </c>
      <c r="AG508">
        <v>298.89999999999998</v>
      </c>
      <c r="AH508">
        <v>24</v>
      </c>
      <c r="AI508">
        <v>9</v>
      </c>
      <c r="AJ508">
        <v>10</v>
      </c>
      <c r="AK508">
        <v>28.2</v>
      </c>
      <c r="AL508">
        <v>77</v>
      </c>
      <c r="AM508">
        <v>5396</v>
      </c>
      <c r="AN508">
        <v>82</v>
      </c>
      <c r="AO508">
        <v>79</v>
      </c>
      <c r="AP508">
        <v>79</v>
      </c>
      <c r="AQ508">
        <v>4.5</v>
      </c>
      <c r="AR508" t="s">
        <v>29</v>
      </c>
      <c r="AS508" t="s">
        <v>152</v>
      </c>
      <c r="AT508" t="s">
        <v>141</v>
      </c>
      <c r="AU508">
        <v>223.4</v>
      </c>
      <c r="AV508">
        <v>28</v>
      </c>
      <c r="AW508">
        <v>11</v>
      </c>
      <c r="AX508">
        <v>11</v>
      </c>
      <c r="AY508">
        <v>28.5</v>
      </c>
      <c r="AZ508">
        <v>125</v>
      </c>
      <c r="BA508">
        <v>4257</v>
      </c>
      <c r="BB508">
        <v>79</v>
      </c>
      <c r="BC508">
        <v>79</v>
      </c>
      <c r="BD508">
        <v>78</v>
      </c>
      <c r="BE508">
        <v>4</v>
      </c>
      <c r="BF508" t="s">
        <v>29</v>
      </c>
      <c r="BG508">
        <v>0</v>
      </c>
      <c r="BH508">
        <v>55</v>
      </c>
      <c r="BI508">
        <v>0.36599999999999999</v>
      </c>
      <c r="BJ508" t="s">
        <v>270</v>
      </c>
      <c r="BK508">
        <v>0.53449999999999998</v>
      </c>
      <c r="BL508">
        <v>0.4884</v>
      </c>
      <c r="BM508">
        <v>1.78</v>
      </c>
      <c r="BN508">
        <v>1.42</v>
      </c>
    </row>
    <row r="509" spans="1:66" x14ac:dyDescent="0.25">
      <c r="A509">
        <v>1</v>
      </c>
      <c r="B509">
        <v>1</v>
      </c>
      <c r="C509">
        <v>1</v>
      </c>
      <c r="D509">
        <v>5.8433333333333337</v>
      </c>
      <c r="E509">
        <v>3.5566666666666666</v>
      </c>
      <c r="F509">
        <v>1.67</v>
      </c>
      <c r="G509" s="40">
        <v>0.27</v>
      </c>
      <c r="H509" s="40">
        <v>0.43</v>
      </c>
      <c r="I509" s="40">
        <v>0.3</v>
      </c>
      <c r="J509">
        <v>5.78</v>
      </c>
      <c r="K509">
        <v>3.67</v>
      </c>
      <c r="L509">
        <v>1.68</v>
      </c>
      <c r="M509">
        <v>6</v>
      </c>
      <c r="N509">
        <v>3.4</v>
      </c>
      <c r="O509">
        <v>1.68</v>
      </c>
      <c r="P509">
        <v>5.75</v>
      </c>
      <c r="Q509">
        <v>3.6</v>
      </c>
      <c r="R509">
        <v>1.65</v>
      </c>
      <c r="S509">
        <v>0.17778086184164871</v>
      </c>
      <c r="T509">
        <v>0.21056831586982169</v>
      </c>
      <c r="U509">
        <v>0.61165082228852963</v>
      </c>
      <c r="V509">
        <v>0.15782493368700265</v>
      </c>
      <c r="W509">
        <v>0.27851458885941643</v>
      </c>
      <c r="X509">
        <v>0.56366047745358094</v>
      </c>
      <c r="Y509">
        <v>0.1644176873572763</v>
      </c>
      <c r="Z509">
        <v>0.26261158397342743</v>
      </c>
      <c r="AA509">
        <v>0.57297072866929621</v>
      </c>
      <c r="AB509">
        <v>0.1666744942953092</v>
      </c>
      <c r="AC509">
        <v>0.25056482956755516</v>
      </c>
      <c r="AD509">
        <v>0.58276067613713556</v>
      </c>
      <c r="AE509" t="s">
        <v>150</v>
      </c>
      <c r="AF509" t="s">
        <v>141</v>
      </c>
      <c r="AG509">
        <v>88.35</v>
      </c>
      <c r="AH509">
        <v>25</v>
      </c>
      <c r="AI509">
        <v>11</v>
      </c>
      <c r="AJ509">
        <v>6</v>
      </c>
      <c r="AK509">
        <v>28.4</v>
      </c>
      <c r="AL509">
        <v>103</v>
      </c>
      <c r="AM509">
        <v>4803</v>
      </c>
      <c r="AN509">
        <v>77</v>
      </c>
      <c r="AO509">
        <v>78</v>
      </c>
      <c r="AP509">
        <v>77</v>
      </c>
      <c r="AQ509">
        <v>4</v>
      </c>
      <c r="AR509" t="s">
        <v>46</v>
      </c>
      <c r="AS509" t="s">
        <v>146</v>
      </c>
      <c r="AT509" t="s">
        <v>141</v>
      </c>
      <c r="AU509">
        <v>430.9</v>
      </c>
      <c r="AV509">
        <v>27</v>
      </c>
      <c r="AW509">
        <v>20</v>
      </c>
      <c r="AX509">
        <v>14</v>
      </c>
      <c r="AY509">
        <v>28</v>
      </c>
      <c r="AZ509">
        <v>31</v>
      </c>
      <c r="BA509">
        <v>7447</v>
      </c>
      <c r="BB509">
        <v>80</v>
      </c>
      <c r="BC509">
        <v>81</v>
      </c>
      <c r="BD509">
        <v>82</v>
      </c>
      <c r="BE509">
        <v>4.5</v>
      </c>
      <c r="BF509" t="s">
        <v>29</v>
      </c>
      <c r="BG509">
        <v>-33</v>
      </c>
      <c r="BH509">
        <v>47</v>
      </c>
      <c r="BI509">
        <v>0.28899999999999998</v>
      </c>
      <c r="BJ509" t="s">
        <v>270</v>
      </c>
      <c r="BK509">
        <v>0.43099999999999999</v>
      </c>
      <c r="BL509">
        <v>0.62960000000000005</v>
      </c>
      <c r="BM509">
        <v>1.43</v>
      </c>
      <c r="BN509">
        <v>1.46</v>
      </c>
    </row>
    <row r="510" spans="1:66" x14ac:dyDescent="0.25">
      <c r="A510">
        <v>1</v>
      </c>
      <c r="B510">
        <v>3</v>
      </c>
      <c r="C510">
        <v>3</v>
      </c>
      <c r="D510">
        <v>3.1533333333333338</v>
      </c>
      <c r="E510">
        <v>3.4033333333333338</v>
      </c>
      <c r="F510">
        <v>2.2766666666666668</v>
      </c>
      <c r="G510" s="40">
        <v>0.28000000000000003</v>
      </c>
      <c r="H510" s="40">
        <v>0.39</v>
      </c>
      <c r="I510" s="40">
        <v>0.32999999999999996</v>
      </c>
      <c r="J510">
        <v>3.06</v>
      </c>
      <c r="K510">
        <v>3.41</v>
      </c>
      <c r="L510">
        <v>2.38</v>
      </c>
      <c r="M510">
        <v>3.2</v>
      </c>
      <c r="N510">
        <v>3.4</v>
      </c>
      <c r="O510">
        <v>2.2000000000000002</v>
      </c>
      <c r="P510">
        <v>3.2</v>
      </c>
      <c r="Q510">
        <v>3.4</v>
      </c>
      <c r="R510">
        <v>2.25</v>
      </c>
      <c r="S510">
        <v>0.32483770137052176</v>
      </c>
      <c r="T510">
        <v>0.25751382543880735</v>
      </c>
      <c r="U510">
        <v>0.41764847319067089</v>
      </c>
      <c r="V510">
        <v>0.29448818897637796</v>
      </c>
      <c r="W510">
        <v>0.27716535433070866</v>
      </c>
      <c r="X510">
        <v>0.42834645669291338</v>
      </c>
      <c r="Y510">
        <v>0.29731830547998445</v>
      </c>
      <c r="Z510">
        <v>0.27982899339292661</v>
      </c>
      <c r="AA510">
        <v>0.422852701127089</v>
      </c>
      <c r="AB510">
        <v>0.305548065275628</v>
      </c>
      <c r="AC510">
        <v>0.27150272438748085</v>
      </c>
      <c r="AD510">
        <v>0.42294921033689109</v>
      </c>
      <c r="AE510" t="s">
        <v>314</v>
      </c>
      <c r="AF510" t="s">
        <v>307</v>
      </c>
      <c r="AG510">
        <v>142.47999999999999</v>
      </c>
      <c r="AH510">
        <v>28</v>
      </c>
      <c r="AI510">
        <v>18</v>
      </c>
      <c r="AJ510">
        <v>11</v>
      </c>
      <c r="AK510">
        <v>25.6</v>
      </c>
      <c r="AL510">
        <v>161</v>
      </c>
      <c r="AM510">
        <v>3818</v>
      </c>
      <c r="AN510">
        <v>75</v>
      </c>
      <c r="AO510">
        <v>75</v>
      </c>
      <c r="AP510">
        <v>73</v>
      </c>
      <c r="AQ510">
        <v>3.5</v>
      </c>
      <c r="AR510" t="s">
        <v>46</v>
      </c>
      <c r="AS510" t="s">
        <v>311</v>
      </c>
      <c r="AT510" t="s">
        <v>307</v>
      </c>
      <c r="AU510">
        <v>326.60000000000002</v>
      </c>
      <c r="AV510">
        <v>33</v>
      </c>
      <c r="AW510">
        <v>26</v>
      </c>
      <c r="AX510">
        <v>12</v>
      </c>
      <c r="AY510">
        <v>27.4</v>
      </c>
      <c r="AZ510">
        <v>41</v>
      </c>
      <c r="BA510">
        <v>6846</v>
      </c>
      <c r="BB510">
        <v>82</v>
      </c>
      <c r="BC510">
        <v>80</v>
      </c>
      <c r="BD510">
        <v>79</v>
      </c>
      <c r="BE510">
        <v>4.5</v>
      </c>
      <c r="BF510" t="s">
        <v>46</v>
      </c>
      <c r="BG510">
        <v>11</v>
      </c>
      <c r="BH510">
        <v>217</v>
      </c>
      <c r="BI510">
        <v>0.374</v>
      </c>
      <c r="BJ510" t="s">
        <v>322</v>
      </c>
      <c r="BK510">
        <v>0.27500000000000002</v>
      </c>
      <c r="BL510">
        <v>0.5</v>
      </c>
      <c r="BM510">
        <v>1.38</v>
      </c>
      <c r="BN510">
        <v>1.63</v>
      </c>
    </row>
    <row r="511" spans="1:66" x14ac:dyDescent="0.25">
      <c r="A511">
        <v>2</v>
      </c>
      <c r="B511">
        <v>0</v>
      </c>
      <c r="C511">
        <v>6</v>
      </c>
      <c r="D511">
        <v>2.15</v>
      </c>
      <c r="E511">
        <v>3.31</v>
      </c>
      <c r="F511">
        <v>3.4966666666666666</v>
      </c>
      <c r="G511" s="40">
        <v>0.28000000000000003</v>
      </c>
      <c r="H511" s="40">
        <v>0.37</v>
      </c>
      <c r="I511" s="40">
        <v>0.35</v>
      </c>
      <c r="J511">
        <v>2.15</v>
      </c>
      <c r="K511">
        <v>3.33</v>
      </c>
      <c r="L511">
        <v>3.64</v>
      </c>
      <c r="M511">
        <v>2.2000000000000002</v>
      </c>
      <c r="N511">
        <v>3.3</v>
      </c>
      <c r="O511">
        <v>3.25</v>
      </c>
      <c r="P511">
        <v>2.1</v>
      </c>
      <c r="Q511">
        <v>3.3</v>
      </c>
      <c r="R511">
        <v>3.6</v>
      </c>
      <c r="S511">
        <v>0.46593656663348038</v>
      </c>
      <c r="T511">
        <v>0.25885364812971123</v>
      </c>
      <c r="U511">
        <v>0.27520978523680839</v>
      </c>
      <c r="V511">
        <v>0.42669584245076581</v>
      </c>
      <c r="W511">
        <v>0.28446389496717722</v>
      </c>
      <c r="X511">
        <v>0.28884026258205686</v>
      </c>
      <c r="Y511">
        <v>0.45051194539249145</v>
      </c>
      <c r="Z511">
        <v>0.28668941979522189</v>
      </c>
      <c r="AA511">
        <v>0.26279863481228671</v>
      </c>
      <c r="AB511">
        <v>0.44771478482557919</v>
      </c>
      <c r="AC511">
        <v>0.27666898763070341</v>
      </c>
      <c r="AD511">
        <v>0.27561622754371734</v>
      </c>
      <c r="AE511" t="s">
        <v>321</v>
      </c>
      <c r="AF511" t="s">
        <v>307</v>
      </c>
      <c r="AG511">
        <v>124.8</v>
      </c>
      <c r="AH511">
        <v>27</v>
      </c>
      <c r="AI511">
        <v>12</v>
      </c>
      <c r="AJ511">
        <v>8</v>
      </c>
      <c r="AK511">
        <v>27.1</v>
      </c>
      <c r="AL511">
        <v>279</v>
      </c>
      <c r="AM511">
        <v>2588</v>
      </c>
      <c r="AN511">
        <v>76</v>
      </c>
      <c r="AO511">
        <v>75</v>
      </c>
      <c r="AP511">
        <v>73</v>
      </c>
      <c r="AQ511">
        <v>4</v>
      </c>
      <c r="AR511" t="s">
        <v>43</v>
      </c>
      <c r="AS511" t="s">
        <v>316</v>
      </c>
      <c r="AT511" t="s">
        <v>307</v>
      </c>
      <c r="AU511">
        <v>101.6</v>
      </c>
      <c r="AV511">
        <v>26</v>
      </c>
      <c r="AW511">
        <v>22</v>
      </c>
      <c r="AX511">
        <v>5</v>
      </c>
      <c r="AY511">
        <v>27.4</v>
      </c>
      <c r="AZ511">
        <v>217</v>
      </c>
      <c r="BA511">
        <v>3100</v>
      </c>
      <c r="BB511">
        <v>76</v>
      </c>
      <c r="BC511">
        <v>75</v>
      </c>
      <c r="BD511">
        <v>72</v>
      </c>
      <c r="BE511">
        <v>4</v>
      </c>
      <c r="BF511" t="s">
        <v>29</v>
      </c>
      <c r="BG511">
        <v>29</v>
      </c>
      <c r="BH511">
        <v>139</v>
      </c>
      <c r="BI511">
        <v>0.42</v>
      </c>
      <c r="BJ511" t="s">
        <v>322</v>
      </c>
      <c r="BK511">
        <v>0.4</v>
      </c>
      <c r="BL511">
        <v>0.27500000000000002</v>
      </c>
      <c r="BM511">
        <v>1.35</v>
      </c>
      <c r="BN511">
        <v>1.1299999999999999</v>
      </c>
    </row>
    <row r="512" spans="1:66" x14ac:dyDescent="0.25">
      <c r="A512">
        <v>3</v>
      </c>
      <c r="B512">
        <v>-1</v>
      </c>
      <c r="C512">
        <v>3</v>
      </c>
      <c r="D512">
        <v>3.6833333333333336</v>
      </c>
      <c r="E512">
        <v>3.5400000000000005</v>
      </c>
      <c r="F512">
        <v>2.0066666666666664</v>
      </c>
      <c r="G512" s="40">
        <v>0.22</v>
      </c>
      <c r="H512" s="40">
        <v>0.24</v>
      </c>
      <c r="I512" s="40">
        <v>0.54</v>
      </c>
      <c r="J512">
        <v>3.6</v>
      </c>
      <c r="K512">
        <v>3.72</v>
      </c>
      <c r="L512">
        <v>2.0299999999999998</v>
      </c>
      <c r="M512">
        <v>3.65</v>
      </c>
      <c r="N512">
        <v>3.3</v>
      </c>
      <c r="O512">
        <v>2.04</v>
      </c>
      <c r="P512">
        <v>3.8</v>
      </c>
      <c r="Q512">
        <v>3.6</v>
      </c>
      <c r="R512">
        <v>1.95</v>
      </c>
      <c r="S512">
        <v>0.27750569242715423</v>
      </c>
      <c r="T512">
        <v>0.23036598602715339</v>
      </c>
      <c r="U512">
        <v>0.4921283215456923</v>
      </c>
      <c r="V512">
        <v>0.25672119894748879</v>
      </c>
      <c r="W512">
        <v>0.28394920489646491</v>
      </c>
      <c r="X512">
        <v>0.45932959615604618</v>
      </c>
      <c r="Y512">
        <v>0.24973319103521882</v>
      </c>
      <c r="Z512">
        <v>0.26360725720384204</v>
      </c>
      <c r="AA512">
        <v>0.48665955176093922</v>
      </c>
      <c r="AB512">
        <v>0.26132002746995392</v>
      </c>
      <c r="AC512">
        <v>0.25930748270915344</v>
      </c>
      <c r="AD512">
        <v>0.47937248982089259</v>
      </c>
      <c r="AE512" t="s">
        <v>320</v>
      </c>
      <c r="AF512" t="s">
        <v>307</v>
      </c>
      <c r="AG512">
        <v>248.8</v>
      </c>
      <c r="AH512">
        <v>26</v>
      </c>
      <c r="AI512">
        <v>16</v>
      </c>
      <c r="AJ512">
        <v>14</v>
      </c>
      <c r="AK512">
        <v>26.8</v>
      </c>
      <c r="AL512">
        <v>268</v>
      </c>
      <c r="AM512">
        <v>2679</v>
      </c>
      <c r="AN512">
        <v>78</v>
      </c>
      <c r="AO512">
        <v>76</v>
      </c>
      <c r="AP512">
        <v>75</v>
      </c>
      <c r="AQ512">
        <v>4</v>
      </c>
      <c r="AR512" t="s">
        <v>29</v>
      </c>
      <c r="AS512" t="s">
        <v>310</v>
      </c>
      <c r="AT512" t="s">
        <v>307</v>
      </c>
      <c r="AU512">
        <v>517.75</v>
      </c>
      <c r="AV512">
        <v>25</v>
      </c>
      <c r="AW512">
        <v>18</v>
      </c>
      <c r="AX512">
        <v>17</v>
      </c>
      <c r="AY512">
        <v>27.6</v>
      </c>
      <c r="AZ512">
        <v>38</v>
      </c>
      <c r="BA512">
        <v>7165</v>
      </c>
      <c r="BB512">
        <v>82</v>
      </c>
      <c r="BC512">
        <v>80</v>
      </c>
      <c r="BD512">
        <v>80</v>
      </c>
      <c r="BE512">
        <v>4.5</v>
      </c>
      <c r="BF512" t="s">
        <v>29</v>
      </c>
      <c r="BG512">
        <v>10</v>
      </c>
      <c r="BH512">
        <v>220</v>
      </c>
      <c r="BI512">
        <v>0.34300000000000003</v>
      </c>
      <c r="BJ512" t="s">
        <v>322</v>
      </c>
      <c r="BK512">
        <v>0.26829999999999998</v>
      </c>
      <c r="BL512">
        <v>0.58819999999999995</v>
      </c>
      <c r="BM512">
        <v>1.24</v>
      </c>
      <c r="BN512">
        <v>2.02</v>
      </c>
    </row>
    <row r="513" spans="1:66" x14ac:dyDescent="0.25">
      <c r="A513">
        <v>3</v>
      </c>
      <c r="B513">
        <v>-1</v>
      </c>
      <c r="C513">
        <v>5</v>
      </c>
      <c r="D513">
        <v>2.14</v>
      </c>
      <c r="E513">
        <v>3.5533333333333332</v>
      </c>
      <c r="F513">
        <v>3.26</v>
      </c>
      <c r="G513" s="40">
        <v>0.23</v>
      </c>
      <c r="H513" s="40">
        <v>0.37</v>
      </c>
      <c r="I513" s="40">
        <v>0.4</v>
      </c>
      <c r="J513">
        <v>2.12</v>
      </c>
      <c r="K513">
        <v>3.66</v>
      </c>
      <c r="L513">
        <v>3.38</v>
      </c>
      <c r="M513">
        <v>2.2000000000000002</v>
      </c>
      <c r="N513">
        <v>3.5</v>
      </c>
      <c r="O513">
        <v>3.1</v>
      </c>
      <c r="P513">
        <v>2.1</v>
      </c>
      <c r="Q513">
        <v>3.5</v>
      </c>
      <c r="R513">
        <v>3.3</v>
      </c>
      <c r="S513">
        <v>0.469399055998453</v>
      </c>
      <c r="T513">
        <v>0.23618496804985453</v>
      </c>
      <c r="U513">
        <v>0.29441597595169244</v>
      </c>
      <c r="V513">
        <v>0.42767047694126925</v>
      </c>
      <c r="W513">
        <v>0.26882144264879787</v>
      </c>
      <c r="X513">
        <v>0.30350808040993305</v>
      </c>
      <c r="Y513">
        <v>0.44715447154471538</v>
      </c>
      <c r="Z513">
        <v>0.26829268292682923</v>
      </c>
      <c r="AA513">
        <v>0.28455284552845528</v>
      </c>
      <c r="AB513">
        <v>0.44807466816147928</v>
      </c>
      <c r="AC513">
        <v>0.25776636454182722</v>
      </c>
      <c r="AD513">
        <v>0.29415896729669361</v>
      </c>
      <c r="AE513" t="s">
        <v>308</v>
      </c>
      <c r="AF513" t="s">
        <v>307</v>
      </c>
      <c r="AG513">
        <v>415.35</v>
      </c>
      <c r="AH513">
        <v>26</v>
      </c>
      <c r="AI513">
        <v>16</v>
      </c>
      <c r="AJ513">
        <v>17</v>
      </c>
      <c r="AK513">
        <v>27.1</v>
      </c>
      <c r="AL513">
        <v>26</v>
      </c>
      <c r="AM513">
        <v>7928</v>
      </c>
      <c r="AN513">
        <v>82</v>
      </c>
      <c r="AO513">
        <v>79</v>
      </c>
      <c r="AP513">
        <v>78</v>
      </c>
      <c r="AQ513">
        <v>4.5</v>
      </c>
      <c r="AR513" t="s">
        <v>29</v>
      </c>
      <c r="AS513" t="s">
        <v>313</v>
      </c>
      <c r="AT513" t="s">
        <v>307</v>
      </c>
      <c r="AU513">
        <v>466.9</v>
      </c>
      <c r="AV513">
        <v>28</v>
      </c>
      <c r="AW513">
        <v>19</v>
      </c>
      <c r="AX513">
        <v>17</v>
      </c>
      <c r="AY513">
        <v>26.2</v>
      </c>
      <c r="AZ513">
        <v>121</v>
      </c>
      <c r="BA513">
        <v>4490</v>
      </c>
      <c r="BB513">
        <v>84</v>
      </c>
      <c r="BC513">
        <v>78</v>
      </c>
      <c r="BD513">
        <v>80</v>
      </c>
      <c r="BE513">
        <v>4.5</v>
      </c>
      <c r="BF513" t="s">
        <v>29</v>
      </c>
      <c r="BG513">
        <v>-93</v>
      </c>
      <c r="BH513">
        <v>127</v>
      </c>
      <c r="BI513">
        <v>0.193</v>
      </c>
      <c r="BJ513" t="s">
        <v>322</v>
      </c>
      <c r="BK513">
        <v>0.56859999999999999</v>
      </c>
      <c r="BL513">
        <v>0.56599999999999995</v>
      </c>
      <c r="BM513">
        <v>2.1800000000000002</v>
      </c>
      <c r="BN513">
        <v>1.85</v>
      </c>
    </row>
    <row r="514" spans="1:66" x14ac:dyDescent="0.25">
      <c r="A514">
        <v>3</v>
      </c>
      <c r="B514">
        <v>-1</v>
      </c>
      <c r="C514">
        <v>1</v>
      </c>
      <c r="D514">
        <v>2.27</v>
      </c>
      <c r="E514">
        <v>3.063333333333333</v>
      </c>
      <c r="F514">
        <v>3.2966666666666669</v>
      </c>
      <c r="G514" s="40">
        <v>0.37</v>
      </c>
      <c r="H514" s="40">
        <v>0.44</v>
      </c>
      <c r="I514" s="40">
        <v>0.19</v>
      </c>
      <c r="J514">
        <v>2.4300000000000002</v>
      </c>
      <c r="K514">
        <v>2.99</v>
      </c>
      <c r="L514">
        <v>3.19</v>
      </c>
      <c r="M514">
        <v>2.13</v>
      </c>
      <c r="N514">
        <v>3.1</v>
      </c>
      <c r="O514">
        <v>3.7</v>
      </c>
      <c r="P514">
        <v>2.25</v>
      </c>
      <c r="Q514">
        <v>3.1</v>
      </c>
      <c r="R514">
        <v>3</v>
      </c>
      <c r="S514">
        <v>0.40241938208891337</v>
      </c>
      <c r="T514">
        <v>0.29103544597501774</v>
      </c>
      <c r="U514">
        <v>0.30654517193606878</v>
      </c>
      <c r="V514">
        <v>0.44193573244971868</v>
      </c>
      <c r="W514">
        <v>0.30365261616706474</v>
      </c>
      <c r="X514">
        <v>0.25441165138321642</v>
      </c>
      <c r="Y514">
        <v>0.40390879478827363</v>
      </c>
      <c r="Z514">
        <v>0.29315960912052119</v>
      </c>
      <c r="AA514">
        <v>0.30293159609120524</v>
      </c>
      <c r="AB514">
        <v>0.41608796977563522</v>
      </c>
      <c r="AC514">
        <v>0.29594922375420124</v>
      </c>
      <c r="AD514">
        <v>0.28796280647016348</v>
      </c>
      <c r="AE514" t="s">
        <v>69</v>
      </c>
      <c r="AF514" t="s">
        <v>63</v>
      </c>
      <c r="AG514">
        <v>8.83</v>
      </c>
      <c r="AH514">
        <v>30</v>
      </c>
      <c r="AI514">
        <v>1</v>
      </c>
      <c r="AJ514">
        <v>0</v>
      </c>
      <c r="AK514">
        <v>27</v>
      </c>
      <c r="AL514">
        <v>181</v>
      </c>
      <c r="AM514">
        <v>3617</v>
      </c>
      <c r="AN514">
        <v>63</v>
      </c>
      <c r="AO514">
        <v>64</v>
      </c>
      <c r="AP514">
        <v>64</v>
      </c>
      <c r="AQ514">
        <v>1.5</v>
      </c>
      <c r="AR514" t="s">
        <v>29</v>
      </c>
      <c r="AS514" t="s">
        <v>73</v>
      </c>
      <c r="AT514" t="s">
        <v>63</v>
      </c>
      <c r="AU514">
        <v>11.68</v>
      </c>
      <c r="AV514">
        <v>34</v>
      </c>
      <c r="AW514">
        <v>4</v>
      </c>
      <c r="AX514">
        <v>1</v>
      </c>
      <c r="AY514">
        <v>25.7</v>
      </c>
      <c r="AZ514">
        <v>237</v>
      </c>
      <c r="BA514">
        <v>2952</v>
      </c>
      <c r="BB514">
        <v>69</v>
      </c>
      <c r="BC514">
        <v>68</v>
      </c>
      <c r="BD514">
        <v>68</v>
      </c>
      <c r="BE514">
        <v>2.5</v>
      </c>
      <c r="BF514" t="s">
        <v>29</v>
      </c>
      <c r="BG514">
        <v>5</v>
      </c>
      <c r="BH514">
        <v>43</v>
      </c>
      <c r="BI514">
        <v>0.5</v>
      </c>
      <c r="BJ514" t="s">
        <v>63</v>
      </c>
      <c r="BK514">
        <v>0.37040000000000001</v>
      </c>
      <c r="BL514">
        <v>0.31819999999999998</v>
      </c>
      <c r="BM514">
        <v>1.1499999999999999</v>
      </c>
      <c r="BN514">
        <v>1.23</v>
      </c>
    </row>
    <row r="515" spans="1:66" x14ac:dyDescent="0.25">
      <c r="A515">
        <v>2</v>
      </c>
      <c r="B515">
        <v>0</v>
      </c>
      <c r="C515">
        <v>0</v>
      </c>
      <c r="D515">
        <v>1.9666666666666666</v>
      </c>
      <c r="E515">
        <v>2.936666666666667</v>
      </c>
      <c r="F515">
        <v>4.4300000000000006</v>
      </c>
      <c r="G515" s="40">
        <v>0.41</v>
      </c>
      <c r="H515" s="40">
        <v>0.37</v>
      </c>
      <c r="I515" s="40">
        <v>0.22000000000000008</v>
      </c>
      <c r="J515">
        <v>2.02</v>
      </c>
      <c r="K515">
        <v>2.91</v>
      </c>
      <c r="L515">
        <v>4.49</v>
      </c>
      <c r="M515">
        <v>1.93</v>
      </c>
      <c r="N515">
        <v>3.1</v>
      </c>
      <c r="O515">
        <v>4.5999999999999996</v>
      </c>
      <c r="P515">
        <v>1.95</v>
      </c>
      <c r="Q515">
        <v>2.8</v>
      </c>
      <c r="R515">
        <v>4.2</v>
      </c>
      <c r="S515">
        <v>0.49531856446335182</v>
      </c>
      <c r="T515">
        <v>0.28184323949745649</v>
      </c>
      <c r="U515">
        <v>0.22283819603919172</v>
      </c>
      <c r="V515">
        <v>0.4896809862298685</v>
      </c>
      <c r="W515">
        <v>0.30486590433020844</v>
      </c>
      <c r="X515">
        <v>0.20545310943992309</v>
      </c>
      <c r="Y515">
        <v>0.46280991735537197</v>
      </c>
      <c r="Z515">
        <v>0.3223140495867769</v>
      </c>
      <c r="AA515">
        <v>0.21487603305785125</v>
      </c>
      <c r="AB515">
        <v>0.48260315601619741</v>
      </c>
      <c r="AC515">
        <v>0.30300773113814727</v>
      </c>
      <c r="AD515">
        <v>0.21438911284565534</v>
      </c>
      <c r="AE515" t="s">
        <v>62</v>
      </c>
      <c r="AF515" t="s">
        <v>63</v>
      </c>
      <c r="AG515">
        <v>18.350000000000001</v>
      </c>
      <c r="AH515">
        <v>29</v>
      </c>
      <c r="AI515">
        <v>3</v>
      </c>
      <c r="AJ515">
        <v>1</v>
      </c>
      <c r="AK515">
        <v>27.4</v>
      </c>
      <c r="AL515">
        <v>66</v>
      </c>
      <c r="AM515">
        <v>5865</v>
      </c>
      <c r="AN515">
        <v>67</v>
      </c>
      <c r="AO515">
        <v>68</v>
      </c>
      <c r="AP515">
        <v>66</v>
      </c>
      <c r="AQ515">
        <v>2.5</v>
      </c>
      <c r="AR515" t="s">
        <v>29</v>
      </c>
      <c r="AS515" t="s">
        <v>72</v>
      </c>
      <c r="AT515" t="s">
        <v>63</v>
      </c>
      <c r="AU515">
        <v>14.85</v>
      </c>
      <c r="AV515">
        <v>33</v>
      </c>
      <c r="AW515">
        <v>3</v>
      </c>
      <c r="AX515">
        <v>2</v>
      </c>
      <c r="AY515">
        <v>25.9</v>
      </c>
      <c r="AZ515">
        <v>209</v>
      </c>
      <c r="BA515">
        <v>3175</v>
      </c>
      <c r="BB515">
        <v>65</v>
      </c>
      <c r="BC515">
        <v>64</v>
      </c>
      <c r="BD515">
        <v>63</v>
      </c>
      <c r="BE515">
        <v>1.5</v>
      </c>
      <c r="BF515" t="s">
        <v>46</v>
      </c>
      <c r="BG515">
        <v>-6</v>
      </c>
      <c r="BH515">
        <v>43</v>
      </c>
      <c r="BI515">
        <v>0.27800000000000002</v>
      </c>
      <c r="BJ515" t="s">
        <v>63</v>
      </c>
      <c r="BK515">
        <v>0.4375</v>
      </c>
      <c r="BL515">
        <v>0.51719999999999999</v>
      </c>
      <c r="BM515">
        <v>1.25</v>
      </c>
      <c r="BN515">
        <v>1.55</v>
      </c>
    </row>
    <row r="516" spans="1:66" x14ac:dyDescent="0.25">
      <c r="A516">
        <v>1</v>
      </c>
      <c r="B516">
        <v>1</v>
      </c>
      <c r="C516">
        <v>1</v>
      </c>
      <c r="D516">
        <v>1.2766666666666666</v>
      </c>
      <c r="E516">
        <v>5.0599999999999996</v>
      </c>
      <c r="F516">
        <v>10.863333333333335</v>
      </c>
      <c r="G516" s="40">
        <v>0.54</v>
      </c>
      <c r="H516" s="40">
        <v>0.3</v>
      </c>
      <c r="I516" s="40">
        <v>0.15999999999999998</v>
      </c>
      <c r="J516">
        <v>1.27</v>
      </c>
      <c r="K516">
        <v>5.33</v>
      </c>
      <c r="L516">
        <v>12.09</v>
      </c>
      <c r="M516">
        <v>1.31</v>
      </c>
      <c r="N516">
        <v>4.8499999999999996</v>
      </c>
      <c r="O516">
        <v>11</v>
      </c>
      <c r="P516">
        <v>1.25</v>
      </c>
      <c r="Q516">
        <v>5</v>
      </c>
      <c r="R516">
        <v>9.5</v>
      </c>
      <c r="S516">
        <v>0.80306959373412246</v>
      </c>
      <c r="T516">
        <v>0.11257156556758671</v>
      </c>
      <c r="U516">
        <v>8.4358840698290777E-2</v>
      </c>
      <c r="V516">
        <v>0.71984186416779672</v>
      </c>
      <c r="W516">
        <v>0.19443151382676571</v>
      </c>
      <c r="X516">
        <v>8.5726622005437611E-2</v>
      </c>
      <c r="Y516">
        <v>0.72380952380952379</v>
      </c>
      <c r="Z516">
        <v>0.18095238095238095</v>
      </c>
      <c r="AA516">
        <v>9.5238095238095233E-2</v>
      </c>
      <c r="AB516">
        <v>0.74890699390381432</v>
      </c>
      <c r="AC516">
        <v>0.1626518201155778</v>
      </c>
      <c r="AD516">
        <v>8.8441185980607864E-2</v>
      </c>
      <c r="AE516" t="s">
        <v>66</v>
      </c>
      <c r="AF516" t="s">
        <v>63</v>
      </c>
      <c r="AG516">
        <v>22.13</v>
      </c>
      <c r="AH516">
        <v>32</v>
      </c>
      <c r="AI516">
        <v>3</v>
      </c>
      <c r="AJ516">
        <v>0</v>
      </c>
      <c r="AK516">
        <v>27.7</v>
      </c>
      <c r="AL516">
        <v>93</v>
      </c>
      <c r="AM516">
        <v>5011</v>
      </c>
      <c r="AN516">
        <v>70</v>
      </c>
      <c r="AO516">
        <v>70</v>
      </c>
      <c r="AP516">
        <v>67</v>
      </c>
      <c r="AQ516">
        <v>3</v>
      </c>
      <c r="AR516" t="s">
        <v>28</v>
      </c>
      <c r="AS516" t="s">
        <v>78</v>
      </c>
      <c r="AT516" t="s">
        <v>63</v>
      </c>
      <c r="AU516">
        <v>8.07</v>
      </c>
      <c r="AV516">
        <v>31</v>
      </c>
      <c r="AW516">
        <v>4</v>
      </c>
      <c r="AX516">
        <v>0</v>
      </c>
      <c r="AY516">
        <v>25.2</v>
      </c>
      <c r="AZ516">
        <v>433</v>
      </c>
      <c r="BA516">
        <v>1716</v>
      </c>
      <c r="BB516">
        <v>63</v>
      </c>
      <c r="BC516">
        <v>64</v>
      </c>
      <c r="BD516">
        <v>64</v>
      </c>
      <c r="BE516">
        <v>2</v>
      </c>
      <c r="BF516" t="s">
        <v>29</v>
      </c>
      <c r="BG516">
        <v>8</v>
      </c>
      <c r="BH516">
        <v>30</v>
      </c>
      <c r="BI516">
        <v>0.47399999999999998</v>
      </c>
      <c r="BJ516" t="s">
        <v>63</v>
      </c>
      <c r="BK516">
        <v>0.4</v>
      </c>
      <c r="BL516">
        <v>0.18179999999999999</v>
      </c>
      <c r="BM516">
        <v>1.28</v>
      </c>
      <c r="BN516">
        <v>0.59</v>
      </c>
    </row>
    <row r="517" spans="1:66" x14ac:dyDescent="0.25">
      <c r="A517">
        <v>3</v>
      </c>
      <c r="B517">
        <v>-2</v>
      </c>
      <c r="C517">
        <v>2</v>
      </c>
      <c r="D517">
        <v>3.9499999999999997</v>
      </c>
      <c r="E517">
        <v>2.9166666666666665</v>
      </c>
      <c r="F517">
        <v>2.16</v>
      </c>
      <c r="G517" s="40">
        <v>0.21</v>
      </c>
      <c r="H517" s="40">
        <v>0.31</v>
      </c>
      <c r="I517" s="40">
        <v>0.48000000000000004</v>
      </c>
      <c r="J517">
        <v>3.9</v>
      </c>
      <c r="K517">
        <v>2.85</v>
      </c>
      <c r="L517">
        <v>2.23</v>
      </c>
      <c r="M517">
        <v>4</v>
      </c>
      <c r="N517">
        <v>3.05</v>
      </c>
      <c r="O517">
        <v>2.0699999999999998</v>
      </c>
      <c r="P517">
        <v>3.95</v>
      </c>
      <c r="Q517">
        <v>2.85</v>
      </c>
      <c r="R517">
        <v>2.1800000000000002</v>
      </c>
      <c r="S517">
        <v>0.25540308924132371</v>
      </c>
      <c r="T517">
        <v>0.29792783091958991</v>
      </c>
      <c r="U517">
        <v>0.44666907983908632</v>
      </c>
      <c r="V517">
        <v>0.2356355086121634</v>
      </c>
      <c r="W517">
        <v>0.30903017522906678</v>
      </c>
      <c r="X517">
        <v>0.4553343161587699</v>
      </c>
      <c r="Y517">
        <v>0.23821482660123078</v>
      </c>
      <c r="Z517">
        <v>0.33015739125433741</v>
      </c>
      <c r="AA517">
        <v>0.43162778214443187</v>
      </c>
      <c r="AB517">
        <v>0.24308447481823928</v>
      </c>
      <c r="AC517">
        <v>0.31237179913433133</v>
      </c>
      <c r="AD517">
        <v>0.44454372604742937</v>
      </c>
      <c r="AE517" t="s">
        <v>73</v>
      </c>
      <c r="AF517" t="s">
        <v>63</v>
      </c>
      <c r="AG517">
        <v>11.68</v>
      </c>
      <c r="AH517">
        <v>34</v>
      </c>
      <c r="AI517">
        <v>4</v>
      </c>
      <c r="AJ517">
        <v>1</v>
      </c>
      <c r="AK517">
        <v>25.7</v>
      </c>
      <c r="AL517">
        <v>237</v>
      </c>
      <c r="AM517">
        <v>2952</v>
      </c>
      <c r="AN517">
        <v>69</v>
      </c>
      <c r="AO517">
        <v>68</v>
      </c>
      <c r="AP517">
        <v>68</v>
      </c>
      <c r="AQ517">
        <v>2.5</v>
      </c>
      <c r="AR517" t="s">
        <v>29</v>
      </c>
      <c r="AS517" t="s">
        <v>62</v>
      </c>
      <c r="AT517" t="s">
        <v>63</v>
      </c>
      <c r="AU517">
        <v>18.350000000000001</v>
      </c>
      <c r="AV517">
        <v>29</v>
      </c>
      <c r="AW517">
        <v>3</v>
      </c>
      <c r="AX517">
        <v>1</v>
      </c>
      <c r="AY517">
        <v>27.4</v>
      </c>
      <c r="AZ517">
        <v>66</v>
      </c>
      <c r="BA517">
        <v>5865</v>
      </c>
      <c r="BB517">
        <v>67</v>
      </c>
      <c r="BC517">
        <v>68</v>
      </c>
      <c r="BD517">
        <v>66</v>
      </c>
      <c r="BE517">
        <v>2.5</v>
      </c>
      <c r="BF517" t="s">
        <v>29</v>
      </c>
      <c r="BG517">
        <v>0</v>
      </c>
      <c r="BH517">
        <v>41</v>
      </c>
      <c r="BI517">
        <v>0.379</v>
      </c>
      <c r="BJ517" t="s">
        <v>63</v>
      </c>
      <c r="BK517">
        <v>0.31819999999999998</v>
      </c>
      <c r="BL517">
        <v>0.4375</v>
      </c>
      <c r="BM517">
        <v>1.23</v>
      </c>
      <c r="BN517">
        <v>1.25</v>
      </c>
    </row>
    <row r="518" spans="1:66" x14ac:dyDescent="0.25">
      <c r="A518">
        <v>2</v>
      </c>
      <c r="B518">
        <v>0</v>
      </c>
      <c r="C518">
        <v>4</v>
      </c>
      <c r="D518">
        <v>1.8433333333333335</v>
      </c>
      <c r="E518">
        <v>3.15</v>
      </c>
      <c r="F518">
        <v>5.0333333333333341</v>
      </c>
      <c r="G518" s="40">
        <v>0.32</v>
      </c>
      <c r="H518" s="40">
        <v>0.44</v>
      </c>
      <c r="I518" s="40">
        <v>0.23999999999999994</v>
      </c>
      <c r="J518">
        <v>1.83</v>
      </c>
      <c r="K518">
        <v>3.15</v>
      </c>
      <c r="L518">
        <v>5.2</v>
      </c>
      <c r="M518">
        <v>1.86</v>
      </c>
      <c r="N518">
        <v>3.2</v>
      </c>
      <c r="O518">
        <v>4.75</v>
      </c>
      <c r="P518">
        <v>1.84</v>
      </c>
      <c r="Q518">
        <v>3.1</v>
      </c>
      <c r="R518">
        <v>5.15</v>
      </c>
      <c r="S518">
        <v>0.55416400534519272</v>
      </c>
      <c r="T518">
        <v>0.25081289277371055</v>
      </c>
      <c r="U518">
        <v>0.1950231018810967</v>
      </c>
      <c r="V518">
        <v>0.50688631740420853</v>
      </c>
      <c r="W518">
        <v>0.29462767199119616</v>
      </c>
      <c r="X518">
        <v>0.19848601060459534</v>
      </c>
      <c r="Y518">
        <v>0.51260234387542147</v>
      </c>
      <c r="Z518">
        <v>0.30425429442928242</v>
      </c>
      <c r="AA518">
        <v>0.18314336169529621</v>
      </c>
      <c r="AB518">
        <v>0.52455088887494095</v>
      </c>
      <c r="AC518">
        <v>0.28323161973139638</v>
      </c>
      <c r="AD518">
        <v>0.19221749139366276</v>
      </c>
      <c r="AE518" t="s">
        <v>64</v>
      </c>
      <c r="AF518" t="s">
        <v>63</v>
      </c>
      <c r="AG518">
        <v>13.1</v>
      </c>
      <c r="AH518">
        <v>30</v>
      </c>
      <c r="AI518">
        <v>4</v>
      </c>
      <c r="AJ518">
        <v>0</v>
      </c>
      <c r="AK518">
        <v>25.1</v>
      </c>
      <c r="AL518">
        <v>71</v>
      </c>
      <c r="AM518">
        <v>5560</v>
      </c>
      <c r="AN518">
        <v>71</v>
      </c>
      <c r="AO518">
        <v>64</v>
      </c>
      <c r="AP518">
        <v>67</v>
      </c>
      <c r="AQ518">
        <v>2</v>
      </c>
      <c r="AR518" t="s">
        <v>29</v>
      </c>
      <c r="AS518" t="s">
        <v>71</v>
      </c>
      <c r="AT518" t="s">
        <v>63</v>
      </c>
      <c r="AU518">
        <v>11.5</v>
      </c>
      <c r="AV518">
        <v>28</v>
      </c>
      <c r="AW518">
        <v>3</v>
      </c>
      <c r="AX518">
        <v>0</v>
      </c>
      <c r="AY518">
        <v>27</v>
      </c>
      <c r="AZ518">
        <v>205</v>
      </c>
      <c r="BA518">
        <v>3223</v>
      </c>
      <c r="BB518">
        <v>65</v>
      </c>
      <c r="BC518">
        <v>67</v>
      </c>
      <c r="BD518">
        <v>63</v>
      </c>
      <c r="BE518">
        <v>2</v>
      </c>
      <c r="BF518" t="s">
        <v>29</v>
      </c>
      <c r="BG518">
        <v>18</v>
      </c>
      <c r="BH518">
        <v>45</v>
      </c>
      <c r="BI518">
        <v>0.5</v>
      </c>
      <c r="BJ518" t="s">
        <v>63</v>
      </c>
      <c r="BK518">
        <v>0.37930000000000003</v>
      </c>
      <c r="BL518">
        <v>0.38479999999999998</v>
      </c>
      <c r="BM518">
        <v>1.48</v>
      </c>
      <c r="BN518">
        <v>1.42</v>
      </c>
    </row>
    <row r="519" spans="1:66" x14ac:dyDescent="0.25">
      <c r="A519">
        <v>3</v>
      </c>
      <c r="B519">
        <v>-2</v>
      </c>
      <c r="C519">
        <v>2</v>
      </c>
      <c r="D519">
        <v>4.4666666666666668</v>
      </c>
      <c r="E519">
        <v>2.8966666666666665</v>
      </c>
      <c r="F519">
        <v>2.0500000000000003</v>
      </c>
      <c r="G519" s="40">
        <v>0.15</v>
      </c>
      <c r="H519" s="40">
        <v>0.46</v>
      </c>
      <c r="I519" s="40">
        <v>0.38999999999999996</v>
      </c>
      <c r="J519">
        <v>4.0999999999999996</v>
      </c>
      <c r="K519">
        <v>2.95</v>
      </c>
      <c r="L519">
        <v>2.09</v>
      </c>
      <c r="M519">
        <v>4.9000000000000004</v>
      </c>
      <c r="N519">
        <v>2.9</v>
      </c>
      <c r="O519">
        <v>1.98</v>
      </c>
      <c r="P519">
        <v>4.4000000000000004</v>
      </c>
      <c r="Q519">
        <v>2.84</v>
      </c>
      <c r="R519">
        <v>2.08</v>
      </c>
      <c r="S519">
        <v>0.2418808011023818</v>
      </c>
      <c r="T519">
        <v>0.28361619195036181</v>
      </c>
      <c r="U519">
        <v>0.47450300694725622</v>
      </c>
      <c r="V519">
        <v>0.19363323666284482</v>
      </c>
      <c r="W519">
        <v>0.32717339987859984</v>
      </c>
      <c r="X519">
        <v>0.4791933634585554</v>
      </c>
      <c r="Y519">
        <v>0.21437695970270584</v>
      </c>
      <c r="Z519">
        <v>0.33213331784926259</v>
      </c>
      <c r="AA519">
        <v>0.4534897224480316</v>
      </c>
      <c r="AB519">
        <v>0.21663033248931085</v>
      </c>
      <c r="AC519">
        <v>0.31430763655940808</v>
      </c>
      <c r="AD519">
        <v>0.46906203095128102</v>
      </c>
      <c r="AE519" t="s">
        <v>78</v>
      </c>
      <c r="AF519" t="s">
        <v>63</v>
      </c>
      <c r="AG519">
        <v>8.07</v>
      </c>
      <c r="AH519">
        <v>31</v>
      </c>
      <c r="AI519">
        <v>4</v>
      </c>
      <c r="AJ519">
        <v>0</v>
      </c>
      <c r="AK519">
        <v>25.2</v>
      </c>
      <c r="AL519">
        <v>433</v>
      </c>
      <c r="AM519">
        <v>1716</v>
      </c>
      <c r="AN519">
        <v>63</v>
      </c>
      <c r="AO519">
        <v>64</v>
      </c>
      <c r="AP519">
        <v>64</v>
      </c>
      <c r="AQ519">
        <v>2</v>
      </c>
      <c r="AR519" t="s">
        <v>29</v>
      </c>
      <c r="AS519" t="s">
        <v>72</v>
      </c>
      <c r="AT519" t="s">
        <v>63</v>
      </c>
      <c r="AU519">
        <v>14.85</v>
      </c>
      <c r="AV519">
        <v>33</v>
      </c>
      <c r="AW519">
        <v>3</v>
      </c>
      <c r="AX519">
        <v>2</v>
      </c>
      <c r="AY519">
        <v>25.9</v>
      </c>
      <c r="AZ519">
        <v>209</v>
      </c>
      <c r="BA519">
        <v>3175</v>
      </c>
      <c r="BB519">
        <v>65</v>
      </c>
      <c r="BC519">
        <v>64</v>
      </c>
      <c r="BD519">
        <v>63</v>
      </c>
      <c r="BE519">
        <v>1.5</v>
      </c>
      <c r="BF519" t="s">
        <v>46</v>
      </c>
      <c r="BG519">
        <v>-5</v>
      </c>
      <c r="BH519">
        <v>17</v>
      </c>
      <c r="BI519">
        <v>0.1</v>
      </c>
      <c r="BJ519" t="s">
        <v>63</v>
      </c>
      <c r="BK519">
        <v>0.18179999999999999</v>
      </c>
      <c r="BL519">
        <v>0.51719999999999999</v>
      </c>
      <c r="BM519">
        <v>0.59</v>
      </c>
      <c r="BN519">
        <v>1.55</v>
      </c>
    </row>
    <row r="520" spans="1:66" x14ac:dyDescent="0.25">
      <c r="A520">
        <v>3</v>
      </c>
      <c r="B520">
        <v>-2</v>
      </c>
      <c r="C520">
        <v>2</v>
      </c>
      <c r="D520">
        <v>2.2533333333333334</v>
      </c>
      <c r="E520">
        <v>3.1333333333333333</v>
      </c>
      <c r="F520">
        <v>3.2666666666666662</v>
      </c>
      <c r="G520" s="40">
        <v>0.32</v>
      </c>
      <c r="H520" s="40">
        <v>0.49</v>
      </c>
      <c r="I520" s="40">
        <v>0.18999999999999995</v>
      </c>
      <c r="J520">
        <v>2.16</v>
      </c>
      <c r="K520">
        <v>3.15</v>
      </c>
      <c r="L520">
        <v>3.15</v>
      </c>
      <c r="M520">
        <v>2.2999999999999998</v>
      </c>
      <c r="N520">
        <v>3.1</v>
      </c>
      <c r="O520">
        <v>3.35</v>
      </c>
      <c r="P520">
        <v>2.2999999999999998</v>
      </c>
      <c r="Q520">
        <v>3.15</v>
      </c>
      <c r="R520">
        <v>3.3</v>
      </c>
      <c r="S520">
        <v>0.43323939642564119</v>
      </c>
      <c r="T520">
        <v>0.2696821603110619</v>
      </c>
      <c r="U520">
        <v>0.2970784432632968</v>
      </c>
      <c r="V520">
        <v>0.41177636796193501</v>
      </c>
      <c r="W520">
        <v>0.30551149881046785</v>
      </c>
      <c r="X520">
        <v>0.28271213322759708</v>
      </c>
      <c r="Y520">
        <v>0.41200951248513679</v>
      </c>
      <c r="Z520">
        <v>0.30083234244946488</v>
      </c>
      <c r="AA520">
        <v>0.28715814506539838</v>
      </c>
      <c r="AB520">
        <v>0.41900842562423768</v>
      </c>
      <c r="AC520">
        <v>0.29200866719033153</v>
      </c>
      <c r="AD520">
        <v>0.28898290718543074</v>
      </c>
      <c r="AE520" t="s">
        <v>89</v>
      </c>
      <c r="AF520" t="s">
        <v>85</v>
      </c>
      <c r="AG520">
        <v>31.6</v>
      </c>
      <c r="AH520">
        <v>27</v>
      </c>
      <c r="AI520">
        <v>3</v>
      </c>
      <c r="AJ520">
        <v>1</v>
      </c>
      <c r="AK520">
        <v>27.6</v>
      </c>
      <c r="AL520">
        <v>78</v>
      </c>
      <c r="AM520">
        <v>5364</v>
      </c>
      <c r="AN520">
        <v>71</v>
      </c>
      <c r="AO520">
        <v>71</v>
      </c>
      <c r="AP520">
        <v>72</v>
      </c>
      <c r="AQ520">
        <v>3.5</v>
      </c>
      <c r="AR520" t="s">
        <v>29</v>
      </c>
      <c r="AS520" t="s">
        <v>94</v>
      </c>
      <c r="AT520" t="s">
        <v>85</v>
      </c>
      <c r="AU520">
        <v>28.25</v>
      </c>
      <c r="AV520">
        <v>30</v>
      </c>
      <c r="AW520">
        <v>5</v>
      </c>
      <c r="AX520">
        <v>0</v>
      </c>
      <c r="AY520">
        <v>26.1</v>
      </c>
      <c r="AZ520">
        <v>126</v>
      </c>
      <c r="BA520">
        <v>4236</v>
      </c>
      <c r="BB520">
        <v>74</v>
      </c>
      <c r="BC520">
        <v>71</v>
      </c>
      <c r="BD520">
        <v>71</v>
      </c>
      <c r="BE520">
        <v>3.5</v>
      </c>
      <c r="BF520" t="s">
        <v>28</v>
      </c>
      <c r="BG520">
        <v>-2</v>
      </c>
      <c r="BH520">
        <v>10</v>
      </c>
      <c r="BI520">
        <v>0.5</v>
      </c>
      <c r="BJ520" t="s">
        <v>85</v>
      </c>
      <c r="BK520">
        <v>0.47499999999999998</v>
      </c>
      <c r="BL520">
        <v>0.4239</v>
      </c>
      <c r="BM520">
        <v>1</v>
      </c>
      <c r="BN520">
        <v>1.29</v>
      </c>
    </row>
    <row r="521" spans="1:66" x14ac:dyDescent="0.25">
      <c r="A521">
        <v>3</v>
      </c>
      <c r="B521">
        <v>-1</v>
      </c>
      <c r="C521">
        <v>1</v>
      </c>
      <c r="D521">
        <v>3.3499999999999996</v>
      </c>
      <c r="E521">
        <v>3.2166666666666668</v>
      </c>
      <c r="F521">
        <v>2.17</v>
      </c>
      <c r="G521" s="40">
        <v>0.16</v>
      </c>
      <c r="H521" s="40">
        <v>0.27</v>
      </c>
      <c r="I521" s="40">
        <v>0.56999999999999995</v>
      </c>
      <c r="J521">
        <v>3.4</v>
      </c>
      <c r="K521">
        <v>3.25</v>
      </c>
      <c r="L521">
        <v>2.02</v>
      </c>
      <c r="M521">
        <v>3.35</v>
      </c>
      <c r="N521">
        <v>3.2</v>
      </c>
      <c r="O521">
        <v>2.25</v>
      </c>
      <c r="P521">
        <v>3.3</v>
      </c>
      <c r="Q521">
        <v>3.2</v>
      </c>
      <c r="R521">
        <v>2.2400000000000002</v>
      </c>
      <c r="S521">
        <v>0.27645431029296758</v>
      </c>
      <c r="T521">
        <v>0.25822655357035423</v>
      </c>
      <c r="U521">
        <v>0.46531913613667802</v>
      </c>
      <c r="V521">
        <v>0.28282431503486199</v>
      </c>
      <c r="W521">
        <v>0.29608170480212115</v>
      </c>
      <c r="X521">
        <v>0.4210939801630168</v>
      </c>
      <c r="Y521">
        <v>0.28535031847133763</v>
      </c>
      <c r="Z521">
        <v>0.29426751592356687</v>
      </c>
      <c r="AA521">
        <v>0.4203821656050955</v>
      </c>
      <c r="AB521">
        <v>0.28154298126638905</v>
      </c>
      <c r="AC521">
        <v>0.28285859143201408</v>
      </c>
      <c r="AD521">
        <v>0.43559842730159676</v>
      </c>
      <c r="AE521" t="s">
        <v>102</v>
      </c>
      <c r="AF521" t="s">
        <v>85</v>
      </c>
      <c r="AG521">
        <v>27.13</v>
      </c>
      <c r="AH521">
        <v>27</v>
      </c>
      <c r="AI521">
        <v>2</v>
      </c>
      <c r="AJ521">
        <v>0</v>
      </c>
      <c r="AK521">
        <v>25.3</v>
      </c>
      <c r="AL521">
        <v>232</v>
      </c>
      <c r="AM521">
        <v>3005</v>
      </c>
      <c r="AN521">
        <v>65</v>
      </c>
      <c r="AO521">
        <v>70</v>
      </c>
      <c r="AP521">
        <v>65</v>
      </c>
      <c r="AQ521">
        <v>3</v>
      </c>
      <c r="AR521" t="s">
        <v>46</v>
      </c>
      <c r="AS521" t="s">
        <v>84</v>
      </c>
      <c r="AT521" t="s">
        <v>85</v>
      </c>
      <c r="AU521">
        <v>103.93</v>
      </c>
      <c r="AV521">
        <v>29</v>
      </c>
      <c r="AW521">
        <v>5</v>
      </c>
      <c r="AX521">
        <v>6</v>
      </c>
      <c r="AY521">
        <v>27.7</v>
      </c>
      <c r="AZ521">
        <v>4</v>
      </c>
      <c r="BA521">
        <v>11425</v>
      </c>
      <c r="BB521">
        <v>76</v>
      </c>
      <c r="BC521">
        <v>76</v>
      </c>
      <c r="BD521">
        <v>75</v>
      </c>
      <c r="BE521">
        <v>4</v>
      </c>
      <c r="BF521" t="s">
        <v>29</v>
      </c>
      <c r="BG521">
        <v>-9</v>
      </c>
      <c r="BH521">
        <v>25</v>
      </c>
      <c r="BI521">
        <v>0.29199999999999998</v>
      </c>
      <c r="BJ521" t="s">
        <v>85</v>
      </c>
      <c r="BK521">
        <v>0.3846</v>
      </c>
      <c r="BL521">
        <v>0.64</v>
      </c>
      <c r="BM521">
        <v>1.1299999999999999</v>
      </c>
      <c r="BN521">
        <v>2.08</v>
      </c>
    </row>
    <row r="522" spans="1:66" x14ac:dyDescent="0.25">
      <c r="A522">
        <v>1</v>
      </c>
      <c r="B522">
        <v>2</v>
      </c>
      <c r="C522">
        <v>6</v>
      </c>
      <c r="D522">
        <v>1.7033333333333331</v>
      </c>
      <c r="E522">
        <v>3.5833333333333335</v>
      </c>
      <c r="F522">
        <v>4.6499999999999995</v>
      </c>
      <c r="G522" s="40">
        <v>0.33</v>
      </c>
      <c r="H522" s="40">
        <v>0.35</v>
      </c>
      <c r="I522" s="40">
        <v>0.31999999999999995</v>
      </c>
      <c r="J522">
        <v>1.71</v>
      </c>
      <c r="K522">
        <v>3.4</v>
      </c>
      <c r="L522">
        <v>4.5</v>
      </c>
      <c r="M522">
        <v>1.75</v>
      </c>
      <c r="N522">
        <v>3.6</v>
      </c>
      <c r="O522">
        <v>4.75</v>
      </c>
      <c r="P522">
        <v>1.65</v>
      </c>
      <c r="Q522">
        <v>3.75</v>
      </c>
      <c r="R522">
        <v>4.7</v>
      </c>
      <c r="S522">
        <v>0.55656530034632745</v>
      </c>
      <c r="T522">
        <v>0.23193988552206821</v>
      </c>
      <c r="U522">
        <v>0.2114948141316044</v>
      </c>
      <c r="V522">
        <v>0.53921955065037452</v>
      </c>
      <c r="W522">
        <v>0.26212061489948757</v>
      </c>
      <c r="X522">
        <v>0.19865983445013796</v>
      </c>
      <c r="Y522">
        <v>0.55832739368020912</v>
      </c>
      <c r="Z522">
        <v>0.24566405321929199</v>
      </c>
      <c r="AA522">
        <v>0.19600855310049892</v>
      </c>
      <c r="AB522">
        <v>0.55137074822563703</v>
      </c>
      <c r="AC522">
        <v>0.24657485121361591</v>
      </c>
      <c r="AD522">
        <v>0.20205440056074708</v>
      </c>
      <c r="AE522" t="s">
        <v>86</v>
      </c>
      <c r="AF522" t="s">
        <v>85</v>
      </c>
      <c r="AG522">
        <v>86.53</v>
      </c>
      <c r="AH522">
        <v>28</v>
      </c>
      <c r="AI522">
        <v>7</v>
      </c>
      <c r="AJ522">
        <v>8</v>
      </c>
      <c r="AK522">
        <v>26.1</v>
      </c>
      <c r="AL522">
        <v>10</v>
      </c>
      <c r="AM522">
        <v>9954</v>
      </c>
      <c r="AN522">
        <v>76</v>
      </c>
      <c r="AO522">
        <v>73</v>
      </c>
      <c r="AP522">
        <v>75</v>
      </c>
      <c r="AQ522">
        <v>4</v>
      </c>
      <c r="AR522" t="s">
        <v>46</v>
      </c>
      <c r="AS522" t="s">
        <v>88</v>
      </c>
      <c r="AT522" t="s">
        <v>85</v>
      </c>
      <c r="AU522">
        <v>44.55</v>
      </c>
      <c r="AV522">
        <v>22</v>
      </c>
      <c r="AW522">
        <v>1</v>
      </c>
      <c r="AX522">
        <v>1</v>
      </c>
      <c r="AY522">
        <v>25.7</v>
      </c>
      <c r="AZ522">
        <v>69</v>
      </c>
      <c r="BA522">
        <v>5669</v>
      </c>
      <c r="BB522">
        <v>74</v>
      </c>
      <c r="BC522">
        <v>71</v>
      </c>
      <c r="BD522">
        <v>69</v>
      </c>
      <c r="BE522">
        <v>3</v>
      </c>
      <c r="BF522" t="s">
        <v>29</v>
      </c>
      <c r="BG522">
        <v>-27</v>
      </c>
      <c r="BH522">
        <v>13</v>
      </c>
      <c r="BI522">
        <v>9.0999999999999998E-2</v>
      </c>
      <c r="BJ522" t="s">
        <v>85</v>
      </c>
      <c r="BK522">
        <v>0.54900000000000004</v>
      </c>
      <c r="BL522">
        <v>0.41670000000000001</v>
      </c>
      <c r="BM522">
        <v>1.47</v>
      </c>
      <c r="BN522">
        <v>1.54</v>
      </c>
    </row>
    <row r="523" spans="1:66" x14ac:dyDescent="0.25">
      <c r="A523">
        <v>3</v>
      </c>
      <c r="B523">
        <v>-2</v>
      </c>
      <c r="C523">
        <v>2</v>
      </c>
      <c r="D523">
        <v>1.8043333333333333</v>
      </c>
      <c r="E523">
        <v>3.3666666666666667</v>
      </c>
      <c r="F523">
        <v>4.394333333333333</v>
      </c>
      <c r="G523" s="40">
        <v>0.55000000000000004</v>
      </c>
      <c r="H523" s="40">
        <v>0.26</v>
      </c>
      <c r="I523" s="40">
        <v>0.18999999999999995</v>
      </c>
      <c r="J523">
        <v>1.78</v>
      </c>
      <c r="K523">
        <v>3.15</v>
      </c>
      <c r="L523">
        <v>4.3</v>
      </c>
      <c r="M523">
        <v>1.833</v>
      </c>
      <c r="N523">
        <v>3.5</v>
      </c>
      <c r="O523">
        <v>4.3330000000000002</v>
      </c>
      <c r="P523">
        <v>1.8</v>
      </c>
      <c r="Q523">
        <v>3.45</v>
      </c>
      <c r="R523">
        <v>4.55</v>
      </c>
      <c r="S523">
        <v>0.52865519198032918</v>
      </c>
      <c r="T523">
        <v>0.25250614715339514</v>
      </c>
      <c r="U523">
        <v>0.21883866086627579</v>
      </c>
      <c r="V523">
        <v>0.51367747788033413</v>
      </c>
      <c r="W523">
        <v>0.26902023341561504</v>
      </c>
      <c r="X523">
        <v>0.21730228870405088</v>
      </c>
      <c r="Y523">
        <v>0.52155494642412159</v>
      </c>
      <c r="Z523">
        <v>0.27211562422128088</v>
      </c>
      <c r="AA523">
        <v>0.20632942935459758</v>
      </c>
      <c r="AB523">
        <v>0.52129587209492823</v>
      </c>
      <c r="AC523">
        <v>0.26454733493009702</v>
      </c>
      <c r="AD523">
        <v>0.21415679297497472</v>
      </c>
      <c r="AE523" t="s">
        <v>111</v>
      </c>
      <c r="AF523" t="s">
        <v>108</v>
      </c>
      <c r="AG523">
        <v>56.2</v>
      </c>
      <c r="AH523">
        <v>28</v>
      </c>
      <c r="AI523">
        <v>2</v>
      </c>
      <c r="AJ523">
        <v>2</v>
      </c>
      <c r="AK523">
        <v>25.9</v>
      </c>
      <c r="AL523">
        <v>15</v>
      </c>
      <c r="AM523">
        <v>9286</v>
      </c>
      <c r="AN523">
        <v>74</v>
      </c>
      <c r="AO523">
        <v>71</v>
      </c>
      <c r="AP523">
        <v>72</v>
      </c>
      <c r="AQ523">
        <v>3.5</v>
      </c>
      <c r="AR523" t="s">
        <v>29</v>
      </c>
      <c r="AS523" t="s">
        <v>117</v>
      </c>
      <c r="AT523" t="s">
        <v>108</v>
      </c>
      <c r="AU523">
        <v>24.33</v>
      </c>
      <c r="AV523">
        <v>30</v>
      </c>
      <c r="AW523">
        <v>6</v>
      </c>
      <c r="AX523">
        <v>0</v>
      </c>
      <c r="AY523">
        <v>27.8</v>
      </c>
      <c r="AZ523">
        <v>84</v>
      </c>
      <c r="BA523">
        <v>5249</v>
      </c>
      <c r="BB523">
        <v>69</v>
      </c>
      <c r="BC523">
        <v>71</v>
      </c>
      <c r="BD523">
        <v>71</v>
      </c>
      <c r="BE523">
        <v>3.5</v>
      </c>
      <c r="BF523" t="s">
        <v>28</v>
      </c>
      <c r="BG523">
        <v>7</v>
      </c>
      <c r="BH523">
        <v>36</v>
      </c>
      <c r="BI523">
        <v>0.57899999999999996</v>
      </c>
      <c r="BJ523" t="s">
        <v>108</v>
      </c>
      <c r="BK523">
        <v>0.43940000000000001</v>
      </c>
      <c r="BL523">
        <v>0.40279999999999999</v>
      </c>
      <c r="BM523">
        <v>1.29</v>
      </c>
      <c r="BN523">
        <v>1.33</v>
      </c>
    </row>
    <row r="524" spans="1:66" x14ac:dyDescent="0.25">
      <c r="A524">
        <v>3</v>
      </c>
      <c r="B524">
        <v>-3</v>
      </c>
      <c r="C524">
        <v>3</v>
      </c>
      <c r="D524">
        <v>3.2666666666666671</v>
      </c>
      <c r="E524">
        <v>3.3333333333333335</v>
      </c>
      <c r="F524">
        <v>2.12</v>
      </c>
      <c r="G524" s="40">
        <v>0.27</v>
      </c>
      <c r="H524" s="40">
        <v>0.35</v>
      </c>
      <c r="I524" s="40">
        <v>0.38</v>
      </c>
      <c r="J524">
        <v>3.25</v>
      </c>
      <c r="K524">
        <v>3.3</v>
      </c>
      <c r="L524">
        <v>2</v>
      </c>
      <c r="M524">
        <v>3.25</v>
      </c>
      <c r="N524">
        <v>3.35</v>
      </c>
      <c r="O524">
        <v>2.2000000000000002</v>
      </c>
      <c r="P524">
        <v>3.3</v>
      </c>
      <c r="Q524">
        <v>3.35</v>
      </c>
      <c r="R524">
        <v>2.16</v>
      </c>
      <c r="S524">
        <v>0.28446176327325867</v>
      </c>
      <c r="T524">
        <v>0.25328787140769604</v>
      </c>
      <c r="U524">
        <v>0.46225036531904529</v>
      </c>
      <c r="V524">
        <v>0.29007182918429603</v>
      </c>
      <c r="W524">
        <v>0.28141296861163045</v>
      </c>
      <c r="X524">
        <v>0.42851520220407363</v>
      </c>
      <c r="Y524">
        <v>0.28466894842440699</v>
      </c>
      <c r="Z524">
        <v>0.28042015814941584</v>
      </c>
      <c r="AA524">
        <v>0.43491089342617728</v>
      </c>
      <c r="AB524">
        <v>0.28640084696065388</v>
      </c>
      <c r="AC524">
        <v>0.27170699938958082</v>
      </c>
      <c r="AD524">
        <v>0.44189215364976536</v>
      </c>
      <c r="AE524" t="s">
        <v>120</v>
      </c>
      <c r="AF524" t="s">
        <v>108</v>
      </c>
      <c r="AG524">
        <v>22.38</v>
      </c>
      <c r="AH524">
        <v>31</v>
      </c>
      <c r="AI524">
        <v>2</v>
      </c>
      <c r="AJ524">
        <v>1</v>
      </c>
      <c r="AK524">
        <v>27.8</v>
      </c>
      <c r="AL524">
        <v>106</v>
      </c>
      <c r="AM524">
        <v>4727</v>
      </c>
      <c r="AN524">
        <v>70</v>
      </c>
      <c r="AO524">
        <v>71</v>
      </c>
      <c r="AP524">
        <v>72</v>
      </c>
      <c r="AQ524">
        <v>3.5</v>
      </c>
      <c r="AR524" t="s">
        <v>28</v>
      </c>
      <c r="AS524" t="s">
        <v>107</v>
      </c>
      <c r="AT524" t="s">
        <v>108</v>
      </c>
      <c r="AU524">
        <v>148.6</v>
      </c>
      <c r="AV524">
        <v>32</v>
      </c>
      <c r="AW524">
        <v>2</v>
      </c>
      <c r="AX524">
        <v>7</v>
      </c>
      <c r="AY524">
        <v>27.2</v>
      </c>
      <c r="AZ524">
        <v>2</v>
      </c>
      <c r="BA524">
        <v>13486</v>
      </c>
      <c r="BB524">
        <v>77</v>
      </c>
      <c r="BC524">
        <v>75</v>
      </c>
      <c r="BD524">
        <v>75</v>
      </c>
      <c r="BE524">
        <v>4</v>
      </c>
      <c r="BF524" t="s">
        <v>29</v>
      </c>
      <c r="BG524">
        <v>-3</v>
      </c>
      <c r="BH524">
        <v>11</v>
      </c>
      <c r="BI524">
        <v>0.27300000000000002</v>
      </c>
      <c r="BJ524" t="s">
        <v>108</v>
      </c>
      <c r="BK524">
        <v>0.4032</v>
      </c>
      <c r="BL524">
        <v>0.62860000000000005</v>
      </c>
      <c r="BM524">
        <v>1.26</v>
      </c>
      <c r="BN524">
        <v>1.87</v>
      </c>
    </row>
    <row r="525" spans="1:66" x14ac:dyDescent="0.25">
      <c r="A525">
        <v>1</v>
      </c>
      <c r="B525">
        <v>3</v>
      </c>
      <c r="C525">
        <v>7</v>
      </c>
      <c r="D525">
        <v>1.5</v>
      </c>
      <c r="E525">
        <v>3.8833333333333333</v>
      </c>
      <c r="F525">
        <v>6.4666666666666659</v>
      </c>
      <c r="G525" s="40">
        <v>0.48</v>
      </c>
      <c r="H525" s="40">
        <v>0.3</v>
      </c>
      <c r="I525" s="40">
        <v>0.22000000000000003</v>
      </c>
      <c r="J525">
        <v>1.46</v>
      </c>
      <c r="K525">
        <v>3.7</v>
      </c>
      <c r="L525">
        <v>6.5</v>
      </c>
      <c r="M525">
        <v>1.5</v>
      </c>
      <c r="N525">
        <v>4</v>
      </c>
      <c r="O525">
        <v>6.5</v>
      </c>
      <c r="P525">
        <v>1.54</v>
      </c>
      <c r="Q525">
        <v>3.95</v>
      </c>
      <c r="R525">
        <v>6.4</v>
      </c>
      <c r="S525">
        <v>0.66153304397237289</v>
      </c>
      <c r="T525">
        <v>0.18987645691998645</v>
      </c>
      <c r="U525">
        <v>0.14859049910764069</v>
      </c>
      <c r="V525">
        <v>0.6227544910179641</v>
      </c>
      <c r="W525">
        <v>0.23353293413173651</v>
      </c>
      <c r="X525">
        <v>0.1437125748502994</v>
      </c>
      <c r="Y525">
        <v>0.61330939615225988</v>
      </c>
      <c r="Z525">
        <v>0.2391130303986026</v>
      </c>
      <c r="AA525">
        <v>0.14757757344913755</v>
      </c>
      <c r="AB525">
        <v>0.63253231038086566</v>
      </c>
      <c r="AC525">
        <v>0.22084080715010854</v>
      </c>
      <c r="AD525">
        <v>0.14662688246902589</v>
      </c>
      <c r="AE525" t="s">
        <v>112</v>
      </c>
      <c r="AF525" t="s">
        <v>108</v>
      </c>
      <c r="AG525">
        <v>59.75</v>
      </c>
      <c r="AH525">
        <v>28</v>
      </c>
      <c r="AI525">
        <v>8</v>
      </c>
      <c r="AJ525">
        <v>4</v>
      </c>
      <c r="AK525">
        <v>26</v>
      </c>
      <c r="AL525">
        <v>17</v>
      </c>
      <c r="AM525">
        <v>9035</v>
      </c>
      <c r="AN525">
        <v>71</v>
      </c>
      <c r="AO525">
        <v>75</v>
      </c>
      <c r="AP525">
        <v>75</v>
      </c>
      <c r="AQ525">
        <v>3.5</v>
      </c>
      <c r="AR525" t="s">
        <v>29</v>
      </c>
      <c r="AS525" t="s">
        <v>124</v>
      </c>
      <c r="AT525" t="s">
        <v>108</v>
      </c>
      <c r="AU525">
        <v>150.30000000000001</v>
      </c>
      <c r="AV525">
        <v>36</v>
      </c>
      <c r="AW525">
        <v>0</v>
      </c>
      <c r="AX525">
        <v>0</v>
      </c>
      <c r="AY525">
        <v>26.5</v>
      </c>
      <c r="AZ525">
        <v>318</v>
      </c>
      <c r="BA525">
        <v>2355</v>
      </c>
      <c r="BB525">
        <v>69</v>
      </c>
      <c r="BC525">
        <v>71</v>
      </c>
      <c r="BD525">
        <v>71</v>
      </c>
      <c r="BE525">
        <v>3.5</v>
      </c>
      <c r="BF525" t="s">
        <v>46</v>
      </c>
      <c r="BG525">
        <v>-3</v>
      </c>
      <c r="BH525">
        <v>14</v>
      </c>
      <c r="BI525">
        <v>0.36399999999999999</v>
      </c>
      <c r="BJ525" t="s">
        <v>108</v>
      </c>
      <c r="BK525">
        <v>0.52939999999999998</v>
      </c>
      <c r="BL525">
        <v>0.4909</v>
      </c>
      <c r="BM525">
        <v>1.5</v>
      </c>
      <c r="BN525">
        <v>1.07</v>
      </c>
    </row>
    <row r="526" spans="1:66" x14ac:dyDescent="0.25">
      <c r="A526">
        <v>1</v>
      </c>
      <c r="B526">
        <v>1</v>
      </c>
      <c r="C526">
        <v>1</v>
      </c>
      <c r="D526">
        <v>2.6266666666666665</v>
      </c>
      <c r="E526">
        <v>3.0166666666666671</v>
      </c>
      <c r="F526">
        <v>2.7433333333333336</v>
      </c>
      <c r="G526" s="40">
        <v>0.33</v>
      </c>
      <c r="H526" s="40">
        <v>0.43</v>
      </c>
      <c r="I526" s="40">
        <v>0.23999999999999994</v>
      </c>
      <c r="J526">
        <v>2.5</v>
      </c>
      <c r="K526">
        <v>3</v>
      </c>
      <c r="L526">
        <v>2.65</v>
      </c>
      <c r="M526">
        <v>2.7</v>
      </c>
      <c r="N526">
        <v>3</v>
      </c>
      <c r="O526">
        <v>2.8</v>
      </c>
      <c r="P526">
        <v>2.68</v>
      </c>
      <c r="Q526">
        <v>3.05</v>
      </c>
      <c r="R526">
        <v>2.78</v>
      </c>
      <c r="S526">
        <v>0.36756620791260913</v>
      </c>
      <c r="T526">
        <v>0.28567321858492939</v>
      </c>
      <c r="U526">
        <v>0.34676057350246148</v>
      </c>
      <c r="V526">
        <v>0.34912718204488774</v>
      </c>
      <c r="W526">
        <v>0.31421446384039903</v>
      </c>
      <c r="X526">
        <v>0.33665835411471323</v>
      </c>
      <c r="Y526">
        <v>0.35177609797787862</v>
      </c>
      <c r="Z526">
        <v>0.30910162051826712</v>
      </c>
      <c r="AA526">
        <v>0.33912228150385426</v>
      </c>
      <c r="AB526">
        <v>0.3561564959784585</v>
      </c>
      <c r="AC526">
        <v>0.30299643431453188</v>
      </c>
      <c r="AD526">
        <v>0.34084706970700962</v>
      </c>
      <c r="AE526" t="s">
        <v>114</v>
      </c>
      <c r="AF526" t="s">
        <v>108</v>
      </c>
      <c r="AG526">
        <v>59.75</v>
      </c>
      <c r="AH526">
        <v>40</v>
      </c>
      <c r="AI526">
        <v>3</v>
      </c>
      <c r="AJ526">
        <v>0</v>
      </c>
      <c r="AK526">
        <v>24.7</v>
      </c>
      <c r="AL526">
        <v>40</v>
      </c>
      <c r="AM526">
        <v>7098</v>
      </c>
      <c r="AN526">
        <v>74</v>
      </c>
      <c r="AO526">
        <v>72</v>
      </c>
      <c r="AP526">
        <v>73</v>
      </c>
      <c r="AQ526">
        <v>3.5</v>
      </c>
      <c r="AR526" t="s">
        <v>29</v>
      </c>
      <c r="AS526" t="s">
        <v>110</v>
      </c>
      <c r="AT526" t="s">
        <v>108</v>
      </c>
      <c r="AU526">
        <v>84.95</v>
      </c>
      <c r="AV526">
        <v>33</v>
      </c>
      <c r="AW526">
        <v>5</v>
      </c>
      <c r="AX526">
        <v>4</v>
      </c>
      <c r="AY526">
        <v>26.9</v>
      </c>
      <c r="AZ526">
        <v>9</v>
      </c>
      <c r="BA526">
        <v>10366</v>
      </c>
      <c r="BB526">
        <v>75</v>
      </c>
      <c r="BC526">
        <v>72</v>
      </c>
      <c r="BD526">
        <v>75</v>
      </c>
      <c r="BE526">
        <v>3.5</v>
      </c>
      <c r="BF526" t="s">
        <v>29</v>
      </c>
      <c r="BG526">
        <v>-6</v>
      </c>
      <c r="BH526">
        <v>46</v>
      </c>
      <c r="BI526">
        <v>0.25600000000000001</v>
      </c>
      <c r="BJ526" t="s">
        <v>108</v>
      </c>
      <c r="BK526">
        <v>0.39389999999999997</v>
      </c>
      <c r="BL526">
        <v>0.47299999999999998</v>
      </c>
      <c r="BM526">
        <v>1.3</v>
      </c>
      <c r="BN526">
        <v>1.36</v>
      </c>
    </row>
    <row r="527" spans="1:66" x14ac:dyDescent="0.25">
      <c r="A527">
        <v>3</v>
      </c>
      <c r="B527">
        <v>-2</v>
      </c>
      <c r="C527">
        <v>4</v>
      </c>
      <c r="D527">
        <v>1.58</v>
      </c>
      <c r="E527">
        <v>3.6166666666666667</v>
      </c>
      <c r="F527">
        <v>6.6499999999999995</v>
      </c>
      <c r="G527" s="40">
        <v>0.41</v>
      </c>
      <c r="H527" s="40">
        <v>0.44</v>
      </c>
      <c r="I527" s="40">
        <v>0.15000000000000008</v>
      </c>
      <c r="J527">
        <v>1.57</v>
      </c>
      <c r="K527">
        <v>3.65</v>
      </c>
      <c r="L527">
        <v>6.75</v>
      </c>
      <c r="M527">
        <v>1.59</v>
      </c>
      <c r="N527">
        <v>3.6</v>
      </c>
      <c r="O527">
        <v>6.5</v>
      </c>
      <c r="P527">
        <v>1.58</v>
      </c>
      <c r="Q527">
        <v>3.6</v>
      </c>
      <c r="R527">
        <v>6.7</v>
      </c>
      <c r="S527">
        <v>0.6501781220074847</v>
      </c>
      <c r="T527">
        <v>0.19859526294781146</v>
      </c>
      <c r="U527">
        <v>0.15122661504470383</v>
      </c>
      <c r="V527">
        <v>0.59302060366456322</v>
      </c>
      <c r="W527">
        <v>0.26191743328518208</v>
      </c>
      <c r="X527">
        <v>0.14506196305025471</v>
      </c>
      <c r="Y527">
        <v>0.59711838391840377</v>
      </c>
      <c r="Z527">
        <v>0.26206862405307724</v>
      </c>
      <c r="AA527">
        <v>0.1408129920285191</v>
      </c>
      <c r="AB527">
        <v>0.61343903653015064</v>
      </c>
      <c r="AC527">
        <v>0.24086044009535693</v>
      </c>
      <c r="AD527">
        <v>0.14570052337449255</v>
      </c>
      <c r="AE527" t="s">
        <v>71</v>
      </c>
      <c r="AF527" t="s">
        <v>63</v>
      </c>
      <c r="AG527">
        <v>11.5</v>
      </c>
      <c r="AH527">
        <v>28</v>
      </c>
      <c r="AI527">
        <v>3</v>
      </c>
      <c r="AJ527">
        <v>0</v>
      </c>
      <c r="AK527">
        <v>27</v>
      </c>
      <c r="AL527">
        <v>205</v>
      </c>
      <c r="AM527">
        <v>3223</v>
      </c>
      <c r="AN527">
        <v>65</v>
      </c>
      <c r="AO527">
        <v>67</v>
      </c>
      <c r="AP527">
        <v>63</v>
      </c>
      <c r="AQ527">
        <v>2</v>
      </c>
      <c r="AR527" t="s">
        <v>29</v>
      </c>
      <c r="AS527" t="s">
        <v>78</v>
      </c>
      <c r="AT527" t="s">
        <v>63</v>
      </c>
      <c r="AU527">
        <v>8.07</v>
      </c>
      <c r="AV527">
        <v>31</v>
      </c>
      <c r="AW527">
        <v>4</v>
      </c>
      <c r="AX527">
        <v>0</v>
      </c>
      <c r="AY527">
        <v>25.2</v>
      </c>
      <c r="AZ527">
        <v>433</v>
      </c>
      <c r="BA527">
        <v>1716</v>
      </c>
      <c r="BB527">
        <v>63</v>
      </c>
      <c r="BC527">
        <v>64</v>
      </c>
      <c r="BD527">
        <v>64</v>
      </c>
      <c r="BE527">
        <v>2</v>
      </c>
      <c r="BF527" t="s">
        <v>29</v>
      </c>
      <c r="BG527">
        <v>15</v>
      </c>
      <c r="BH527">
        <v>43</v>
      </c>
      <c r="BI527">
        <v>0.47799999999999998</v>
      </c>
      <c r="BJ527" t="s">
        <v>63</v>
      </c>
      <c r="BK527">
        <v>0.38479999999999998</v>
      </c>
      <c r="BL527">
        <v>0.18179999999999999</v>
      </c>
      <c r="BM527">
        <v>1.42</v>
      </c>
      <c r="BN527">
        <v>0.59</v>
      </c>
    </row>
    <row r="528" spans="1:66" x14ac:dyDescent="0.25">
      <c r="A528">
        <v>2</v>
      </c>
      <c r="B528">
        <v>0</v>
      </c>
      <c r="C528">
        <v>2</v>
      </c>
      <c r="D528">
        <v>2.3499999999999996</v>
      </c>
      <c r="E528">
        <v>3.2166666666666668</v>
      </c>
      <c r="F528">
        <v>3.1166666666666667</v>
      </c>
      <c r="G528" s="40">
        <v>0.31</v>
      </c>
      <c r="H528" s="40">
        <v>0.35</v>
      </c>
      <c r="I528" s="40">
        <v>0.33999999999999997</v>
      </c>
      <c r="J528">
        <v>2.3199999999999998</v>
      </c>
      <c r="K528">
        <v>3.2</v>
      </c>
      <c r="L528">
        <v>3.2</v>
      </c>
      <c r="M528">
        <v>2.35</v>
      </c>
      <c r="N528">
        <v>3.25</v>
      </c>
      <c r="O528">
        <v>3.1</v>
      </c>
      <c r="P528">
        <v>2.38</v>
      </c>
      <c r="Q528">
        <v>3.2</v>
      </c>
      <c r="R528">
        <v>3.05</v>
      </c>
      <c r="S528">
        <v>0.42225214150520013</v>
      </c>
      <c r="T528">
        <v>0.27161505590352986</v>
      </c>
      <c r="U528">
        <v>0.30613280259127007</v>
      </c>
      <c r="V528">
        <v>0.40304030403040303</v>
      </c>
      <c r="W528">
        <v>0.29142914291429145</v>
      </c>
      <c r="X528">
        <v>0.30553055305530558</v>
      </c>
      <c r="Y528">
        <v>0.39618429064339356</v>
      </c>
      <c r="Z528">
        <v>0.29466206616602392</v>
      </c>
      <c r="AA528">
        <v>0.30915364319058253</v>
      </c>
      <c r="AB528">
        <v>0.40715891205966553</v>
      </c>
      <c r="AC528">
        <v>0.28590208832794844</v>
      </c>
      <c r="AD528">
        <v>0.30693899961238608</v>
      </c>
      <c r="AE528" t="s">
        <v>68</v>
      </c>
      <c r="AF528" t="s">
        <v>63</v>
      </c>
      <c r="AG528">
        <v>16.600000000000001</v>
      </c>
      <c r="AH528">
        <v>36</v>
      </c>
      <c r="AI528">
        <v>2</v>
      </c>
      <c r="AJ528">
        <v>1</v>
      </c>
      <c r="AK528">
        <v>25.1</v>
      </c>
      <c r="AL528">
        <v>129</v>
      </c>
      <c r="AM528">
        <v>4227</v>
      </c>
      <c r="AN528">
        <v>62</v>
      </c>
      <c r="AO528">
        <v>66</v>
      </c>
      <c r="AP528">
        <v>64</v>
      </c>
      <c r="AQ528">
        <v>2</v>
      </c>
      <c r="AR528" t="s">
        <v>46</v>
      </c>
      <c r="AS528" t="s">
        <v>64</v>
      </c>
      <c r="AT528" t="s">
        <v>63</v>
      </c>
      <c r="AU528">
        <v>13.1</v>
      </c>
      <c r="AV528">
        <v>30</v>
      </c>
      <c r="AW528">
        <v>4</v>
      </c>
      <c r="AX528">
        <v>0</v>
      </c>
      <c r="AY528">
        <v>25.1</v>
      </c>
      <c r="AZ528">
        <v>71</v>
      </c>
      <c r="BA528">
        <v>5560</v>
      </c>
      <c r="BB528">
        <v>71</v>
      </c>
      <c r="BC528">
        <v>64</v>
      </c>
      <c r="BD528">
        <v>67</v>
      </c>
      <c r="BE528">
        <v>2</v>
      </c>
      <c r="BF528" t="s">
        <v>29</v>
      </c>
      <c r="BG528">
        <v>-5</v>
      </c>
      <c r="BH528">
        <v>45</v>
      </c>
      <c r="BI528">
        <v>0.33300000000000002</v>
      </c>
      <c r="BJ528" t="s">
        <v>63</v>
      </c>
      <c r="BK528">
        <v>0.38890000000000002</v>
      </c>
      <c r="BL528">
        <v>0.37930000000000003</v>
      </c>
      <c r="BM528">
        <v>1.39</v>
      </c>
      <c r="BN528">
        <v>1.48</v>
      </c>
    </row>
    <row r="529" spans="1:66" x14ac:dyDescent="0.25">
      <c r="A529">
        <v>2</v>
      </c>
      <c r="B529">
        <v>0</v>
      </c>
      <c r="C529">
        <v>2</v>
      </c>
      <c r="D529">
        <v>1.5833333333333333</v>
      </c>
      <c r="E529">
        <v>3.6833333333333336</v>
      </c>
      <c r="F529">
        <v>6.3833333333333329</v>
      </c>
      <c r="G529" s="40">
        <v>0.49</v>
      </c>
      <c r="H529" s="40">
        <v>0.3</v>
      </c>
      <c r="I529" s="40">
        <v>0.21000000000000002</v>
      </c>
      <c r="J529">
        <v>1.57</v>
      </c>
      <c r="K529">
        <v>3.7</v>
      </c>
      <c r="L529">
        <v>6.75</v>
      </c>
      <c r="M529">
        <v>1.6</v>
      </c>
      <c r="N529">
        <v>3.7</v>
      </c>
      <c r="O529">
        <v>6</v>
      </c>
      <c r="P529">
        <v>1.58</v>
      </c>
      <c r="Q529">
        <v>3.65</v>
      </c>
      <c r="R529">
        <v>6.4</v>
      </c>
      <c r="S529">
        <v>0.6518356312082344</v>
      </c>
      <c r="T529">
        <v>0.19655222938481329</v>
      </c>
      <c r="U529">
        <v>0.15161213940695231</v>
      </c>
      <c r="V529">
        <v>0.58854718981972431</v>
      </c>
      <c r="W529">
        <v>0.25450689289501588</v>
      </c>
      <c r="X529">
        <v>0.15694591728525983</v>
      </c>
      <c r="Y529">
        <v>0.59532607864624487</v>
      </c>
      <c r="Z529">
        <v>0.2577027956879635</v>
      </c>
      <c r="AA529">
        <v>0.14697112566579168</v>
      </c>
      <c r="AB529">
        <v>0.61190296655806786</v>
      </c>
      <c r="AC529">
        <v>0.23625397265593093</v>
      </c>
      <c r="AD529">
        <v>0.15184306078600127</v>
      </c>
      <c r="AE529" t="s">
        <v>67</v>
      </c>
      <c r="AF529" t="s">
        <v>63</v>
      </c>
      <c r="AG529">
        <v>21.85</v>
      </c>
      <c r="AH529">
        <v>29</v>
      </c>
      <c r="AI529">
        <v>2</v>
      </c>
      <c r="AJ529">
        <v>4</v>
      </c>
      <c r="AK529">
        <v>25.7</v>
      </c>
      <c r="AL529">
        <v>104</v>
      </c>
      <c r="AM529">
        <v>4793</v>
      </c>
      <c r="AN529">
        <v>67</v>
      </c>
      <c r="AO529">
        <v>70</v>
      </c>
      <c r="AP529">
        <v>67</v>
      </c>
      <c r="AQ529">
        <v>2.5</v>
      </c>
      <c r="AR529" t="s">
        <v>29</v>
      </c>
      <c r="AS529" t="s">
        <v>65</v>
      </c>
      <c r="AT529" t="s">
        <v>63</v>
      </c>
      <c r="AU529">
        <v>14.58</v>
      </c>
      <c r="AV529">
        <v>35</v>
      </c>
      <c r="AW529">
        <v>3</v>
      </c>
      <c r="AX529">
        <v>1</v>
      </c>
      <c r="AY529">
        <v>25.9</v>
      </c>
      <c r="AZ529">
        <v>91</v>
      </c>
      <c r="BA529">
        <v>5087</v>
      </c>
      <c r="BB529">
        <v>68</v>
      </c>
      <c r="BC529">
        <v>61</v>
      </c>
      <c r="BD529">
        <v>64</v>
      </c>
      <c r="BE529">
        <v>1.5</v>
      </c>
      <c r="BF529" t="s">
        <v>29</v>
      </c>
      <c r="BG529">
        <v>21</v>
      </c>
      <c r="BH529">
        <v>74</v>
      </c>
      <c r="BI529">
        <v>0.42599999999999999</v>
      </c>
      <c r="BJ529" t="s">
        <v>63</v>
      </c>
      <c r="BK529">
        <v>0.42859999999999998</v>
      </c>
      <c r="BL529">
        <v>0.35289999999999999</v>
      </c>
      <c r="BM529">
        <v>1.75</v>
      </c>
      <c r="BN529">
        <v>1.24</v>
      </c>
    </row>
    <row r="530" spans="1:66" x14ac:dyDescent="0.25">
      <c r="A530">
        <v>1</v>
      </c>
      <c r="B530">
        <v>2</v>
      </c>
      <c r="C530">
        <v>2</v>
      </c>
      <c r="D530">
        <v>2.0733333333333337</v>
      </c>
      <c r="E530">
        <v>3.3166666666666664</v>
      </c>
      <c r="F530">
        <v>3.6166666666666667</v>
      </c>
      <c r="G530" s="40">
        <v>0.31</v>
      </c>
      <c r="H530" s="40">
        <v>0.37</v>
      </c>
      <c r="I530" s="40">
        <v>0.31999999999999995</v>
      </c>
      <c r="J530">
        <v>2.02</v>
      </c>
      <c r="K530">
        <v>3.35</v>
      </c>
      <c r="L530">
        <v>3.8</v>
      </c>
      <c r="M530">
        <v>2.1</v>
      </c>
      <c r="N530">
        <v>3.3</v>
      </c>
      <c r="O530">
        <v>3.5</v>
      </c>
      <c r="P530">
        <v>2.1</v>
      </c>
      <c r="Q530">
        <v>3.3</v>
      </c>
      <c r="R530">
        <v>3.55</v>
      </c>
      <c r="S530">
        <v>0.48812780583613913</v>
      </c>
      <c r="T530">
        <v>0.25239372895622897</v>
      </c>
      <c r="U530">
        <v>0.2594784652076319</v>
      </c>
      <c r="V530">
        <v>0.44715447154471538</v>
      </c>
      <c r="W530">
        <v>0.28455284552845528</v>
      </c>
      <c r="X530">
        <v>0.26829268292682928</v>
      </c>
      <c r="Y530">
        <v>0.44885057471264361</v>
      </c>
      <c r="Z530">
        <v>0.28563218390804596</v>
      </c>
      <c r="AA530">
        <v>0.26551724137931032</v>
      </c>
      <c r="AB530">
        <v>0.46137761736449939</v>
      </c>
      <c r="AC530">
        <v>0.2741929194642434</v>
      </c>
      <c r="AD530">
        <v>0.26442946317125715</v>
      </c>
      <c r="AE530" t="s">
        <v>74</v>
      </c>
      <c r="AF530" t="s">
        <v>63</v>
      </c>
      <c r="AG530">
        <v>9.73</v>
      </c>
      <c r="AH530">
        <v>33</v>
      </c>
      <c r="AI530">
        <v>1</v>
      </c>
      <c r="AJ530">
        <v>0</v>
      </c>
      <c r="AK530">
        <v>26.2</v>
      </c>
      <c r="AL530">
        <v>254</v>
      </c>
      <c r="AM530">
        <v>2813</v>
      </c>
      <c r="AN530">
        <v>67</v>
      </c>
      <c r="AO530">
        <v>64</v>
      </c>
      <c r="AP530">
        <v>65</v>
      </c>
      <c r="AQ530">
        <v>2</v>
      </c>
      <c r="AR530" t="s">
        <v>46</v>
      </c>
      <c r="AS530" t="s">
        <v>76</v>
      </c>
      <c r="AT530" t="s">
        <v>63</v>
      </c>
      <c r="AU530">
        <v>10.15</v>
      </c>
      <c r="AV530">
        <v>30</v>
      </c>
      <c r="AW530">
        <v>3</v>
      </c>
      <c r="AX530">
        <v>0</v>
      </c>
      <c r="AY530">
        <v>27.4</v>
      </c>
      <c r="AZ530">
        <v>349</v>
      </c>
      <c r="BA530">
        <v>2119</v>
      </c>
      <c r="BB530">
        <v>59</v>
      </c>
      <c r="BC530">
        <v>64</v>
      </c>
      <c r="BD530">
        <v>65</v>
      </c>
      <c r="BE530">
        <v>2</v>
      </c>
      <c r="BF530" t="s">
        <v>29</v>
      </c>
      <c r="BG530">
        <v>-16</v>
      </c>
      <c r="BH530">
        <v>14</v>
      </c>
      <c r="BI530">
        <v>0.222</v>
      </c>
      <c r="BJ530" t="s">
        <v>63</v>
      </c>
      <c r="BK530">
        <v>0.25</v>
      </c>
      <c r="BL530">
        <v>0.2727</v>
      </c>
      <c r="BM530">
        <v>1.17</v>
      </c>
      <c r="BN530">
        <v>0.82</v>
      </c>
    </row>
    <row r="531" spans="1:66" x14ac:dyDescent="0.25">
      <c r="A531">
        <v>3</v>
      </c>
      <c r="B531">
        <v>-2</v>
      </c>
      <c r="C531">
        <v>2</v>
      </c>
      <c r="D531">
        <v>2.5966666666666671</v>
      </c>
      <c r="E531">
        <v>3.0033333333333334</v>
      </c>
      <c r="F531">
        <v>2.9416666666666664</v>
      </c>
      <c r="G531" s="40">
        <v>0.3</v>
      </c>
      <c r="H531" s="40">
        <v>0.33</v>
      </c>
      <c r="I531" s="40">
        <v>0.36999999999999994</v>
      </c>
      <c r="J531">
        <v>2.5</v>
      </c>
      <c r="K531">
        <v>3.05</v>
      </c>
      <c r="L531">
        <v>3.05</v>
      </c>
      <c r="M531">
        <v>2.65</v>
      </c>
      <c r="N531">
        <v>3</v>
      </c>
      <c r="O531">
        <v>2.875</v>
      </c>
      <c r="P531">
        <v>2.64</v>
      </c>
      <c r="Q531">
        <v>2.96</v>
      </c>
      <c r="R531">
        <v>2.9</v>
      </c>
      <c r="S531">
        <v>0.39194483623256543</v>
      </c>
      <c r="T531">
        <v>0.28678890456041378</v>
      </c>
      <c r="U531">
        <v>0.32126625920702084</v>
      </c>
      <c r="V531">
        <v>0.35649702919142345</v>
      </c>
      <c r="W531">
        <v>0.31490570911909072</v>
      </c>
      <c r="X531">
        <v>0.32859726168948594</v>
      </c>
      <c r="Y531">
        <v>0.35685778901157372</v>
      </c>
      <c r="Z531">
        <v>0.31827856857789005</v>
      </c>
      <c r="AA531">
        <v>0.32486364241053611</v>
      </c>
      <c r="AB531">
        <v>0.36843321814518754</v>
      </c>
      <c r="AC531">
        <v>0.3066577274191315</v>
      </c>
      <c r="AD531">
        <v>0.32490905443568097</v>
      </c>
      <c r="AE531" t="s">
        <v>72</v>
      </c>
      <c r="AF531" t="s">
        <v>63</v>
      </c>
      <c r="AG531">
        <v>14.85</v>
      </c>
      <c r="AH531">
        <v>33</v>
      </c>
      <c r="AI531">
        <v>3</v>
      </c>
      <c r="AJ531">
        <v>2</v>
      </c>
      <c r="AK531">
        <v>25.9</v>
      </c>
      <c r="AL531">
        <v>209</v>
      </c>
      <c r="AM531">
        <v>3175</v>
      </c>
      <c r="AN531">
        <v>65</v>
      </c>
      <c r="AO531">
        <v>64</v>
      </c>
      <c r="AP531">
        <v>63</v>
      </c>
      <c r="AQ531">
        <v>1.5</v>
      </c>
      <c r="AR531" t="s">
        <v>46</v>
      </c>
      <c r="AS531" t="s">
        <v>70</v>
      </c>
      <c r="AT531" t="s">
        <v>63</v>
      </c>
      <c r="AU531">
        <v>16.38</v>
      </c>
      <c r="AV531">
        <v>28</v>
      </c>
      <c r="AW531">
        <v>1</v>
      </c>
      <c r="AX531">
        <v>3</v>
      </c>
      <c r="AY531">
        <v>25.3</v>
      </c>
      <c r="AZ531">
        <v>200</v>
      </c>
      <c r="BA531">
        <v>3276</v>
      </c>
      <c r="BB531">
        <v>69</v>
      </c>
      <c r="BC531">
        <v>63</v>
      </c>
      <c r="BD531">
        <v>65</v>
      </c>
      <c r="BE531">
        <v>2</v>
      </c>
      <c r="BF531" t="s">
        <v>29</v>
      </c>
      <c r="BG531">
        <v>2</v>
      </c>
      <c r="BH531">
        <v>73</v>
      </c>
      <c r="BI531">
        <v>0.36499999999999999</v>
      </c>
      <c r="BJ531" t="s">
        <v>63</v>
      </c>
      <c r="BK531">
        <v>0.51719999999999999</v>
      </c>
      <c r="BL531">
        <v>0.36</v>
      </c>
      <c r="BM531">
        <v>1.55</v>
      </c>
      <c r="BN531">
        <v>1.44</v>
      </c>
    </row>
    <row r="532" spans="1:66" x14ac:dyDescent="0.25">
      <c r="A532">
        <v>1</v>
      </c>
      <c r="B532">
        <v>3</v>
      </c>
      <c r="C532">
        <v>5</v>
      </c>
      <c r="D532">
        <v>2.1733333333333333</v>
      </c>
      <c r="E532">
        <v>3.1166666666666667</v>
      </c>
      <c r="F532">
        <v>3.5833333333333335</v>
      </c>
      <c r="G532" s="40">
        <v>0.37</v>
      </c>
      <c r="H532" s="40">
        <v>0.39</v>
      </c>
      <c r="I532" s="40">
        <v>0.24</v>
      </c>
      <c r="J532">
        <v>2.17</v>
      </c>
      <c r="K532">
        <v>3</v>
      </c>
      <c r="L532">
        <v>3.8</v>
      </c>
      <c r="M532">
        <v>2.15</v>
      </c>
      <c r="N532">
        <v>3.25</v>
      </c>
      <c r="O532">
        <v>3.45</v>
      </c>
      <c r="P532">
        <v>2.2000000000000002</v>
      </c>
      <c r="Q532">
        <v>3.1</v>
      </c>
      <c r="R532">
        <v>3.5</v>
      </c>
      <c r="S532">
        <v>0.45603188303136383</v>
      </c>
      <c r="T532">
        <v>0.28354991007967317</v>
      </c>
      <c r="U532">
        <v>0.260418206888963</v>
      </c>
      <c r="V532">
        <v>0.43768907973065296</v>
      </c>
      <c r="W532">
        <v>0.28954816043720116</v>
      </c>
      <c r="X532">
        <v>0.27276275983214598</v>
      </c>
      <c r="Y532">
        <v>0.4276704769412692</v>
      </c>
      <c r="Z532">
        <v>0.30350808040993299</v>
      </c>
      <c r="AA532">
        <v>0.26882144264879781</v>
      </c>
      <c r="AB532">
        <v>0.44046381323442868</v>
      </c>
      <c r="AC532">
        <v>0.29220205030893576</v>
      </c>
      <c r="AD532">
        <v>0.26733413645663562</v>
      </c>
      <c r="AE532" t="s">
        <v>77</v>
      </c>
      <c r="AF532" t="s">
        <v>63</v>
      </c>
      <c r="AG532">
        <v>8.4</v>
      </c>
      <c r="AH532">
        <v>32</v>
      </c>
      <c r="AI532">
        <v>3</v>
      </c>
      <c r="AJ532">
        <v>0</v>
      </c>
      <c r="AK532">
        <v>23.6</v>
      </c>
      <c r="AL532">
        <v>362</v>
      </c>
      <c r="AM532">
        <v>2071</v>
      </c>
      <c r="AN532">
        <v>65</v>
      </c>
      <c r="AO532">
        <v>66</v>
      </c>
      <c r="AP532">
        <v>61</v>
      </c>
      <c r="AQ532">
        <v>2</v>
      </c>
      <c r="AR532" t="s">
        <v>46</v>
      </c>
      <c r="AS532" t="s">
        <v>75</v>
      </c>
      <c r="AT532" t="s">
        <v>63</v>
      </c>
      <c r="AU532">
        <v>9.3000000000000007</v>
      </c>
      <c r="AV532">
        <v>29</v>
      </c>
      <c r="AW532">
        <v>4</v>
      </c>
      <c r="AX532">
        <v>0</v>
      </c>
      <c r="AY532">
        <v>25.6</v>
      </c>
      <c r="AZ532">
        <v>317</v>
      </c>
      <c r="BA532">
        <v>2374</v>
      </c>
      <c r="BB532">
        <v>69</v>
      </c>
      <c r="BC532">
        <v>66</v>
      </c>
      <c r="BD532">
        <v>64</v>
      </c>
      <c r="BE532">
        <v>2.5</v>
      </c>
      <c r="BF532" t="s">
        <v>46</v>
      </c>
      <c r="BG532">
        <v>13</v>
      </c>
      <c r="BH532">
        <v>41</v>
      </c>
      <c r="BI532">
        <v>0.45800000000000002</v>
      </c>
      <c r="BJ532" t="s">
        <v>63</v>
      </c>
      <c r="BK532">
        <v>0.26090000000000002</v>
      </c>
      <c r="BL532">
        <v>0.43480000000000002</v>
      </c>
      <c r="BM532">
        <v>1.22</v>
      </c>
      <c r="BN532">
        <v>1.43</v>
      </c>
    </row>
    <row r="533" spans="1:66" x14ac:dyDescent="0.25">
      <c r="A533">
        <v>1</v>
      </c>
      <c r="B533">
        <v>2</v>
      </c>
      <c r="C533">
        <v>6</v>
      </c>
      <c r="D533">
        <v>3.3833333333333333</v>
      </c>
      <c r="E533">
        <v>3.5500000000000003</v>
      </c>
      <c r="F533">
        <v>2.1</v>
      </c>
      <c r="G533" s="40">
        <v>0.18</v>
      </c>
      <c r="H533" s="40">
        <v>0.31</v>
      </c>
      <c r="I533" s="40">
        <v>0.51</v>
      </c>
      <c r="J533">
        <v>3.4</v>
      </c>
      <c r="K533">
        <v>3.65</v>
      </c>
      <c r="L533">
        <v>2.1</v>
      </c>
      <c r="M533">
        <v>3.4</v>
      </c>
      <c r="N533">
        <v>3.5</v>
      </c>
      <c r="O533">
        <v>2.0499999999999998</v>
      </c>
      <c r="P533">
        <v>3.35</v>
      </c>
      <c r="Q533">
        <v>3.5</v>
      </c>
      <c r="R533">
        <v>2.15</v>
      </c>
      <c r="S533">
        <v>0.29166666666666674</v>
      </c>
      <c r="T533">
        <v>0.2361111111111111</v>
      </c>
      <c r="U533">
        <v>0.47222222222222221</v>
      </c>
      <c r="V533">
        <v>0.27548473795354189</v>
      </c>
      <c r="W533">
        <v>0.26761374544058353</v>
      </c>
      <c r="X533">
        <v>0.45690151660587441</v>
      </c>
      <c r="Y533">
        <v>0.28447216709195727</v>
      </c>
      <c r="Z533">
        <v>0.2722805027880163</v>
      </c>
      <c r="AA533">
        <v>0.44324733012002648</v>
      </c>
      <c r="AB533">
        <v>0.28387452390405526</v>
      </c>
      <c r="AC533">
        <v>0.258668453113237</v>
      </c>
      <c r="AD533">
        <v>0.45745702298270768</v>
      </c>
      <c r="AE533" t="s">
        <v>260</v>
      </c>
      <c r="AF533" t="s">
        <v>253</v>
      </c>
      <c r="AG533">
        <v>550.1</v>
      </c>
      <c r="AH533">
        <v>28</v>
      </c>
      <c r="AI533">
        <v>18</v>
      </c>
      <c r="AJ533">
        <v>13</v>
      </c>
      <c r="AK533">
        <v>26.9</v>
      </c>
      <c r="AL533">
        <v>85</v>
      </c>
      <c r="AM533">
        <v>5188</v>
      </c>
      <c r="AN533">
        <v>80</v>
      </c>
      <c r="AO533">
        <v>81</v>
      </c>
      <c r="AP533">
        <v>79</v>
      </c>
      <c r="AQ533">
        <v>4.5</v>
      </c>
      <c r="AR533" t="s">
        <v>29</v>
      </c>
      <c r="AS533" t="s">
        <v>258</v>
      </c>
      <c r="AT533" t="s">
        <v>253</v>
      </c>
      <c r="AU533">
        <v>937.25</v>
      </c>
      <c r="AV533">
        <v>28</v>
      </c>
      <c r="AW533">
        <v>17</v>
      </c>
      <c r="AX533">
        <v>21</v>
      </c>
      <c r="AY533">
        <v>27.9</v>
      </c>
      <c r="AZ533">
        <v>39</v>
      </c>
      <c r="BA533">
        <v>7151</v>
      </c>
      <c r="BB533">
        <v>83</v>
      </c>
      <c r="BC533">
        <v>82</v>
      </c>
      <c r="BD533">
        <v>82</v>
      </c>
      <c r="BE533">
        <v>4.5</v>
      </c>
      <c r="BF533" t="s">
        <v>29</v>
      </c>
      <c r="BG533">
        <v>-65</v>
      </c>
      <c r="BH533">
        <v>60</v>
      </c>
      <c r="BI533">
        <v>0.19700000000000001</v>
      </c>
      <c r="BJ533" t="s">
        <v>267</v>
      </c>
      <c r="BK533">
        <v>0.56599999999999995</v>
      </c>
      <c r="BL533">
        <v>0.57379999999999998</v>
      </c>
      <c r="BM533">
        <v>1.79</v>
      </c>
      <c r="BN533">
        <v>1.98</v>
      </c>
    </row>
    <row r="534" spans="1:66" x14ac:dyDescent="0.25">
      <c r="A534">
        <v>3</v>
      </c>
      <c r="B534">
        <v>-1</v>
      </c>
      <c r="C534">
        <v>5</v>
      </c>
      <c r="D534">
        <v>3.4</v>
      </c>
      <c r="E534">
        <v>3.5166666666666671</v>
      </c>
      <c r="F534">
        <v>2.1233333333333331</v>
      </c>
      <c r="G534" s="40">
        <v>0.31</v>
      </c>
      <c r="H534" s="40">
        <v>0.27</v>
      </c>
      <c r="I534" s="40">
        <v>0.41999999999999993</v>
      </c>
      <c r="J534">
        <v>3.4</v>
      </c>
      <c r="K534">
        <v>3.6</v>
      </c>
      <c r="L534">
        <v>2.12</v>
      </c>
      <c r="M534">
        <v>3.4</v>
      </c>
      <c r="N534">
        <v>3.5</v>
      </c>
      <c r="O534">
        <v>2.1</v>
      </c>
      <c r="P534">
        <v>3.4</v>
      </c>
      <c r="Q534">
        <v>3.45</v>
      </c>
      <c r="R534">
        <v>2.15</v>
      </c>
      <c r="S534">
        <v>0.29196827762401534</v>
      </c>
      <c r="T534">
        <v>0.23978071109218649</v>
      </c>
      <c r="U534">
        <v>0.46825101128379815</v>
      </c>
      <c r="V534">
        <v>0.27851458885941643</v>
      </c>
      <c r="W534">
        <v>0.27055702917771884</v>
      </c>
      <c r="X534">
        <v>0.45092838196286472</v>
      </c>
      <c r="Y534">
        <v>0.280355286780686</v>
      </c>
      <c r="Z534">
        <v>0.27629216668241519</v>
      </c>
      <c r="AA534">
        <v>0.44335254653689882</v>
      </c>
      <c r="AB534">
        <v>0.28361271775470592</v>
      </c>
      <c r="AC534">
        <v>0.26220996898410681</v>
      </c>
      <c r="AD534">
        <v>0.45417731326118721</v>
      </c>
      <c r="AE534" t="s">
        <v>263</v>
      </c>
      <c r="AF534" t="s">
        <v>253</v>
      </c>
      <c r="AG534">
        <v>242.9</v>
      </c>
      <c r="AH534">
        <v>26</v>
      </c>
      <c r="AI534">
        <v>15</v>
      </c>
      <c r="AJ534">
        <v>8</v>
      </c>
      <c r="AK534">
        <v>27.8</v>
      </c>
      <c r="AL534">
        <v>156</v>
      </c>
      <c r="AM534">
        <v>3890</v>
      </c>
      <c r="AN534">
        <v>77</v>
      </c>
      <c r="AO534">
        <v>75</v>
      </c>
      <c r="AP534">
        <v>74</v>
      </c>
      <c r="AQ534">
        <v>4</v>
      </c>
      <c r="AR534" t="s">
        <v>46</v>
      </c>
      <c r="AS534" t="s">
        <v>259</v>
      </c>
      <c r="AT534" t="s">
        <v>253</v>
      </c>
      <c r="AU534">
        <v>692</v>
      </c>
      <c r="AV534">
        <v>33</v>
      </c>
      <c r="AW534">
        <v>16</v>
      </c>
      <c r="AX534">
        <v>18</v>
      </c>
      <c r="AY534">
        <v>25.7</v>
      </c>
      <c r="AZ534">
        <v>42</v>
      </c>
      <c r="BA534">
        <v>6821</v>
      </c>
      <c r="BB534">
        <v>89</v>
      </c>
      <c r="BC534">
        <v>82</v>
      </c>
      <c r="BD534">
        <v>81</v>
      </c>
      <c r="BE534">
        <v>4.5</v>
      </c>
      <c r="BF534" t="s">
        <v>29</v>
      </c>
      <c r="BG534">
        <v>-10</v>
      </c>
      <c r="BH534">
        <v>127</v>
      </c>
      <c r="BI534">
        <v>0.375</v>
      </c>
      <c r="BJ534" t="s">
        <v>267</v>
      </c>
      <c r="BK534">
        <v>0.3256</v>
      </c>
      <c r="BL534">
        <v>0.54239999999999999</v>
      </c>
      <c r="BM534">
        <v>1.28</v>
      </c>
      <c r="BN534">
        <v>2.1</v>
      </c>
    </row>
    <row r="535" spans="1:66" x14ac:dyDescent="0.25">
      <c r="A535">
        <v>2</v>
      </c>
      <c r="B535">
        <v>0</v>
      </c>
      <c r="C535">
        <v>4</v>
      </c>
      <c r="D535">
        <v>1.6633333333333333</v>
      </c>
      <c r="E535">
        <v>3.7833333333333337</v>
      </c>
      <c r="F535">
        <v>5.3999999999999995</v>
      </c>
      <c r="G535" s="40">
        <v>0.45</v>
      </c>
      <c r="H535" s="40">
        <v>0.37</v>
      </c>
      <c r="I535" s="40">
        <v>0.18000000000000005</v>
      </c>
      <c r="J535">
        <v>1.62</v>
      </c>
      <c r="K535">
        <v>3.9</v>
      </c>
      <c r="L535">
        <v>5.8</v>
      </c>
      <c r="M535">
        <v>1.69</v>
      </c>
      <c r="N535">
        <v>3.7</v>
      </c>
      <c r="O535">
        <v>5</v>
      </c>
      <c r="P535">
        <v>1.68</v>
      </c>
      <c r="Q535">
        <v>3.75</v>
      </c>
      <c r="R535">
        <v>5.4</v>
      </c>
      <c r="S535">
        <v>0.62796135794132257</v>
      </c>
      <c r="T535">
        <v>0.19664253863368736</v>
      </c>
      <c r="U535">
        <v>0.17539610342499012</v>
      </c>
      <c r="V535">
        <v>0.55717856820166856</v>
      </c>
      <c r="W535">
        <v>0.25449507574616753</v>
      </c>
      <c r="X535">
        <v>0.18832635605216402</v>
      </c>
      <c r="Y535">
        <v>0.56846892369883784</v>
      </c>
      <c r="Z535">
        <v>0.25467407781707929</v>
      </c>
      <c r="AA535">
        <v>0.17685699848408287</v>
      </c>
      <c r="AB535">
        <v>0.58453628328060969</v>
      </c>
      <c r="AC535">
        <v>0.23527056406564473</v>
      </c>
      <c r="AD535">
        <v>0.18019315265374569</v>
      </c>
      <c r="AE535" t="s">
        <v>256</v>
      </c>
      <c r="AF535" t="s">
        <v>253</v>
      </c>
      <c r="AG535">
        <v>548.5</v>
      </c>
      <c r="AH535">
        <v>26</v>
      </c>
      <c r="AI535">
        <v>17</v>
      </c>
      <c r="AJ535">
        <v>16</v>
      </c>
      <c r="AK535">
        <v>25.2</v>
      </c>
      <c r="AL535">
        <v>25</v>
      </c>
      <c r="AM535">
        <v>7938</v>
      </c>
      <c r="AN535">
        <v>83</v>
      </c>
      <c r="AO535">
        <v>79</v>
      </c>
      <c r="AP535">
        <v>79</v>
      </c>
      <c r="AQ535">
        <v>4.5</v>
      </c>
      <c r="AR535" t="s">
        <v>29</v>
      </c>
      <c r="AS535" t="s">
        <v>261</v>
      </c>
      <c r="AT535" t="s">
        <v>253</v>
      </c>
      <c r="AU535">
        <v>239.45</v>
      </c>
      <c r="AV535">
        <v>26</v>
      </c>
      <c r="AW535">
        <v>14</v>
      </c>
      <c r="AX535">
        <v>7</v>
      </c>
      <c r="AY535">
        <v>27.4</v>
      </c>
      <c r="AZ535">
        <v>135</v>
      </c>
      <c r="BA535">
        <v>4146</v>
      </c>
      <c r="BB535">
        <v>77</v>
      </c>
      <c r="BC535">
        <v>75</v>
      </c>
      <c r="BD535">
        <v>75</v>
      </c>
      <c r="BE535">
        <v>4</v>
      </c>
      <c r="BF535" t="s">
        <v>29</v>
      </c>
      <c r="BG535">
        <v>51</v>
      </c>
      <c r="BH535">
        <v>98</v>
      </c>
      <c r="BI535">
        <v>0.60899999999999999</v>
      </c>
      <c r="BJ535" t="s">
        <v>267</v>
      </c>
      <c r="BK535">
        <v>0.5</v>
      </c>
      <c r="BL535">
        <v>0.3</v>
      </c>
      <c r="BM535">
        <v>1.62</v>
      </c>
      <c r="BN535">
        <v>1.03</v>
      </c>
    </row>
    <row r="536" spans="1:66" x14ac:dyDescent="0.25">
      <c r="A536">
        <v>1</v>
      </c>
      <c r="B536">
        <v>1</v>
      </c>
      <c r="C536">
        <v>3</v>
      </c>
      <c r="D536">
        <v>1.3266666666666667</v>
      </c>
      <c r="E536">
        <v>5.5</v>
      </c>
      <c r="F536">
        <v>8.6666666666666661</v>
      </c>
      <c r="G536" s="40">
        <v>0.51</v>
      </c>
      <c r="H536" s="40">
        <v>0.35</v>
      </c>
      <c r="I536" s="40">
        <v>0.14000000000000001</v>
      </c>
      <c r="J536">
        <v>1.29</v>
      </c>
      <c r="K536">
        <v>5.5</v>
      </c>
      <c r="L536">
        <v>8.5</v>
      </c>
      <c r="M536">
        <v>1.35</v>
      </c>
      <c r="N536">
        <v>5.5</v>
      </c>
      <c r="O536">
        <v>9</v>
      </c>
      <c r="P536">
        <v>1.34</v>
      </c>
      <c r="Q536">
        <v>5.5</v>
      </c>
      <c r="R536">
        <v>8.5</v>
      </c>
      <c r="S536">
        <v>0.7627244184487213</v>
      </c>
      <c r="T536">
        <v>0.12152093451611984</v>
      </c>
      <c r="U536">
        <v>0.11575464703515888</v>
      </c>
      <c r="V536">
        <v>0.71661237785016274</v>
      </c>
      <c r="W536">
        <v>0.17589576547231267</v>
      </c>
      <c r="X536">
        <v>0.10749185667752441</v>
      </c>
      <c r="Y536">
        <v>0.71363150664020747</v>
      </c>
      <c r="Z536">
        <v>0.17386658525415966</v>
      </c>
      <c r="AA536">
        <v>0.11250190810563272</v>
      </c>
      <c r="AB536">
        <v>0.73098943431303054</v>
      </c>
      <c r="AC536">
        <v>0.15709442841419738</v>
      </c>
      <c r="AD536">
        <v>0.111916137272772</v>
      </c>
      <c r="AE536" t="s">
        <v>10</v>
      </c>
      <c r="AF536" t="s">
        <v>23</v>
      </c>
      <c r="AG536">
        <v>997.75</v>
      </c>
      <c r="AH536">
        <v>35</v>
      </c>
      <c r="AI536">
        <v>24</v>
      </c>
      <c r="AJ536">
        <v>19</v>
      </c>
      <c r="AK536">
        <v>26.1</v>
      </c>
      <c r="AL536">
        <v>12</v>
      </c>
      <c r="AM536">
        <v>9495</v>
      </c>
      <c r="AN536">
        <v>87</v>
      </c>
      <c r="AO536">
        <v>82</v>
      </c>
      <c r="AP536">
        <v>82</v>
      </c>
      <c r="AQ536">
        <v>5</v>
      </c>
      <c r="AR536" t="s">
        <v>28</v>
      </c>
      <c r="AS536" t="s">
        <v>41</v>
      </c>
      <c r="AT536" t="s">
        <v>23</v>
      </c>
      <c r="AU536">
        <v>66.7</v>
      </c>
      <c r="AV536">
        <v>28</v>
      </c>
      <c r="AW536">
        <v>11</v>
      </c>
      <c r="AX536">
        <v>6</v>
      </c>
      <c r="AY536">
        <v>26</v>
      </c>
      <c r="AZ536">
        <v>266</v>
      </c>
      <c r="BA536">
        <v>2690</v>
      </c>
      <c r="BB536">
        <v>75</v>
      </c>
      <c r="BC536">
        <v>75</v>
      </c>
      <c r="BD536">
        <v>74</v>
      </c>
      <c r="BE536">
        <v>4</v>
      </c>
      <c r="BF536" t="s">
        <v>29</v>
      </c>
      <c r="BG536">
        <v>39</v>
      </c>
      <c r="BH536">
        <v>50</v>
      </c>
      <c r="BI536">
        <v>0.75</v>
      </c>
      <c r="BJ536" t="s">
        <v>266</v>
      </c>
      <c r="BK536">
        <v>0.66669999999999996</v>
      </c>
      <c r="BL536">
        <v>0.35709999999999997</v>
      </c>
      <c r="BM536">
        <v>2.21</v>
      </c>
      <c r="BN536">
        <v>1.1399999999999999</v>
      </c>
    </row>
    <row r="537" spans="1:66" x14ac:dyDescent="0.25">
      <c r="A537">
        <v>2</v>
      </c>
      <c r="B537">
        <v>0</v>
      </c>
      <c r="C537">
        <v>2</v>
      </c>
      <c r="D537">
        <v>2.3366666666666664</v>
      </c>
      <c r="E537">
        <v>3.1166666666666671</v>
      </c>
      <c r="F537">
        <v>3.25</v>
      </c>
      <c r="G537" s="40">
        <v>0.24</v>
      </c>
      <c r="H537" s="40">
        <v>0.4</v>
      </c>
      <c r="I537" s="40">
        <v>0.36</v>
      </c>
      <c r="J537">
        <v>2.2999999999999998</v>
      </c>
      <c r="K537">
        <v>3</v>
      </c>
      <c r="L537">
        <v>3.2</v>
      </c>
      <c r="M537">
        <v>2.35</v>
      </c>
      <c r="N537">
        <v>3.2</v>
      </c>
      <c r="O537">
        <v>3.3</v>
      </c>
      <c r="P537">
        <v>2.36</v>
      </c>
      <c r="Q537">
        <v>3.15</v>
      </c>
      <c r="R537">
        <v>3.25</v>
      </c>
      <c r="S537">
        <v>0.41515308770108983</v>
      </c>
      <c r="T537">
        <v>0.28645563051375189</v>
      </c>
      <c r="U537">
        <v>0.29839128178515828</v>
      </c>
      <c r="V537">
        <v>0.40874782272111476</v>
      </c>
      <c r="W537">
        <v>0.30017418231081866</v>
      </c>
      <c r="X537">
        <v>0.29107799496806663</v>
      </c>
      <c r="Y537">
        <v>0.40398161119112919</v>
      </c>
      <c r="Z537">
        <v>0.30266558806700472</v>
      </c>
      <c r="AA537">
        <v>0.29335280074186609</v>
      </c>
      <c r="AB537">
        <v>0.40929417387111128</v>
      </c>
      <c r="AC537">
        <v>0.29643180029719179</v>
      </c>
      <c r="AD537">
        <v>0.29427402583169698</v>
      </c>
      <c r="AE537" t="s">
        <v>45</v>
      </c>
      <c r="AF537" t="s">
        <v>23</v>
      </c>
      <c r="AG537">
        <v>88.3</v>
      </c>
      <c r="AH537">
        <v>26</v>
      </c>
      <c r="AI537">
        <v>7</v>
      </c>
      <c r="AJ537">
        <v>4</v>
      </c>
      <c r="AK537">
        <v>25.1</v>
      </c>
      <c r="AL537">
        <v>347</v>
      </c>
      <c r="AM537">
        <v>2156</v>
      </c>
      <c r="AN537">
        <v>72</v>
      </c>
      <c r="AO537">
        <v>73</v>
      </c>
      <c r="AP537">
        <v>72</v>
      </c>
      <c r="AQ537">
        <v>3.5</v>
      </c>
      <c r="AR537" t="s">
        <v>29</v>
      </c>
      <c r="AS537" t="s">
        <v>37</v>
      </c>
      <c r="AT537" t="s">
        <v>23</v>
      </c>
      <c r="AU537">
        <v>90.78</v>
      </c>
      <c r="AV537">
        <v>27</v>
      </c>
      <c r="AW537">
        <v>19</v>
      </c>
      <c r="AX537">
        <v>10</v>
      </c>
      <c r="AY537">
        <v>24.4</v>
      </c>
      <c r="AZ537">
        <v>223</v>
      </c>
      <c r="BA537">
        <v>3054</v>
      </c>
      <c r="BB537">
        <v>73</v>
      </c>
      <c r="BC537">
        <v>73</v>
      </c>
      <c r="BD537">
        <v>74</v>
      </c>
      <c r="BE537">
        <v>3.5</v>
      </c>
      <c r="BF537" t="s">
        <v>29</v>
      </c>
      <c r="BG537">
        <v>4</v>
      </c>
      <c r="BH537">
        <v>31</v>
      </c>
      <c r="BI537">
        <v>0.4</v>
      </c>
      <c r="BJ537" t="s">
        <v>266</v>
      </c>
      <c r="BK537">
        <v>0.3</v>
      </c>
      <c r="BL537">
        <v>0.24390000000000001</v>
      </c>
      <c r="BM537">
        <v>1.3</v>
      </c>
      <c r="BN537">
        <v>1.1200000000000001</v>
      </c>
    </row>
    <row r="538" spans="1:66" x14ac:dyDescent="0.25">
      <c r="A538">
        <v>2</v>
      </c>
      <c r="B538">
        <v>0</v>
      </c>
      <c r="C538">
        <v>2</v>
      </c>
      <c r="D538">
        <v>2.8516666666666666</v>
      </c>
      <c r="E538">
        <v>3.1333333333333329</v>
      </c>
      <c r="F538">
        <v>2.6066666666666669</v>
      </c>
      <c r="G538" s="40">
        <v>0.28000000000000003</v>
      </c>
      <c r="H538" s="40">
        <v>0.32</v>
      </c>
      <c r="I538" s="40">
        <v>0.39999999999999997</v>
      </c>
      <c r="J538">
        <v>2.8</v>
      </c>
      <c r="K538">
        <v>3.05</v>
      </c>
      <c r="L538">
        <v>2.5499999999999998</v>
      </c>
      <c r="M538">
        <v>2.875</v>
      </c>
      <c r="N538">
        <v>3.2</v>
      </c>
      <c r="O538">
        <v>2.65</v>
      </c>
      <c r="P538">
        <v>2.88</v>
      </c>
      <c r="Q538">
        <v>3.15</v>
      </c>
      <c r="R538">
        <v>2.62</v>
      </c>
      <c r="S538">
        <v>0.34084788029925184</v>
      </c>
      <c r="T538">
        <v>0.2848877805486284</v>
      </c>
      <c r="U538">
        <v>0.37426433915211971</v>
      </c>
      <c r="V538">
        <v>0.3351944266021048</v>
      </c>
      <c r="W538">
        <v>0.3011512426503285</v>
      </c>
      <c r="X538">
        <v>0.36365433074756653</v>
      </c>
      <c r="Y538">
        <v>0.33183759137294638</v>
      </c>
      <c r="Z538">
        <v>0.30339436925526525</v>
      </c>
      <c r="AA538">
        <v>0.36476803937178837</v>
      </c>
      <c r="AB538">
        <v>0.3359599660914343</v>
      </c>
      <c r="AC538">
        <v>0.29647779748474073</v>
      </c>
      <c r="AD538">
        <v>0.36756223642382485</v>
      </c>
      <c r="AE538" t="s">
        <v>44</v>
      </c>
      <c r="AF538" t="s">
        <v>23</v>
      </c>
      <c r="AG538">
        <v>87.7</v>
      </c>
      <c r="AH538">
        <v>29</v>
      </c>
      <c r="AI538">
        <v>16</v>
      </c>
      <c r="AJ538">
        <v>10</v>
      </c>
      <c r="AK538">
        <v>25.1</v>
      </c>
      <c r="AL538">
        <v>326</v>
      </c>
      <c r="AM538">
        <v>2298</v>
      </c>
      <c r="AN538">
        <v>74</v>
      </c>
      <c r="AO538">
        <v>73</v>
      </c>
      <c r="AP538">
        <v>72</v>
      </c>
      <c r="AQ538">
        <v>3.5</v>
      </c>
      <c r="AR538" t="s">
        <v>29</v>
      </c>
      <c r="AS538" t="s">
        <v>39</v>
      </c>
      <c r="AT538" t="s">
        <v>23</v>
      </c>
      <c r="AU538">
        <v>87.45</v>
      </c>
      <c r="AV538">
        <v>29</v>
      </c>
      <c r="AW538">
        <v>14</v>
      </c>
      <c r="AX538">
        <v>7</v>
      </c>
      <c r="AY538">
        <v>26.2</v>
      </c>
      <c r="AZ538">
        <v>229</v>
      </c>
      <c r="BA538">
        <v>3029</v>
      </c>
      <c r="BB538">
        <v>71</v>
      </c>
      <c r="BC538">
        <v>73</v>
      </c>
      <c r="BD538">
        <v>73</v>
      </c>
      <c r="BE538">
        <v>3.5</v>
      </c>
      <c r="BF538" t="s">
        <v>29</v>
      </c>
      <c r="BG538">
        <v>14</v>
      </c>
      <c r="BH538">
        <v>119</v>
      </c>
      <c r="BI538">
        <v>0.44700000000000001</v>
      </c>
      <c r="BJ538" t="s">
        <v>266</v>
      </c>
      <c r="BK538">
        <v>0.33329999999999999</v>
      </c>
      <c r="BL538">
        <v>0.24390000000000001</v>
      </c>
      <c r="BM538">
        <v>1.08</v>
      </c>
      <c r="BN538">
        <v>1.24</v>
      </c>
    </row>
    <row r="539" spans="1:66" x14ac:dyDescent="0.25">
      <c r="A539">
        <v>1</v>
      </c>
      <c r="B539">
        <v>3</v>
      </c>
      <c r="C539">
        <v>6</v>
      </c>
      <c r="D539">
        <v>2.1133333333333333</v>
      </c>
      <c r="E539">
        <v>3.3333333333333335</v>
      </c>
      <c r="F539">
        <v>3.5833333333333335</v>
      </c>
      <c r="G539" s="40">
        <v>0.47</v>
      </c>
      <c r="H539" s="40">
        <v>0.32</v>
      </c>
      <c r="I539" s="40">
        <v>0.21000000000000002</v>
      </c>
      <c r="J539">
        <v>2.0499999999999998</v>
      </c>
      <c r="K539">
        <v>3.3</v>
      </c>
      <c r="L539">
        <v>3.5</v>
      </c>
      <c r="M539">
        <v>2.15</v>
      </c>
      <c r="N539">
        <v>3.4</v>
      </c>
      <c r="O539">
        <v>3.6</v>
      </c>
      <c r="P539">
        <v>2.14</v>
      </c>
      <c r="Q539">
        <v>3.3</v>
      </c>
      <c r="R539">
        <v>3.65</v>
      </c>
      <c r="S539">
        <v>0.4689593568557392</v>
      </c>
      <c r="T539">
        <v>0.2563644484144707</v>
      </c>
      <c r="U539">
        <v>0.27467619472979005</v>
      </c>
      <c r="V539">
        <v>0.44851593990472705</v>
      </c>
      <c r="W539">
        <v>0.28362037376328325</v>
      </c>
      <c r="X539">
        <v>0.2678636863319897</v>
      </c>
      <c r="Y539">
        <v>0.44747009436065083</v>
      </c>
      <c r="Z539">
        <v>0.29017757634296754</v>
      </c>
      <c r="AA539">
        <v>0.26235232929638158</v>
      </c>
      <c r="AB539">
        <v>0.45498179704037228</v>
      </c>
      <c r="AC539">
        <v>0.27672079950690714</v>
      </c>
      <c r="AD539">
        <v>0.26829740345272041</v>
      </c>
      <c r="AE539" t="s">
        <v>36</v>
      </c>
      <c r="AF539" t="s">
        <v>23</v>
      </c>
      <c r="AG539">
        <v>87.7</v>
      </c>
      <c r="AH539">
        <v>27</v>
      </c>
      <c r="AI539">
        <v>15</v>
      </c>
      <c r="AJ539">
        <v>6</v>
      </c>
      <c r="AK539">
        <v>26</v>
      </c>
      <c r="AL539">
        <v>180</v>
      </c>
      <c r="AM539">
        <v>3627</v>
      </c>
      <c r="AN539">
        <v>75</v>
      </c>
      <c r="AO539">
        <v>73</v>
      </c>
      <c r="AP539">
        <v>74</v>
      </c>
      <c r="AQ539">
        <v>3.5</v>
      </c>
      <c r="AR539" t="s">
        <v>29</v>
      </c>
      <c r="AS539" t="s">
        <v>35</v>
      </c>
      <c r="AT539" t="s">
        <v>23</v>
      </c>
      <c r="AU539">
        <v>93.2</v>
      </c>
      <c r="AV539">
        <v>28</v>
      </c>
      <c r="AW539">
        <v>13</v>
      </c>
      <c r="AX539">
        <v>9</v>
      </c>
      <c r="AY539">
        <v>23.9</v>
      </c>
      <c r="AZ539">
        <v>169</v>
      </c>
      <c r="BA539">
        <v>3749</v>
      </c>
      <c r="BB539">
        <v>74</v>
      </c>
      <c r="BC539">
        <v>74</v>
      </c>
      <c r="BD539">
        <v>73</v>
      </c>
      <c r="BE539">
        <v>3.5</v>
      </c>
      <c r="BF539" t="s">
        <v>29</v>
      </c>
      <c r="BG539">
        <v>7</v>
      </c>
      <c r="BH539">
        <v>65</v>
      </c>
      <c r="BI539">
        <v>0.42899999999999999</v>
      </c>
      <c r="BJ539" t="s">
        <v>266</v>
      </c>
      <c r="BK539">
        <v>0.28210000000000002</v>
      </c>
      <c r="BL539">
        <v>0.30769999999999997</v>
      </c>
      <c r="BM539">
        <v>1.26</v>
      </c>
      <c r="BN539">
        <v>1.08</v>
      </c>
    </row>
    <row r="540" spans="1:66" x14ac:dyDescent="0.25">
      <c r="A540">
        <v>3</v>
      </c>
      <c r="B540">
        <v>-3</v>
      </c>
      <c r="C540">
        <v>3</v>
      </c>
      <c r="D540">
        <v>4.4833333333333334</v>
      </c>
      <c r="E540">
        <v>3.5166666666666671</v>
      </c>
      <c r="F540">
        <v>1.8343333333333334</v>
      </c>
      <c r="G540" s="40">
        <v>0.23</v>
      </c>
      <c r="H540" s="40">
        <v>0.38</v>
      </c>
      <c r="I540" s="40">
        <v>0.39</v>
      </c>
      <c r="J540">
        <v>4.2</v>
      </c>
      <c r="K540">
        <v>3.45</v>
      </c>
      <c r="L540">
        <v>1.83</v>
      </c>
      <c r="M540">
        <v>4.75</v>
      </c>
      <c r="N540">
        <v>3.55</v>
      </c>
      <c r="O540">
        <v>1.833</v>
      </c>
      <c r="P540">
        <v>4.5</v>
      </c>
      <c r="Q540">
        <v>3.55</v>
      </c>
      <c r="R540">
        <v>1.84</v>
      </c>
      <c r="S540">
        <v>0.23164342933170715</v>
      </c>
      <c r="T540">
        <v>0.23671591318568611</v>
      </c>
      <c r="U540">
        <v>0.53164065748260658</v>
      </c>
      <c r="V540">
        <v>0.20286409946253323</v>
      </c>
      <c r="W540">
        <v>0.27143787956254445</v>
      </c>
      <c r="X540">
        <v>0.52569802097492235</v>
      </c>
      <c r="Y540">
        <v>0.2121674732841784</v>
      </c>
      <c r="Z540">
        <v>0.26894468444473318</v>
      </c>
      <c r="AA540">
        <v>0.51888784227108842</v>
      </c>
      <c r="AB540">
        <v>0.21555833402613958</v>
      </c>
      <c r="AC540">
        <v>0.2590328257309879</v>
      </c>
      <c r="AD540">
        <v>0.52540884024287238</v>
      </c>
      <c r="AE540" t="s">
        <v>48</v>
      </c>
      <c r="AF540" t="s">
        <v>23</v>
      </c>
      <c r="AG540">
        <v>85.63</v>
      </c>
      <c r="AH540">
        <v>28</v>
      </c>
      <c r="AI540">
        <v>16</v>
      </c>
      <c r="AJ540">
        <v>8</v>
      </c>
      <c r="AK540">
        <v>25</v>
      </c>
      <c r="AL540">
        <v>426</v>
      </c>
      <c r="AM540">
        <v>1736</v>
      </c>
      <c r="AN540">
        <v>70</v>
      </c>
      <c r="AO540">
        <v>70</v>
      </c>
      <c r="AP540">
        <v>73</v>
      </c>
      <c r="AQ540">
        <v>3.5</v>
      </c>
      <c r="AR540" t="s">
        <v>46</v>
      </c>
      <c r="AS540" t="s">
        <v>32</v>
      </c>
      <c r="AT540" t="s">
        <v>23</v>
      </c>
      <c r="AU540">
        <v>189.65</v>
      </c>
      <c r="AV540">
        <v>29</v>
      </c>
      <c r="AW540">
        <v>11</v>
      </c>
      <c r="AX540">
        <v>7</v>
      </c>
      <c r="AY540">
        <v>23.6</v>
      </c>
      <c r="AZ540">
        <v>102</v>
      </c>
      <c r="BA540">
        <v>4815</v>
      </c>
      <c r="BB540">
        <v>75</v>
      </c>
      <c r="BC540">
        <v>76</v>
      </c>
      <c r="BD540">
        <v>76</v>
      </c>
      <c r="BE540">
        <v>4</v>
      </c>
      <c r="BF540" t="s">
        <v>29</v>
      </c>
      <c r="BG540">
        <v>12</v>
      </c>
      <c r="BH540">
        <v>60</v>
      </c>
      <c r="BI540">
        <v>0.34899999999999998</v>
      </c>
      <c r="BJ540" t="s">
        <v>266</v>
      </c>
      <c r="BK540">
        <v>0.34150000000000003</v>
      </c>
      <c r="BL540">
        <v>0.35560000000000003</v>
      </c>
      <c r="BM540">
        <v>1.22</v>
      </c>
      <c r="BN540">
        <v>1.24</v>
      </c>
    </row>
    <row r="541" spans="1:66" x14ac:dyDescent="0.25">
      <c r="A541">
        <v>1</v>
      </c>
      <c r="B541">
        <v>3</v>
      </c>
      <c r="C541">
        <v>5</v>
      </c>
      <c r="D541">
        <v>2</v>
      </c>
      <c r="E541">
        <v>3.8499999999999996</v>
      </c>
      <c r="F541">
        <v>3.3833333333333333</v>
      </c>
      <c r="G541" s="40">
        <v>0.26</v>
      </c>
      <c r="H541" s="40">
        <v>0.41</v>
      </c>
      <c r="I541" s="40">
        <v>0.33</v>
      </c>
      <c r="J541">
        <v>2</v>
      </c>
      <c r="K541">
        <v>3.8</v>
      </c>
      <c r="L541">
        <v>3.4</v>
      </c>
      <c r="M541">
        <v>2</v>
      </c>
      <c r="N541">
        <v>3.85</v>
      </c>
      <c r="O541">
        <v>3.35</v>
      </c>
      <c r="P541">
        <v>2</v>
      </c>
      <c r="Q541">
        <v>3.9</v>
      </c>
      <c r="R541">
        <v>3.4</v>
      </c>
      <c r="S541">
        <v>0.48869870528856707</v>
      </c>
      <c r="T541">
        <v>0.22383146807109944</v>
      </c>
      <c r="U541">
        <v>0.28746982664033355</v>
      </c>
      <c r="V541">
        <v>0.47247916475867746</v>
      </c>
      <c r="W541">
        <v>0.24544372195255973</v>
      </c>
      <c r="X541">
        <v>0.28207711328876267</v>
      </c>
      <c r="Y541">
        <v>0.47595118449389801</v>
      </c>
      <c r="Z541">
        <v>0.2440775305096913</v>
      </c>
      <c r="AA541">
        <v>0.27997128499641061</v>
      </c>
      <c r="AB541">
        <v>0.47904301818038081</v>
      </c>
      <c r="AC541">
        <v>0.23778424017778352</v>
      </c>
      <c r="AD541">
        <v>0.28317274164183565</v>
      </c>
      <c r="AE541" t="s">
        <v>54</v>
      </c>
      <c r="AF541" t="s">
        <v>26</v>
      </c>
      <c r="AG541">
        <v>207.65</v>
      </c>
      <c r="AH541">
        <v>32</v>
      </c>
      <c r="AI541">
        <v>20</v>
      </c>
      <c r="AJ541">
        <v>16</v>
      </c>
      <c r="AK541">
        <v>25.8</v>
      </c>
      <c r="AL541">
        <v>194</v>
      </c>
      <c r="AM541">
        <v>3438</v>
      </c>
      <c r="AN541">
        <v>75</v>
      </c>
      <c r="AO541">
        <v>77</v>
      </c>
      <c r="AP541">
        <v>76</v>
      </c>
      <c r="AQ541">
        <v>4</v>
      </c>
      <c r="AR541" t="s">
        <v>29</v>
      </c>
      <c r="AS541" t="s">
        <v>60</v>
      </c>
      <c r="AT541" t="s">
        <v>26</v>
      </c>
      <c r="AU541">
        <v>76.66</v>
      </c>
      <c r="AV541">
        <v>30</v>
      </c>
      <c r="AW541">
        <v>11</v>
      </c>
      <c r="AX541">
        <v>6</v>
      </c>
      <c r="AY541">
        <v>25.1</v>
      </c>
      <c r="AZ541">
        <v>299</v>
      </c>
      <c r="BA541">
        <v>2454</v>
      </c>
      <c r="BB541">
        <v>74</v>
      </c>
      <c r="BC541">
        <v>74</v>
      </c>
      <c r="BD541">
        <v>72</v>
      </c>
      <c r="BE541">
        <v>3.5</v>
      </c>
      <c r="BF541" t="s">
        <v>46</v>
      </c>
      <c r="BG541">
        <v>14</v>
      </c>
      <c r="BH541">
        <v>39</v>
      </c>
      <c r="BI541">
        <v>0.44</v>
      </c>
      <c r="BJ541" t="s">
        <v>273</v>
      </c>
      <c r="BK541">
        <v>0.36359999999999998</v>
      </c>
      <c r="BL541">
        <v>0.28210000000000002</v>
      </c>
      <c r="BM541">
        <v>1.73</v>
      </c>
      <c r="BN541">
        <v>1.23</v>
      </c>
    </row>
    <row r="542" spans="1:66" x14ac:dyDescent="0.25">
      <c r="A542">
        <v>1</v>
      </c>
      <c r="B542">
        <v>2</v>
      </c>
      <c r="C542">
        <v>2</v>
      </c>
      <c r="D542">
        <v>2.7266666666666666</v>
      </c>
      <c r="E542">
        <v>3.15</v>
      </c>
      <c r="F542">
        <v>2.7166666666666668</v>
      </c>
      <c r="G542" s="40">
        <v>0.28000000000000003</v>
      </c>
      <c r="H542" s="40">
        <v>0.42</v>
      </c>
      <c r="I542" s="40">
        <v>0.3</v>
      </c>
      <c r="J542">
        <v>2.75</v>
      </c>
      <c r="K542">
        <v>3.1</v>
      </c>
      <c r="L542">
        <v>2.75</v>
      </c>
      <c r="M542">
        <v>2.7</v>
      </c>
      <c r="N542">
        <v>3.2</v>
      </c>
      <c r="O542">
        <v>2.65</v>
      </c>
      <c r="P542">
        <v>2.73</v>
      </c>
      <c r="Q542">
        <v>3.15</v>
      </c>
      <c r="R542">
        <v>2.75</v>
      </c>
      <c r="S542">
        <v>0.35800344234079179</v>
      </c>
      <c r="T542">
        <v>0.28399311531841653</v>
      </c>
      <c r="U542">
        <v>0.35800344234079179</v>
      </c>
      <c r="V542">
        <v>0.34933058702368691</v>
      </c>
      <c r="W542">
        <v>0.29474768280123581</v>
      </c>
      <c r="X542">
        <v>0.35592173017507728</v>
      </c>
      <c r="Y542">
        <v>0.34972445951674441</v>
      </c>
      <c r="Z542">
        <v>0.30309453158117844</v>
      </c>
      <c r="AA542">
        <v>0.34718100890207715</v>
      </c>
      <c r="AB542">
        <v>0.35235282962707437</v>
      </c>
      <c r="AC542">
        <v>0.29394510990027695</v>
      </c>
      <c r="AD542">
        <v>0.35370206047264879</v>
      </c>
      <c r="AE542" t="s">
        <v>58</v>
      </c>
      <c r="AF542" t="s">
        <v>26</v>
      </c>
      <c r="AG542">
        <v>77.8</v>
      </c>
      <c r="AH542">
        <v>31</v>
      </c>
      <c r="AI542">
        <v>13</v>
      </c>
      <c r="AJ542">
        <v>7</v>
      </c>
      <c r="AK542">
        <v>26.9</v>
      </c>
      <c r="AL542">
        <v>243</v>
      </c>
      <c r="AM542">
        <v>2873</v>
      </c>
      <c r="AN542">
        <v>75</v>
      </c>
      <c r="AO542">
        <v>72</v>
      </c>
      <c r="AP542">
        <v>73</v>
      </c>
      <c r="AQ542">
        <v>3.5</v>
      </c>
      <c r="AR542" t="s">
        <v>46</v>
      </c>
      <c r="AS542" t="s">
        <v>274</v>
      </c>
      <c r="AT542" t="s">
        <v>26</v>
      </c>
      <c r="AU542">
        <v>287.75</v>
      </c>
      <c r="AV542">
        <v>31</v>
      </c>
      <c r="AW542">
        <v>20</v>
      </c>
      <c r="AX542">
        <v>11</v>
      </c>
      <c r="AY542">
        <v>25.4</v>
      </c>
      <c r="AZ542">
        <v>65</v>
      </c>
      <c r="BA542">
        <v>5919</v>
      </c>
      <c r="BB542">
        <v>78</v>
      </c>
      <c r="BC542">
        <v>78</v>
      </c>
      <c r="BD542">
        <v>77</v>
      </c>
      <c r="BE542">
        <v>4</v>
      </c>
      <c r="BF542" t="s">
        <v>46</v>
      </c>
      <c r="BG542">
        <v>-9</v>
      </c>
      <c r="BH542">
        <v>2</v>
      </c>
      <c r="BI542">
        <v>0</v>
      </c>
      <c r="BJ542" t="s">
        <v>273</v>
      </c>
      <c r="BK542">
        <v>0.36109999999999998</v>
      </c>
      <c r="BL542">
        <v>0.53659999999999997</v>
      </c>
      <c r="BM542">
        <v>1.47</v>
      </c>
      <c r="BN542">
        <v>1.88</v>
      </c>
    </row>
    <row r="543" spans="1:66" x14ac:dyDescent="0.25">
      <c r="A543">
        <v>3</v>
      </c>
      <c r="B543">
        <v>-1</v>
      </c>
      <c r="C543">
        <v>3</v>
      </c>
      <c r="D543">
        <v>1.7423333333333335</v>
      </c>
      <c r="E543">
        <v>3.8833333333333333</v>
      </c>
      <c r="F543">
        <v>4.6333333333333329</v>
      </c>
      <c r="G543" s="40">
        <v>0.35</v>
      </c>
      <c r="H543" s="40">
        <v>0.44</v>
      </c>
      <c r="I543" s="40">
        <v>0.21000000000000002</v>
      </c>
      <c r="J543">
        <v>1.7270000000000001</v>
      </c>
      <c r="K543">
        <v>3.85</v>
      </c>
      <c r="L543">
        <v>4.5</v>
      </c>
      <c r="M543">
        <v>1.75</v>
      </c>
      <c r="N543">
        <v>3.9</v>
      </c>
      <c r="O543">
        <v>4.7</v>
      </c>
      <c r="P543">
        <v>1.75</v>
      </c>
      <c r="Q543">
        <v>3.9</v>
      </c>
      <c r="R543">
        <v>4.7</v>
      </c>
      <c r="S543">
        <v>0.57125807226705083</v>
      </c>
      <c r="T543">
        <v>0.20950577422068314</v>
      </c>
      <c r="U543">
        <v>0.21923615351226594</v>
      </c>
      <c r="V543">
        <v>0.54913121629718398</v>
      </c>
      <c r="W543">
        <v>0.24640503295386457</v>
      </c>
      <c r="X543">
        <v>0.20446375074895146</v>
      </c>
      <c r="Y543">
        <v>0.54913121629718398</v>
      </c>
      <c r="Z543">
        <v>0.24640503295386457</v>
      </c>
      <c r="AA543">
        <v>0.20446375074895146</v>
      </c>
      <c r="AB543">
        <v>0.55650683495380626</v>
      </c>
      <c r="AC543">
        <v>0.23410528004280409</v>
      </c>
      <c r="AD543">
        <v>0.20938788500338959</v>
      </c>
      <c r="AE543" t="s">
        <v>51</v>
      </c>
      <c r="AF543" t="s">
        <v>26</v>
      </c>
      <c r="AG543">
        <v>231.25</v>
      </c>
      <c r="AH543">
        <v>32</v>
      </c>
      <c r="AI543">
        <v>21</v>
      </c>
      <c r="AJ543">
        <v>12</v>
      </c>
      <c r="AK543">
        <v>25.4</v>
      </c>
      <c r="AL543">
        <v>45</v>
      </c>
      <c r="AM543">
        <v>6714</v>
      </c>
      <c r="AN543">
        <v>79</v>
      </c>
      <c r="AO543">
        <v>77</v>
      </c>
      <c r="AP543">
        <v>75</v>
      </c>
      <c r="AQ543">
        <v>4</v>
      </c>
      <c r="AR543" t="s">
        <v>46</v>
      </c>
      <c r="AS543" t="s">
        <v>59</v>
      </c>
      <c r="AT543" t="s">
        <v>26</v>
      </c>
      <c r="AU543">
        <v>137.05000000000001</v>
      </c>
      <c r="AV543">
        <v>28</v>
      </c>
      <c r="AW543">
        <v>15</v>
      </c>
      <c r="AX543">
        <v>8</v>
      </c>
      <c r="AY543">
        <v>26.3</v>
      </c>
      <c r="AZ543">
        <v>258</v>
      </c>
      <c r="BA543">
        <v>2751</v>
      </c>
      <c r="BB543">
        <v>77</v>
      </c>
      <c r="BC543">
        <v>76</v>
      </c>
      <c r="BD543">
        <v>75</v>
      </c>
      <c r="BE543">
        <v>4</v>
      </c>
      <c r="BF543" t="s">
        <v>29</v>
      </c>
      <c r="BG543">
        <v>-18</v>
      </c>
      <c r="BH543">
        <v>85</v>
      </c>
      <c r="BI543">
        <v>0.30099999999999999</v>
      </c>
      <c r="BJ543" t="s">
        <v>273</v>
      </c>
      <c r="BK543">
        <v>0.47220000000000001</v>
      </c>
      <c r="BL543">
        <v>0.2286</v>
      </c>
      <c r="BM543">
        <v>2</v>
      </c>
      <c r="BN543">
        <v>1.29</v>
      </c>
    </row>
    <row r="544" spans="1:66" x14ac:dyDescent="0.25">
      <c r="A544">
        <v>2</v>
      </c>
      <c r="B544">
        <v>0</v>
      </c>
      <c r="C544">
        <v>2</v>
      </c>
      <c r="D544">
        <v>3.9499999999999997</v>
      </c>
      <c r="E544">
        <v>3.75</v>
      </c>
      <c r="F544">
        <v>1.8800000000000001</v>
      </c>
      <c r="G544" s="40">
        <v>0.44</v>
      </c>
      <c r="H544" s="40">
        <v>0.35</v>
      </c>
      <c r="I544" s="40">
        <v>0.21000000000000008</v>
      </c>
      <c r="J544">
        <v>4</v>
      </c>
      <c r="K544">
        <v>3.75</v>
      </c>
      <c r="L544">
        <v>1.86</v>
      </c>
      <c r="M544">
        <v>3.85</v>
      </c>
      <c r="N544">
        <v>3.75</v>
      </c>
      <c r="O544">
        <v>1.9</v>
      </c>
      <c r="P544">
        <v>4</v>
      </c>
      <c r="Q544">
        <v>3.75</v>
      </c>
      <c r="R544">
        <v>1.88</v>
      </c>
      <c r="S544">
        <v>0.24699034684562907</v>
      </c>
      <c r="T544">
        <v>0.22184761692721175</v>
      </c>
      <c r="U544">
        <v>0.53116203622715918</v>
      </c>
      <c r="V544">
        <v>0.24673188468530863</v>
      </c>
      <c r="W544">
        <v>0.25331140161025018</v>
      </c>
      <c r="X544">
        <v>0.49995671370444117</v>
      </c>
      <c r="Y544">
        <v>0.23841731484612785</v>
      </c>
      <c r="Z544">
        <v>0.25431180250253638</v>
      </c>
      <c r="AA544">
        <v>0.50727088265133591</v>
      </c>
      <c r="AB544">
        <v>0.24404651545902187</v>
      </c>
      <c r="AC544">
        <v>0.24315694034666613</v>
      </c>
      <c r="AD544">
        <v>0.51279654419431209</v>
      </c>
      <c r="AE544" t="s">
        <v>55</v>
      </c>
      <c r="AF544" t="s">
        <v>26</v>
      </c>
      <c r="AG544">
        <v>125.15</v>
      </c>
      <c r="AH544">
        <v>26</v>
      </c>
      <c r="AI544">
        <v>9</v>
      </c>
      <c r="AJ544">
        <v>7</v>
      </c>
      <c r="AK544">
        <v>25.4</v>
      </c>
      <c r="AL544">
        <v>213</v>
      </c>
      <c r="AM544">
        <v>3138</v>
      </c>
      <c r="AN544">
        <v>75</v>
      </c>
      <c r="AO544">
        <v>75</v>
      </c>
      <c r="AP544">
        <v>73</v>
      </c>
      <c r="AQ544">
        <v>3.5</v>
      </c>
      <c r="AR544" t="s">
        <v>29</v>
      </c>
      <c r="AS544" t="s">
        <v>25</v>
      </c>
      <c r="AT544" t="s">
        <v>26</v>
      </c>
      <c r="AU544">
        <v>505.55</v>
      </c>
      <c r="AV544">
        <v>28</v>
      </c>
      <c r="AW544">
        <v>21</v>
      </c>
      <c r="AX544">
        <v>16</v>
      </c>
      <c r="AY544">
        <v>24.1</v>
      </c>
      <c r="AZ544">
        <v>16</v>
      </c>
      <c r="BA544">
        <v>9221</v>
      </c>
      <c r="BB544">
        <v>78</v>
      </c>
      <c r="BC544">
        <v>81</v>
      </c>
      <c r="BD544">
        <v>80</v>
      </c>
      <c r="BE544">
        <v>4.5</v>
      </c>
      <c r="BF544" t="s">
        <v>29</v>
      </c>
      <c r="BG544">
        <v>-11</v>
      </c>
      <c r="BH544">
        <v>14</v>
      </c>
      <c r="BI544">
        <v>0.33300000000000002</v>
      </c>
      <c r="BJ544" t="s">
        <v>273</v>
      </c>
      <c r="BK544">
        <v>0.36109999999999998</v>
      </c>
      <c r="BL544">
        <v>0.58330000000000004</v>
      </c>
      <c r="BM544">
        <v>1.5</v>
      </c>
      <c r="BN544">
        <v>1.79</v>
      </c>
    </row>
    <row r="545" spans="1:66" x14ac:dyDescent="0.25">
      <c r="A545">
        <v>2</v>
      </c>
      <c r="B545">
        <v>0</v>
      </c>
      <c r="C545">
        <v>2</v>
      </c>
      <c r="D545">
        <v>1.5210000000000001</v>
      </c>
      <c r="E545">
        <v>4.583333333333333</v>
      </c>
      <c r="F545">
        <v>5.6333333333333329</v>
      </c>
      <c r="G545" s="40">
        <v>0.39</v>
      </c>
      <c r="H545" s="40">
        <v>0.41</v>
      </c>
      <c r="I545" s="40">
        <v>0.2</v>
      </c>
      <c r="J545">
        <v>1.5</v>
      </c>
      <c r="K545">
        <v>4.5999999999999996</v>
      </c>
      <c r="L545">
        <v>5.8</v>
      </c>
      <c r="M545">
        <v>1.5329999999999999</v>
      </c>
      <c r="N545">
        <v>4.5</v>
      </c>
      <c r="O545">
        <v>5.5</v>
      </c>
      <c r="P545">
        <v>1.53</v>
      </c>
      <c r="Q545">
        <v>4.6500000000000004</v>
      </c>
      <c r="R545">
        <v>5.6</v>
      </c>
      <c r="S545">
        <v>0.66406643180674385</v>
      </c>
      <c r="T545">
        <v>0.16419224962254658</v>
      </c>
      <c r="U545">
        <v>0.17174131857070962</v>
      </c>
      <c r="V545">
        <v>0.61751497005988021</v>
      </c>
      <c r="W545">
        <v>0.21036676646706587</v>
      </c>
      <c r="X545">
        <v>0.17211826347305387</v>
      </c>
      <c r="Y545">
        <v>0.62412367427646953</v>
      </c>
      <c r="Z545">
        <v>0.20535682185870932</v>
      </c>
      <c r="AA545">
        <v>0.17051950386482118</v>
      </c>
      <c r="AB545">
        <v>0.63523502538103116</v>
      </c>
      <c r="AC545">
        <v>0.19330527931610728</v>
      </c>
      <c r="AD545">
        <v>0.17145969530286154</v>
      </c>
      <c r="AE545" t="s">
        <v>52</v>
      </c>
      <c r="AF545" t="s">
        <v>26</v>
      </c>
      <c r="AG545">
        <v>300</v>
      </c>
      <c r="AH545">
        <v>28</v>
      </c>
      <c r="AI545">
        <v>15</v>
      </c>
      <c r="AJ545">
        <v>11</v>
      </c>
      <c r="AK545">
        <v>25.4</v>
      </c>
      <c r="AL545">
        <v>76</v>
      </c>
      <c r="AM545">
        <v>5412</v>
      </c>
      <c r="AN545">
        <v>78</v>
      </c>
      <c r="AO545">
        <v>79</v>
      </c>
      <c r="AP545">
        <v>80</v>
      </c>
      <c r="AQ545">
        <v>4.5</v>
      </c>
      <c r="AR545" t="s">
        <v>29</v>
      </c>
      <c r="AS545" t="s">
        <v>61</v>
      </c>
      <c r="AT545" t="s">
        <v>26</v>
      </c>
      <c r="AU545">
        <v>169.63</v>
      </c>
      <c r="AV545">
        <v>33</v>
      </c>
      <c r="AW545">
        <v>18</v>
      </c>
      <c r="AX545">
        <v>4</v>
      </c>
      <c r="AY545">
        <v>23.3</v>
      </c>
      <c r="AZ545">
        <v>671</v>
      </c>
      <c r="BA545">
        <v>828</v>
      </c>
      <c r="BB545">
        <v>74</v>
      </c>
      <c r="BC545">
        <v>73</v>
      </c>
      <c r="BD545">
        <v>72</v>
      </c>
      <c r="BE545">
        <v>3.5</v>
      </c>
      <c r="BF545" t="s">
        <v>29</v>
      </c>
      <c r="BG545">
        <v>-22</v>
      </c>
      <c r="BH545">
        <v>131</v>
      </c>
      <c r="BI545">
        <v>0.32700000000000001</v>
      </c>
      <c r="BJ545" t="s">
        <v>273</v>
      </c>
      <c r="BK545">
        <v>0.60780000000000001</v>
      </c>
      <c r="BL545">
        <v>0.37840000000000001</v>
      </c>
      <c r="BM545">
        <v>2.27</v>
      </c>
      <c r="BN545">
        <v>1.59</v>
      </c>
    </row>
    <row r="546" spans="1:66" x14ac:dyDescent="0.25">
      <c r="A546">
        <v>1</v>
      </c>
      <c r="B546">
        <v>2</v>
      </c>
      <c r="C546">
        <v>4</v>
      </c>
      <c r="D546">
        <v>1.4133333333333333</v>
      </c>
      <c r="E546">
        <v>4.95</v>
      </c>
      <c r="F546">
        <v>6.95</v>
      </c>
      <c r="G546" s="40">
        <v>0.56999999999999995</v>
      </c>
      <c r="H546" s="40">
        <v>0.23</v>
      </c>
      <c r="I546" s="40">
        <v>0.20000000000000004</v>
      </c>
      <c r="J546">
        <v>1.44</v>
      </c>
      <c r="K546">
        <v>4.75</v>
      </c>
      <c r="L546">
        <v>6.75</v>
      </c>
      <c r="M546">
        <v>1.4</v>
      </c>
      <c r="N546">
        <v>5</v>
      </c>
      <c r="O546">
        <v>7</v>
      </c>
      <c r="P546">
        <v>1.4</v>
      </c>
      <c r="Q546">
        <v>5.0999999999999996</v>
      </c>
      <c r="R546">
        <v>7.1</v>
      </c>
      <c r="S546">
        <v>0.69796624428700393</v>
      </c>
      <c r="T546">
        <v>0.15313429026510195</v>
      </c>
      <c r="U546">
        <v>0.14889946544789417</v>
      </c>
      <c r="V546">
        <v>0.67567567567567566</v>
      </c>
      <c r="W546">
        <v>0.18918918918918917</v>
      </c>
      <c r="X546">
        <v>0.13513513513513511</v>
      </c>
      <c r="Y546">
        <v>0.67948958528804648</v>
      </c>
      <c r="Z546">
        <v>0.18652655282416961</v>
      </c>
      <c r="AA546">
        <v>0.1339838618877838</v>
      </c>
      <c r="AB546">
        <v>0.68437716841690877</v>
      </c>
      <c r="AC546">
        <v>0.17628334409282023</v>
      </c>
      <c r="AD546">
        <v>0.13933948749027103</v>
      </c>
      <c r="AE546" t="s">
        <v>50</v>
      </c>
      <c r="AF546" t="s">
        <v>26</v>
      </c>
      <c r="AG546">
        <v>565.79999999999995</v>
      </c>
      <c r="AH546">
        <v>33</v>
      </c>
      <c r="AI546">
        <v>18</v>
      </c>
      <c r="AJ546">
        <v>17</v>
      </c>
      <c r="AK546">
        <v>24.7</v>
      </c>
      <c r="AL546">
        <v>36</v>
      </c>
      <c r="AM546">
        <v>7276</v>
      </c>
      <c r="AN546">
        <v>87</v>
      </c>
      <c r="AO546">
        <v>81</v>
      </c>
      <c r="AP546">
        <v>81</v>
      </c>
      <c r="AQ546">
        <v>4.5</v>
      </c>
      <c r="AR546" t="s">
        <v>29</v>
      </c>
      <c r="AS546" t="s">
        <v>57</v>
      </c>
      <c r="AT546" t="s">
        <v>26</v>
      </c>
      <c r="AU546">
        <v>100.5</v>
      </c>
      <c r="AV546">
        <v>25</v>
      </c>
      <c r="AW546">
        <v>13</v>
      </c>
      <c r="AX546">
        <v>6</v>
      </c>
      <c r="AY546">
        <v>25.5</v>
      </c>
      <c r="AZ546">
        <v>234</v>
      </c>
      <c r="BA546">
        <v>2973</v>
      </c>
      <c r="BB546">
        <v>72</v>
      </c>
      <c r="BC546">
        <v>73</v>
      </c>
      <c r="BD546">
        <v>73</v>
      </c>
      <c r="BE546">
        <v>3.5</v>
      </c>
      <c r="BF546" t="s">
        <v>46</v>
      </c>
      <c r="BG546">
        <v>24</v>
      </c>
      <c r="BH546">
        <v>59</v>
      </c>
      <c r="BI546">
        <v>0.56699999999999995</v>
      </c>
      <c r="BJ546" t="s">
        <v>273</v>
      </c>
      <c r="BK546">
        <v>0.60780000000000001</v>
      </c>
      <c r="BL546">
        <v>0.30559999999999998</v>
      </c>
      <c r="BM546">
        <v>2.27</v>
      </c>
      <c r="BN546">
        <v>1.28</v>
      </c>
    </row>
    <row r="547" spans="1:66" x14ac:dyDescent="0.25">
      <c r="A547">
        <v>3</v>
      </c>
      <c r="B547">
        <v>-3</v>
      </c>
      <c r="C547">
        <v>5</v>
      </c>
      <c r="D547">
        <v>4.833333333333333</v>
      </c>
      <c r="E547">
        <v>4.5333333333333332</v>
      </c>
      <c r="F547">
        <v>1.5903333333333334</v>
      </c>
      <c r="G547" s="40">
        <v>0.28000000000000003</v>
      </c>
      <c r="H547" s="40">
        <v>0.28999999999999998</v>
      </c>
      <c r="I547" s="40">
        <v>0.43</v>
      </c>
      <c r="J547">
        <v>4.9000000000000004</v>
      </c>
      <c r="K547">
        <v>4.5</v>
      </c>
      <c r="L547">
        <v>1.6</v>
      </c>
      <c r="M547">
        <v>4.75</v>
      </c>
      <c r="N547">
        <v>4.5</v>
      </c>
      <c r="O547">
        <v>1.571</v>
      </c>
      <c r="P547">
        <v>4.8499999999999996</v>
      </c>
      <c r="Q547">
        <v>4.5999999999999996</v>
      </c>
      <c r="R547">
        <v>1.6</v>
      </c>
      <c r="S547">
        <v>0.20295478286822863</v>
      </c>
      <c r="T547">
        <v>0.17549619459782126</v>
      </c>
      <c r="U547">
        <v>0.62154902253395017</v>
      </c>
      <c r="V547">
        <v>0.19688498680610189</v>
      </c>
      <c r="W547">
        <v>0.20782304162866311</v>
      </c>
      <c r="X547">
        <v>0.59529197156523495</v>
      </c>
      <c r="Y547">
        <v>0.19663371627037141</v>
      </c>
      <c r="Z547">
        <v>0.2073203312850655</v>
      </c>
      <c r="AA547">
        <v>0.59604595244456327</v>
      </c>
      <c r="AB547">
        <v>0.19882449531490065</v>
      </c>
      <c r="AC547">
        <v>0.19687985583718329</v>
      </c>
      <c r="AD547">
        <v>0.6042956488479162</v>
      </c>
      <c r="AE547" t="s">
        <v>49</v>
      </c>
      <c r="AF547" t="s">
        <v>26</v>
      </c>
      <c r="AG547">
        <v>352.75</v>
      </c>
      <c r="AH547">
        <v>27</v>
      </c>
      <c r="AI547">
        <v>19</v>
      </c>
      <c r="AJ547">
        <v>15</v>
      </c>
      <c r="AK547">
        <v>24.7</v>
      </c>
      <c r="AL547">
        <v>22</v>
      </c>
      <c r="AM547">
        <v>8083</v>
      </c>
      <c r="AN547">
        <v>78</v>
      </c>
      <c r="AO547">
        <v>78</v>
      </c>
      <c r="AP547">
        <v>78</v>
      </c>
      <c r="AQ547">
        <v>4.5</v>
      </c>
      <c r="AR547" t="s">
        <v>46</v>
      </c>
      <c r="AS547" t="s">
        <v>31</v>
      </c>
      <c r="AT547" t="s">
        <v>26</v>
      </c>
      <c r="AU547">
        <v>852.4</v>
      </c>
      <c r="AV547">
        <v>25</v>
      </c>
      <c r="AW547">
        <v>15</v>
      </c>
      <c r="AX547">
        <v>17</v>
      </c>
      <c r="AY547">
        <v>26.1</v>
      </c>
      <c r="AZ547">
        <v>6</v>
      </c>
      <c r="BA547">
        <v>10885</v>
      </c>
      <c r="BB547">
        <v>92</v>
      </c>
      <c r="BC547">
        <v>85</v>
      </c>
      <c r="BD547">
        <v>82</v>
      </c>
      <c r="BE547">
        <v>5</v>
      </c>
      <c r="BF547" t="s">
        <v>29</v>
      </c>
      <c r="BG547">
        <v>-77</v>
      </c>
      <c r="BH547">
        <v>73</v>
      </c>
      <c r="BI547">
        <v>0.20399999999999999</v>
      </c>
      <c r="BJ547" t="s">
        <v>273</v>
      </c>
      <c r="BK547">
        <v>0.4667</v>
      </c>
      <c r="BL547">
        <v>0.72919999999999996</v>
      </c>
      <c r="BM547">
        <v>1.98</v>
      </c>
      <c r="BN547">
        <v>2.83</v>
      </c>
    </row>
    <row r="548" spans="1:66" x14ac:dyDescent="0.25">
      <c r="A548">
        <v>1</v>
      </c>
      <c r="B548">
        <v>1</v>
      </c>
      <c r="C548">
        <v>5</v>
      </c>
      <c r="D548">
        <v>2.2033333333333331</v>
      </c>
      <c r="E548">
        <v>3.2333333333333329</v>
      </c>
      <c r="F548">
        <v>3.2166666666666668</v>
      </c>
      <c r="G548" s="40">
        <v>0.41</v>
      </c>
      <c r="H548" s="40">
        <v>0.33</v>
      </c>
      <c r="I548" s="40">
        <v>0.26000000000000006</v>
      </c>
      <c r="J548">
        <v>2.1</v>
      </c>
      <c r="K548">
        <v>3.15</v>
      </c>
      <c r="L548">
        <v>3.25</v>
      </c>
      <c r="M548">
        <v>2.25</v>
      </c>
      <c r="N548">
        <v>3.25</v>
      </c>
      <c r="O548">
        <v>3.2</v>
      </c>
      <c r="P548">
        <v>2.2599999999999998</v>
      </c>
      <c r="Q548">
        <v>3.3</v>
      </c>
      <c r="R548">
        <v>3.2</v>
      </c>
      <c r="S548">
        <v>0.44463718783752826</v>
      </c>
      <c r="T548">
        <v>0.26805878309822279</v>
      </c>
      <c r="U548">
        <v>0.28730402906424901</v>
      </c>
      <c r="V548">
        <v>0.41746111389864521</v>
      </c>
      <c r="W548">
        <v>0.28901154039136978</v>
      </c>
      <c r="X548">
        <v>0.2935273457099849</v>
      </c>
      <c r="Y548">
        <v>0.41821782178217831</v>
      </c>
      <c r="Z548">
        <v>0.28641584158415845</v>
      </c>
      <c r="AA548">
        <v>0.29536633663366341</v>
      </c>
      <c r="AB548">
        <v>0.42677204117278394</v>
      </c>
      <c r="AC548">
        <v>0.28116205502458369</v>
      </c>
      <c r="AD548">
        <v>0.29206590380263248</v>
      </c>
      <c r="AE548" t="s">
        <v>93</v>
      </c>
      <c r="AF548" t="s">
        <v>85</v>
      </c>
      <c r="AG548">
        <v>19.079999999999998</v>
      </c>
      <c r="AH548">
        <v>33</v>
      </c>
      <c r="AI548">
        <v>5</v>
      </c>
      <c r="AJ548">
        <v>0</v>
      </c>
      <c r="AK548">
        <v>25.7</v>
      </c>
      <c r="AL548">
        <v>100</v>
      </c>
      <c r="AM548">
        <v>4829</v>
      </c>
      <c r="AN548">
        <v>72</v>
      </c>
      <c r="AO548">
        <v>70</v>
      </c>
      <c r="AP548">
        <v>67</v>
      </c>
      <c r="AQ548">
        <v>3</v>
      </c>
      <c r="AR548" t="s">
        <v>29</v>
      </c>
      <c r="AS548" t="s">
        <v>104</v>
      </c>
      <c r="AT548" t="s">
        <v>85</v>
      </c>
      <c r="AU548">
        <v>8.68</v>
      </c>
      <c r="AV548">
        <v>32</v>
      </c>
      <c r="AW548">
        <v>5</v>
      </c>
      <c r="AX548">
        <v>0</v>
      </c>
      <c r="AY548">
        <v>27.6</v>
      </c>
      <c r="AZ548">
        <v>277</v>
      </c>
      <c r="BA548">
        <v>2592</v>
      </c>
      <c r="BB548">
        <v>65</v>
      </c>
      <c r="BC548">
        <v>66</v>
      </c>
      <c r="BD548">
        <v>66</v>
      </c>
      <c r="BE548">
        <v>2.5</v>
      </c>
      <c r="BF548" t="s">
        <v>43</v>
      </c>
      <c r="BG548">
        <v>2</v>
      </c>
      <c r="BH548">
        <v>17</v>
      </c>
      <c r="BI548">
        <v>0.41699999999999998</v>
      </c>
      <c r="BJ548" t="s">
        <v>85</v>
      </c>
      <c r="BK548">
        <v>0.38890000000000002</v>
      </c>
      <c r="BL548">
        <v>0.1842</v>
      </c>
      <c r="BM548">
        <v>1.36</v>
      </c>
      <c r="BN548">
        <v>0.84</v>
      </c>
    </row>
    <row r="549" spans="1:66" x14ac:dyDescent="0.25">
      <c r="A549">
        <v>1</v>
      </c>
      <c r="B549">
        <v>1</v>
      </c>
      <c r="C549">
        <v>3</v>
      </c>
      <c r="D549">
        <v>2.4933333333333336</v>
      </c>
      <c r="E549">
        <v>3.0833333333333335</v>
      </c>
      <c r="F549">
        <v>2.8766666666666665</v>
      </c>
      <c r="G549" s="40">
        <v>0.31</v>
      </c>
      <c r="H549" s="40">
        <v>0.4</v>
      </c>
      <c r="I549" s="40">
        <v>0.28999999999999992</v>
      </c>
      <c r="J549">
        <v>2.4500000000000002</v>
      </c>
      <c r="K549">
        <v>3.05</v>
      </c>
      <c r="L549">
        <v>2.75</v>
      </c>
      <c r="M549">
        <v>2.5</v>
      </c>
      <c r="N549">
        <v>3.1</v>
      </c>
      <c r="O549">
        <v>2.95</v>
      </c>
      <c r="P549">
        <v>2.5299999999999998</v>
      </c>
      <c r="Q549">
        <v>3.1</v>
      </c>
      <c r="R549">
        <v>2.93</v>
      </c>
      <c r="S549">
        <v>0.37974683544303794</v>
      </c>
      <c r="T549">
        <v>0.28193325661680091</v>
      </c>
      <c r="U549">
        <v>0.33831990794016109</v>
      </c>
      <c r="V549">
        <v>0.37680263700041206</v>
      </c>
      <c r="W549">
        <v>0.30387309435517101</v>
      </c>
      <c r="X549">
        <v>0.31932426864441699</v>
      </c>
      <c r="Y549">
        <v>0.37318859932042941</v>
      </c>
      <c r="Z549">
        <v>0.30457005041312463</v>
      </c>
      <c r="AA549">
        <v>0.32224135026644585</v>
      </c>
      <c r="AB549">
        <v>0.37657935725462649</v>
      </c>
      <c r="AC549">
        <v>0.29679213379503216</v>
      </c>
      <c r="AD549">
        <v>0.32662850895034129</v>
      </c>
      <c r="AE549" t="s">
        <v>94</v>
      </c>
      <c r="AF549" t="s">
        <v>85</v>
      </c>
      <c r="AG549">
        <v>28.25</v>
      </c>
      <c r="AH549">
        <v>30</v>
      </c>
      <c r="AI549">
        <v>5</v>
      </c>
      <c r="AJ549">
        <v>0</v>
      </c>
      <c r="AK549">
        <v>26.1</v>
      </c>
      <c r="AL549">
        <v>126</v>
      </c>
      <c r="AM549">
        <v>4236</v>
      </c>
      <c r="AN549">
        <v>74</v>
      </c>
      <c r="AO549">
        <v>71</v>
      </c>
      <c r="AP549">
        <v>71</v>
      </c>
      <c r="AQ549">
        <v>3.5</v>
      </c>
      <c r="AR549" t="s">
        <v>28</v>
      </c>
      <c r="AS549" t="s">
        <v>97</v>
      </c>
      <c r="AT549" t="s">
        <v>85</v>
      </c>
      <c r="AU549">
        <v>28.93</v>
      </c>
      <c r="AV549">
        <v>23</v>
      </c>
      <c r="AW549">
        <v>4</v>
      </c>
      <c r="AX549">
        <v>0</v>
      </c>
      <c r="AY549">
        <v>26.5</v>
      </c>
      <c r="AZ549">
        <v>151</v>
      </c>
      <c r="BA549">
        <v>3948</v>
      </c>
      <c r="BB549">
        <v>69</v>
      </c>
      <c r="BC549">
        <v>72</v>
      </c>
      <c r="BD549">
        <v>69</v>
      </c>
      <c r="BE549">
        <v>3</v>
      </c>
      <c r="BF549" t="s">
        <v>29</v>
      </c>
      <c r="BG549">
        <v>1</v>
      </c>
      <c r="BH549">
        <v>11</v>
      </c>
      <c r="BI549">
        <v>0.42899999999999999</v>
      </c>
      <c r="BJ549" t="s">
        <v>85</v>
      </c>
      <c r="BK549">
        <v>0.4239</v>
      </c>
      <c r="BL549">
        <v>0.2571</v>
      </c>
      <c r="BM549">
        <v>1.29</v>
      </c>
      <c r="BN549">
        <v>0.83</v>
      </c>
    </row>
    <row r="550" spans="1:66" x14ac:dyDescent="0.25">
      <c r="A550">
        <v>1</v>
      </c>
      <c r="B550">
        <v>1</v>
      </c>
      <c r="C550">
        <v>1</v>
      </c>
      <c r="D550">
        <v>2.2399999999999998</v>
      </c>
      <c r="E550">
        <v>3.2333333333333329</v>
      </c>
      <c r="F550">
        <v>3.1833333333333336</v>
      </c>
      <c r="G550" s="40">
        <v>0.37</v>
      </c>
      <c r="H550" s="40">
        <v>0.41</v>
      </c>
      <c r="I550" s="40">
        <v>0.22000000000000003</v>
      </c>
      <c r="J550">
        <v>2.12</v>
      </c>
      <c r="K550">
        <v>3.25</v>
      </c>
      <c r="L550">
        <v>3.15</v>
      </c>
      <c r="M550">
        <v>2.2999999999999998</v>
      </c>
      <c r="N550">
        <v>3.25</v>
      </c>
      <c r="O550">
        <v>3.2</v>
      </c>
      <c r="P550">
        <v>2.2999999999999998</v>
      </c>
      <c r="Q550">
        <v>3.2</v>
      </c>
      <c r="R550">
        <v>3.2</v>
      </c>
      <c r="S550">
        <v>0.44178487574861403</v>
      </c>
      <c r="T550">
        <v>0.26088689041422342</v>
      </c>
      <c r="U550">
        <v>0.2973282338371625</v>
      </c>
      <c r="V550">
        <v>0.41212601545472555</v>
      </c>
      <c r="W550">
        <v>0.29165841093719036</v>
      </c>
      <c r="X550">
        <v>0.29621557360808398</v>
      </c>
      <c r="Y550">
        <v>0.41025641025641024</v>
      </c>
      <c r="Z550">
        <v>0.29487179487179482</v>
      </c>
      <c r="AA550">
        <v>0.29487179487179482</v>
      </c>
      <c r="AB550">
        <v>0.42138910048658329</v>
      </c>
      <c r="AC550">
        <v>0.28247236540773618</v>
      </c>
      <c r="AD550">
        <v>0.29613853410568042</v>
      </c>
      <c r="AE550" t="s">
        <v>100</v>
      </c>
      <c r="AF550" t="s">
        <v>85</v>
      </c>
      <c r="AG550">
        <v>15.1</v>
      </c>
      <c r="AH550">
        <v>31</v>
      </c>
      <c r="AI550">
        <v>4</v>
      </c>
      <c r="AJ550">
        <v>0</v>
      </c>
      <c r="AK550">
        <v>26.5</v>
      </c>
      <c r="AL550">
        <v>224</v>
      </c>
      <c r="AM550">
        <v>3048</v>
      </c>
      <c r="AN550">
        <v>69</v>
      </c>
      <c r="AO550">
        <v>68</v>
      </c>
      <c r="AP550">
        <v>68</v>
      </c>
      <c r="AQ550">
        <v>2.5</v>
      </c>
      <c r="AR550" t="s">
        <v>46</v>
      </c>
      <c r="AS550" t="s">
        <v>96</v>
      </c>
      <c r="AT550" t="s">
        <v>85</v>
      </c>
      <c r="AU550">
        <v>21.6</v>
      </c>
      <c r="AV550">
        <v>31</v>
      </c>
      <c r="AW550">
        <v>2</v>
      </c>
      <c r="AX550">
        <v>0</v>
      </c>
      <c r="AY550">
        <v>26.5</v>
      </c>
      <c r="AZ550">
        <v>146</v>
      </c>
      <c r="BA550">
        <v>4001</v>
      </c>
      <c r="BB550">
        <v>70</v>
      </c>
      <c r="BC550">
        <v>69</v>
      </c>
      <c r="BD550">
        <v>71</v>
      </c>
      <c r="BE550">
        <v>3.5</v>
      </c>
      <c r="BF550" t="s">
        <v>29</v>
      </c>
      <c r="BG550">
        <v>-3</v>
      </c>
      <c r="BH550">
        <v>5</v>
      </c>
      <c r="BI550">
        <v>0.125</v>
      </c>
      <c r="BJ550" t="s">
        <v>85</v>
      </c>
      <c r="BK550">
        <v>0.31580000000000003</v>
      </c>
      <c r="BL550">
        <v>0.43240000000000001</v>
      </c>
      <c r="BM550">
        <v>1.21</v>
      </c>
      <c r="BN550">
        <v>1.46</v>
      </c>
    </row>
    <row r="551" spans="1:66" x14ac:dyDescent="0.25">
      <c r="A551">
        <v>2</v>
      </c>
      <c r="B551">
        <v>0</v>
      </c>
      <c r="C551">
        <v>2</v>
      </c>
      <c r="D551">
        <v>2.42</v>
      </c>
      <c r="E551">
        <v>3.2999999999999994</v>
      </c>
      <c r="F551">
        <v>2.793333333333333</v>
      </c>
      <c r="G551" s="40">
        <v>0.44</v>
      </c>
      <c r="H551" s="40">
        <v>0.31</v>
      </c>
      <c r="I551" s="40">
        <v>0.25000000000000006</v>
      </c>
      <c r="J551">
        <v>2.2999999999999998</v>
      </c>
      <c r="K551">
        <v>3.3</v>
      </c>
      <c r="L551">
        <v>2.75</v>
      </c>
      <c r="M551">
        <v>2.5</v>
      </c>
      <c r="N551">
        <v>3.3</v>
      </c>
      <c r="O551">
        <v>2.8</v>
      </c>
      <c r="P551">
        <v>2.46</v>
      </c>
      <c r="Q551">
        <v>3.3</v>
      </c>
      <c r="R551">
        <v>2.83</v>
      </c>
      <c r="S551">
        <v>0.40351475857362229</v>
      </c>
      <c r="T551">
        <v>0.25900017061934827</v>
      </c>
      <c r="U551">
        <v>0.33748507080702955</v>
      </c>
      <c r="V551">
        <v>0.37729685585953449</v>
      </c>
      <c r="W551">
        <v>0.28583095140873821</v>
      </c>
      <c r="X551">
        <v>0.33687219273172725</v>
      </c>
      <c r="Y551">
        <v>0.3824512261044769</v>
      </c>
      <c r="Z551">
        <v>0.28510000491424642</v>
      </c>
      <c r="AA551">
        <v>0.33244876898127673</v>
      </c>
      <c r="AB551">
        <v>0.38775428017921126</v>
      </c>
      <c r="AC551">
        <v>0.27664370898077761</v>
      </c>
      <c r="AD551">
        <v>0.33560201084001123</v>
      </c>
      <c r="AE551" t="s">
        <v>88</v>
      </c>
      <c r="AF551" t="s">
        <v>85</v>
      </c>
      <c r="AG551">
        <v>44.55</v>
      </c>
      <c r="AH551">
        <v>22</v>
      </c>
      <c r="AI551">
        <v>1</v>
      </c>
      <c r="AJ551">
        <v>1</v>
      </c>
      <c r="AK551">
        <v>25.7</v>
      </c>
      <c r="AL551">
        <v>69</v>
      </c>
      <c r="AM551">
        <v>5669</v>
      </c>
      <c r="AN551">
        <v>74</v>
      </c>
      <c r="AO551">
        <v>71</v>
      </c>
      <c r="AP551">
        <v>69</v>
      </c>
      <c r="AQ551">
        <v>3</v>
      </c>
      <c r="AR551" t="s">
        <v>29</v>
      </c>
      <c r="AS551" t="s">
        <v>102</v>
      </c>
      <c r="AT551" t="s">
        <v>85</v>
      </c>
      <c r="AU551">
        <v>27.13</v>
      </c>
      <c r="AV551">
        <v>27</v>
      </c>
      <c r="AW551">
        <v>2</v>
      </c>
      <c r="AX551">
        <v>0</v>
      </c>
      <c r="AY551">
        <v>25.3</v>
      </c>
      <c r="AZ551">
        <v>232</v>
      </c>
      <c r="BA551">
        <v>3005</v>
      </c>
      <c r="BB551">
        <v>65</v>
      </c>
      <c r="BC551">
        <v>70</v>
      </c>
      <c r="BD551">
        <v>65</v>
      </c>
      <c r="BE551">
        <v>3</v>
      </c>
      <c r="BF551" t="s">
        <v>46</v>
      </c>
      <c r="BG551">
        <v>-3</v>
      </c>
      <c r="BH551">
        <v>36</v>
      </c>
      <c r="BI551">
        <v>0.4</v>
      </c>
      <c r="BJ551" t="s">
        <v>85</v>
      </c>
      <c r="BK551">
        <v>0.41670000000000001</v>
      </c>
      <c r="BL551">
        <v>0.3846</v>
      </c>
      <c r="BM551">
        <v>1.54</v>
      </c>
      <c r="BN551">
        <v>1.1299999999999999</v>
      </c>
    </row>
    <row r="552" spans="1:66" x14ac:dyDescent="0.25">
      <c r="A552">
        <v>3</v>
      </c>
      <c r="B552">
        <v>-3</v>
      </c>
      <c r="C552">
        <v>3</v>
      </c>
      <c r="D552">
        <v>3.6</v>
      </c>
      <c r="E552">
        <v>3.1666666666666665</v>
      </c>
      <c r="F552">
        <v>2.1066666666666669</v>
      </c>
      <c r="G552" s="40">
        <v>0.24</v>
      </c>
      <c r="H552" s="40">
        <v>0.42</v>
      </c>
      <c r="I552" s="40">
        <v>0.34</v>
      </c>
      <c r="J552">
        <v>3.3</v>
      </c>
      <c r="K552">
        <v>3.1</v>
      </c>
      <c r="L552">
        <v>2.12</v>
      </c>
      <c r="M552">
        <v>3.75</v>
      </c>
      <c r="N552">
        <v>3.2</v>
      </c>
      <c r="O552">
        <v>2.1</v>
      </c>
      <c r="P552">
        <v>3.75</v>
      </c>
      <c r="Q552">
        <v>3.2</v>
      </c>
      <c r="R552">
        <v>2.1</v>
      </c>
      <c r="S552">
        <v>0.28442170291098567</v>
      </c>
      <c r="T552">
        <v>0.2728464010483293</v>
      </c>
      <c r="U552">
        <v>0.44273189604068514</v>
      </c>
      <c r="V552">
        <v>0.25267907501410036</v>
      </c>
      <c r="W552">
        <v>0.29610829103214886</v>
      </c>
      <c r="X552">
        <v>0.45121263395375061</v>
      </c>
      <c r="Y552">
        <v>0.25267907501410036</v>
      </c>
      <c r="Z552">
        <v>0.29610829103214886</v>
      </c>
      <c r="AA552">
        <v>0.45121263395375061</v>
      </c>
      <c r="AB552">
        <v>0.26325995097972882</v>
      </c>
      <c r="AC552">
        <v>0.28835432770420905</v>
      </c>
      <c r="AD552">
        <v>0.44838572131606208</v>
      </c>
      <c r="AE552" t="s">
        <v>101</v>
      </c>
      <c r="AF552" t="s">
        <v>85</v>
      </c>
      <c r="AG552">
        <v>16.600000000000001</v>
      </c>
      <c r="AH552">
        <v>31</v>
      </c>
      <c r="AI552">
        <v>4</v>
      </c>
      <c r="AJ552">
        <v>0</v>
      </c>
      <c r="AK552">
        <v>26</v>
      </c>
      <c r="AL552">
        <v>225</v>
      </c>
      <c r="AM552">
        <v>3041</v>
      </c>
      <c r="AN552">
        <v>68</v>
      </c>
      <c r="AO552">
        <v>68</v>
      </c>
      <c r="AP552">
        <v>68</v>
      </c>
      <c r="AQ552">
        <v>2.5</v>
      </c>
      <c r="AR552" t="s">
        <v>46</v>
      </c>
      <c r="AS552" t="s">
        <v>86</v>
      </c>
      <c r="AT552" t="s">
        <v>85</v>
      </c>
      <c r="AU552">
        <v>86.53</v>
      </c>
      <c r="AV552">
        <v>28</v>
      </c>
      <c r="AW552">
        <v>7</v>
      </c>
      <c r="AX552">
        <v>8</v>
      </c>
      <c r="AY552">
        <v>26.1</v>
      </c>
      <c r="AZ552">
        <v>10</v>
      </c>
      <c r="BA552">
        <v>9954</v>
      </c>
      <c r="BB552">
        <v>76</v>
      </c>
      <c r="BC552">
        <v>73</v>
      </c>
      <c r="BD552">
        <v>75</v>
      </c>
      <c r="BE552">
        <v>4</v>
      </c>
      <c r="BF552" t="s">
        <v>46</v>
      </c>
      <c r="BG552">
        <v>-19</v>
      </c>
      <c r="BH552">
        <v>10</v>
      </c>
      <c r="BI552">
        <v>5.6000000000000001E-2</v>
      </c>
      <c r="BJ552" t="s">
        <v>85</v>
      </c>
      <c r="BK552">
        <v>0.23680000000000001</v>
      </c>
      <c r="BL552">
        <v>0.54900000000000004</v>
      </c>
      <c r="BM552">
        <v>0.82</v>
      </c>
      <c r="BN552">
        <v>1.47</v>
      </c>
    </row>
    <row r="553" spans="1:66" x14ac:dyDescent="0.25">
      <c r="A553">
        <v>1</v>
      </c>
      <c r="B553">
        <v>1</v>
      </c>
      <c r="C553">
        <v>7</v>
      </c>
      <c r="D553">
        <v>3</v>
      </c>
      <c r="E553">
        <v>3</v>
      </c>
      <c r="F553">
        <v>2.4433333333333334</v>
      </c>
      <c r="G553" s="40">
        <v>0.18</v>
      </c>
      <c r="H553" s="40">
        <v>0.49</v>
      </c>
      <c r="I553" s="40">
        <v>0.33000000000000007</v>
      </c>
      <c r="J553">
        <v>3</v>
      </c>
      <c r="K553">
        <v>3</v>
      </c>
      <c r="L553">
        <v>2.2999999999999998</v>
      </c>
      <c r="M553">
        <v>3</v>
      </c>
      <c r="N553">
        <v>3</v>
      </c>
      <c r="O553">
        <v>2.5</v>
      </c>
      <c r="P553">
        <v>3</v>
      </c>
      <c r="Q553">
        <v>3</v>
      </c>
      <c r="R553">
        <v>2.5299999999999998</v>
      </c>
      <c r="S553">
        <v>0.31029735682819382</v>
      </c>
      <c r="T553">
        <v>0.2849669603524228</v>
      </c>
      <c r="U553">
        <v>0.40473568281938327</v>
      </c>
      <c r="V553">
        <v>0.3125</v>
      </c>
      <c r="W553">
        <v>0.3125</v>
      </c>
      <c r="X553">
        <v>0.375</v>
      </c>
      <c r="Y553">
        <v>0.31389578163771714</v>
      </c>
      <c r="Z553">
        <v>0.31389578163771714</v>
      </c>
      <c r="AA553">
        <v>0.37220843672456577</v>
      </c>
      <c r="AB553">
        <v>0.31223104615530367</v>
      </c>
      <c r="AC553">
        <v>0.30378758066338002</v>
      </c>
      <c r="AD553">
        <v>0.38398137318131637</v>
      </c>
      <c r="AE553" t="s">
        <v>99</v>
      </c>
      <c r="AF553" t="s">
        <v>85</v>
      </c>
      <c r="AG553">
        <v>14.2</v>
      </c>
      <c r="AH553">
        <v>31</v>
      </c>
      <c r="AI553">
        <v>1</v>
      </c>
      <c r="AJ553">
        <v>0</v>
      </c>
      <c r="AK553">
        <v>26.5</v>
      </c>
      <c r="AL553">
        <v>173</v>
      </c>
      <c r="AM553">
        <v>3707</v>
      </c>
      <c r="AN553">
        <v>70</v>
      </c>
      <c r="AO553">
        <v>69</v>
      </c>
      <c r="AP553">
        <v>68</v>
      </c>
      <c r="AQ553">
        <v>3</v>
      </c>
      <c r="AR553" t="s">
        <v>46</v>
      </c>
      <c r="AS553" t="s">
        <v>89</v>
      </c>
      <c r="AT553" t="s">
        <v>85</v>
      </c>
      <c r="AU553">
        <v>31.6</v>
      </c>
      <c r="AV553">
        <v>27</v>
      </c>
      <c r="AW553">
        <v>3</v>
      </c>
      <c r="AX553">
        <v>1</v>
      </c>
      <c r="AY553">
        <v>27.6</v>
      </c>
      <c r="AZ553">
        <v>78</v>
      </c>
      <c r="BA553">
        <v>5364</v>
      </c>
      <c r="BB553">
        <v>71</v>
      </c>
      <c r="BC553">
        <v>71</v>
      </c>
      <c r="BD553">
        <v>72</v>
      </c>
      <c r="BE553">
        <v>3.5</v>
      </c>
      <c r="BF553" t="s">
        <v>29</v>
      </c>
      <c r="BG553">
        <v>0</v>
      </c>
      <c r="BH553">
        <v>6</v>
      </c>
      <c r="BI553">
        <v>0.16700000000000001</v>
      </c>
      <c r="BJ553" t="s">
        <v>85</v>
      </c>
      <c r="BK553">
        <v>0.40479999999999999</v>
      </c>
      <c r="BL553">
        <v>0.47499999999999998</v>
      </c>
      <c r="BM553">
        <v>1.24</v>
      </c>
      <c r="BN553">
        <v>1</v>
      </c>
    </row>
    <row r="554" spans="1:66" x14ac:dyDescent="0.25">
      <c r="A554">
        <v>1</v>
      </c>
      <c r="B554">
        <v>1</v>
      </c>
      <c r="C554">
        <v>1</v>
      </c>
      <c r="D554">
        <v>3.8166666666666664</v>
      </c>
      <c r="E554">
        <v>3.35</v>
      </c>
      <c r="F554">
        <v>1.9633333333333332</v>
      </c>
      <c r="G554" s="40">
        <v>0.17</v>
      </c>
      <c r="H554" s="40">
        <v>0.32</v>
      </c>
      <c r="I554" s="40">
        <v>0.51</v>
      </c>
      <c r="J554">
        <v>3.75</v>
      </c>
      <c r="K554">
        <v>3.25</v>
      </c>
      <c r="L554">
        <v>1.91</v>
      </c>
      <c r="M554">
        <v>3.85</v>
      </c>
      <c r="N554">
        <v>3.4</v>
      </c>
      <c r="O554">
        <v>2</v>
      </c>
      <c r="P554">
        <v>3.85</v>
      </c>
      <c r="Q554">
        <v>3.4</v>
      </c>
      <c r="R554">
        <v>1.98</v>
      </c>
      <c r="S554">
        <v>0.25179940250268446</v>
      </c>
      <c r="T554">
        <v>0.25383004284544802</v>
      </c>
      <c r="U554">
        <v>0.49437055465186747</v>
      </c>
      <c r="V554">
        <v>0.2464661109097499</v>
      </c>
      <c r="W554">
        <v>0.27908662558898151</v>
      </c>
      <c r="X554">
        <v>0.47444726350126859</v>
      </c>
      <c r="Y554">
        <v>0.24529058116232466</v>
      </c>
      <c r="Z554">
        <v>0.2777555110220441</v>
      </c>
      <c r="AA554">
        <v>0.4769539078156313</v>
      </c>
      <c r="AB554">
        <v>0.24785203152491966</v>
      </c>
      <c r="AC554">
        <v>0.27022405981882458</v>
      </c>
      <c r="AD554">
        <v>0.48192390865625584</v>
      </c>
      <c r="AE554" t="s">
        <v>105</v>
      </c>
      <c r="AF554" t="s">
        <v>85</v>
      </c>
      <c r="AG554">
        <v>11.18</v>
      </c>
      <c r="AH554">
        <v>31</v>
      </c>
      <c r="AI554">
        <v>31</v>
      </c>
      <c r="AJ554">
        <v>5</v>
      </c>
      <c r="AK554">
        <v>0</v>
      </c>
      <c r="AL554">
        <v>280</v>
      </c>
      <c r="AM554">
        <v>2561</v>
      </c>
      <c r="AN554">
        <v>66</v>
      </c>
      <c r="AO554">
        <v>67</v>
      </c>
      <c r="AP554">
        <v>69</v>
      </c>
      <c r="AQ554">
        <v>2.5</v>
      </c>
      <c r="AR554" t="s">
        <v>46</v>
      </c>
      <c r="AS554" t="s">
        <v>87</v>
      </c>
      <c r="AT554" t="s">
        <v>85</v>
      </c>
      <c r="AU554">
        <v>41.68</v>
      </c>
      <c r="AV554">
        <v>25</v>
      </c>
      <c r="AW554">
        <v>4</v>
      </c>
      <c r="AX554">
        <v>0</v>
      </c>
      <c r="AY554">
        <v>26.2</v>
      </c>
      <c r="AZ554">
        <v>67</v>
      </c>
      <c r="BA554">
        <v>5744</v>
      </c>
      <c r="BB554">
        <v>73</v>
      </c>
      <c r="BC554">
        <v>74</v>
      </c>
      <c r="BD554">
        <v>71</v>
      </c>
      <c r="BE554">
        <v>3.5</v>
      </c>
      <c r="BF554" t="s">
        <v>29</v>
      </c>
      <c r="BG554">
        <v>-1</v>
      </c>
      <c r="BH554">
        <v>7</v>
      </c>
      <c r="BI554">
        <v>0.16700000000000001</v>
      </c>
      <c r="BJ554" t="s">
        <v>85</v>
      </c>
      <c r="BK554">
        <v>0.25</v>
      </c>
      <c r="BL554">
        <v>0.42220000000000002</v>
      </c>
      <c r="BM554">
        <v>0.97</v>
      </c>
      <c r="BN554">
        <v>1.22</v>
      </c>
    </row>
    <row r="555" spans="1:66" x14ac:dyDescent="0.25">
      <c r="A555">
        <v>1</v>
      </c>
      <c r="B555">
        <v>2</v>
      </c>
      <c r="C555">
        <v>4</v>
      </c>
      <c r="D555">
        <v>1.4633333333333332</v>
      </c>
      <c r="E555">
        <v>4.1999999999999993</v>
      </c>
      <c r="F555">
        <v>6.7333333333333334</v>
      </c>
      <c r="G555" s="40">
        <v>0.56000000000000005</v>
      </c>
      <c r="H555" s="40">
        <v>0.28999999999999998</v>
      </c>
      <c r="I555" s="40">
        <v>0.14999999999999997</v>
      </c>
      <c r="J555">
        <v>1.46</v>
      </c>
      <c r="K555">
        <v>4.0999999999999996</v>
      </c>
      <c r="L555">
        <v>6.1</v>
      </c>
      <c r="M555">
        <v>1.45</v>
      </c>
      <c r="N555">
        <v>4.2</v>
      </c>
      <c r="O555">
        <v>7.5</v>
      </c>
      <c r="P555">
        <v>1.48</v>
      </c>
      <c r="Q555">
        <v>4.3</v>
      </c>
      <c r="R555">
        <v>6.6</v>
      </c>
      <c r="S555">
        <v>0.66425590583478222</v>
      </c>
      <c r="T555">
        <v>0.17675825440804049</v>
      </c>
      <c r="U555">
        <v>0.15898583975717739</v>
      </c>
      <c r="V555">
        <v>0.64995357474466109</v>
      </c>
      <c r="W555">
        <v>0.22438873413803775</v>
      </c>
      <c r="X555">
        <v>0.12565769111730116</v>
      </c>
      <c r="Y555">
        <v>0.6375808770668584</v>
      </c>
      <c r="Z555">
        <v>0.21944644140905822</v>
      </c>
      <c r="AA555">
        <v>0.14297268152408341</v>
      </c>
      <c r="AB555">
        <v>0.65059678588210057</v>
      </c>
      <c r="AC555">
        <v>0.20686447665171215</v>
      </c>
      <c r="AD555">
        <v>0.14253873746618731</v>
      </c>
      <c r="AE555" t="s">
        <v>84</v>
      </c>
      <c r="AF555" t="s">
        <v>85</v>
      </c>
      <c r="AG555">
        <v>103.93</v>
      </c>
      <c r="AH555">
        <v>29</v>
      </c>
      <c r="AI555">
        <v>5</v>
      </c>
      <c r="AJ555">
        <v>6</v>
      </c>
      <c r="AK555">
        <v>27.7</v>
      </c>
      <c r="AL555">
        <v>4</v>
      </c>
      <c r="AM555">
        <v>11425</v>
      </c>
      <c r="AN555">
        <v>76</v>
      </c>
      <c r="AO555">
        <v>76</v>
      </c>
      <c r="AP555">
        <v>75</v>
      </c>
      <c r="AQ555">
        <v>4</v>
      </c>
      <c r="AR555" t="s">
        <v>29</v>
      </c>
      <c r="AS555" t="s">
        <v>90</v>
      </c>
      <c r="AT555" t="s">
        <v>85</v>
      </c>
      <c r="AU555">
        <v>29.75</v>
      </c>
      <c r="AV555">
        <v>24</v>
      </c>
      <c r="AW555">
        <v>3</v>
      </c>
      <c r="AX555">
        <v>0</v>
      </c>
      <c r="AY555">
        <v>26.6</v>
      </c>
      <c r="AZ555">
        <v>88</v>
      </c>
      <c r="BA555">
        <v>5121</v>
      </c>
      <c r="BB555">
        <v>73</v>
      </c>
      <c r="BC555">
        <v>71</v>
      </c>
      <c r="BD555">
        <v>71</v>
      </c>
      <c r="BE555">
        <v>3.5</v>
      </c>
      <c r="BF555" t="s">
        <v>29</v>
      </c>
      <c r="BG555">
        <v>6</v>
      </c>
      <c r="BH555">
        <v>53</v>
      </c>
      <c r="BI555">
        <v>0.34200000000000003</v>
      </c>
      <c r="BJ555" t="s">
        <v>85</v>
      </c>
      <c r="BK555">
        <v>0.64</v>
      </c>
      <c r="BL555">
        <v>0.45950000000000002</v>
      </c>
      <c r="BM555">
        <v>2.08</v>
      </c>
      <c r="BN555">
        <v>1.43</v>
      </c>
    </row>
    <row r="556" spans="1:66" x14ac:dyDescent="0.25">
      <c r="A556">
        <v>2</v>
      </c>
      <c r="B556">
        <v>0</v>
      </c>
      <c r="C556">
        <v>0</v>
      </c>
      <c r="D556">
        <v>2.5333333333333332</v>
      </c>
      <c r="E556">
        <v>2.89</v>
      </c>
      <c r="F556">
        <v>3.2333333333333329</v>
      </c>
      <c r="G556" s="40">
        <v>0.38</v>
      </c>
      <c r="H556" s="40">
        <v>0.4</v>
      </c>
      <c r="I556" s="40">
        <v>0.21999999999999997</v>
      </c>
      <c r="J556">
        <v>2.5499999999999998</v>
      </c>
      <c r="K556">
        <v>2.85</v>
      </c>
      <c r="L556">
        <v>3.3</v>
      </c>
      <c r="M556">
        <v>2.5</v>
      </c>
      <c r="N556">
        <v>2.9</v>
      </c>
      <c r="O556">
        <v>3.2</v>
      </c>
      <c r="P556">
        <v>2.5499999999999998</v>
      </c>
      <c r="Q556">
        <v>2.92</v>
      </c>
      <c r="R556">
        <v>3.2</v>
      </c>
      <c r="S556">
        <v>0.39103089964451737</v>
      </c>
      <c r="T556">
        <v>0.30680885972108285</v>
      </c>
      <c r="U556">
        <v>0.30216024063439978</v>
      </c>
      <c r="V556">
        <v>0.37831227068895235</v>
      </c>
      <c r="W556">
        <v>0.32613126783530377</v>
      </c>
      <c r="X556">
        <v>0.29555646147574399</v>
      </c>
      <c r="Y556">
        <v>0.37450901803607217</v>
      </c>
      <c r="Z556">
        <v>0.32705410821643283</v>
      </c>
      <c r="AA556">
        <v>0.29843687374749495</v>
      </c>
      <c r="AB556">
        <v>0.38128406278984728</v>
      </c>
      <c r="AC556">
        <v>0.31999807859093982</v>
      </c>
      <c r="AD556">
        <v>0.29871785861921291</v>
      </c>
      <c r="AE556" t="s">
        <v>151</v>
      </c>
      <c r="AF556" t="s">
        <v>141</v>
      </c>
      <c r="AG556">
        <v>111.8</v>
      </c>
      <c r="AH556">
        <v>27</v>
      </c>
      <c r="AI556">
        <v>8</v>
      </c>
      <c r="AJ556">
        <v>4</v>
      </c>
      <c r="AK556">
        <v>28.3</v>
      </c>
      <c r="AL556">
        <v>116</v>
      </c>
      <c r="AM556">
        <v>4556</v>
      </c>
      <c r="AN556">
        <v>79</v>
      </c>
      <c r="AO556">
        <v>76</v>
      </c>
      <c r="AP556">
        <v>75</v>
      </c>
      <c r="AQ556">
        <v>4</v>
      </c>
      <c r="AR556" t="s">
        <v>29</v>
      </c>
      <c r="AS556" t="s">
        <v>145</v>
      </c>
      <c r="AT556" t="s">
        <v>141</v>
      </c>
      <c r="AU556">
        <v>159.44999999999999</v>
      </c>
      <c r="AV556">
        <v>25</v>
      </c>
      <c r="AW556">
        <v>13</v>
      </c>
      <c r="AX556">
        <v>9</v>
      </c>
      <c r="AY556">
        <v>27.1</v>
      </c>
      <c r="AZ556">
        <v>27</v>
      </c>
      <c r="BA556">
        <v>7881</v>
      </c>
      <c r="BB556">
        <v>77</v>
      </c>
      <c r="BC556">
        <v>78</v>
      </c>
      <c r="BD556">
        <v>77</v>
      </c>
      <c r="BE556">
        <v>4</v>
      </c>
      <c r="BF556" t="s">
        <v>46</v>
      </c>
      <c r="BG556">
        <v>-1</v>
      </c>
      <c r="BH556">
        <v>58</v>
      </c>
      <c r="BI556">
        <v>0.33300000000000002</v>
      </c>
      <c r="BJ556" t="s">
        <v>270</v>
      </c>
      <c r="BK556">
        <v>0.28889999999999999</v>
      </c>
      <c r="BL556">
        <v>0.25</v>
      </c>
      <c r="BM556">
        <v>1.36</v>
      </c>
      <c r="BN556">
        <v>0.75</v>
      </c>
    </row>
    <row r="557" spans="1:66" x14ac:dyDescent="0.25">
      <c r="A557">
        <v>3</v>
      </c>
      <c r="B557">
        <v>-1</v>
      </c>
      <c r="C557">
        <v>1</v>
      </c>
      <c r="D557">
        <v>3.4833333333333329</v>
      </c>
      <c r="E557">
        <v>3.1333333333333333</v>
      </c>
      <c r="F557">
        <v>2.2666666666666666</v>
      </c>
      <c r="G557" s="40">
        <v>0.26</v>
      </c>
      <c r="H557" s="40">
        <v>0.25</v>
      </c>
      <c r="I557" s="40">
        <v>0.49</v>
      </c>
      <c r="J557">
        <v>3.5</v>
      </c>
      <c r="K557">
        <v>3.2</v>
      </c>
      <c r="L557">
        <v>2.25</v>
      </c>
      <c r="M557">
        <v>3.45</v>
      </c>
      <c r="N557">
        <v>3.1</v>
      </c>
      <c r="O557">
        <v>2.25</v>
      </c>
      <c r="P557">
        <v>3.5</v>
      </c>
      <c r="Q557">
        <v>3.1</v>
      </c>
      <c r="R557">
        <v>2.2999999999999998</v>
      </c>
      <c r="S557">
        <v>0.28524308045317653</v>
      </c>
      <c r="T557">
        <v>0.27104546106410438</v>
      </c>
      <c r="U557">
        <v>0.44371145848271903</v>
      </c>
      <c r="V557">
        <v>0.27425538189324683</v>
      </c>
      <c r="W557">
        <v>0.30521969920377473</v>
      </c>
      <c r="X557">
        <v>0.4205249189029785</v>
      </c>
      <c r="Y557">
        <v>0.27391471379177867</v>
      </c>
      <c r="Z557">
        <v>0.30925854782942758</v>
      </c>
      <c r="AA557">
        <v>0.41682673837879375</v>
      </c>
      <c r="AB557">
        <v>0.27780439204606733</v>
      </c>
      <c r="AC557">
        <v>0.29517456936576886</v>
      </c>
      <c r="AD557">
        <v>0.42702103858816381</v>
      </c>
      <c r="AE557" t="s">
        <v>153</v>
      </c>
      <c r="AF557" t="s">
        <v>141</v>
      </c>
      <c r="AG557">
        <v>143.80000000000001</v>
      </c>
      <c r="AH557">
        <v>21</v>
      </c>
      <c r="AI557">
        <v>9</v>
      </c>
      <c r="AJ557">
        <v>8</v>
      </c>
      <c r="AK557">
        <v>28</v>
      </c>
      <c r="AL557">
        <v>138</v>
      </c>
      <c r="AM557">
        <v>4059</v>
      </c>
      <c r="AN557">
        <v>80</v>
      </c>
      <c r="AO557">
        <v>75</v>
      </c>
      <c r="AP557">
        <v>75</v>
      </c>
      <c r="AQ557">
        <v>4</v>
      </c>
      <c r="AR557" t="s">
        <v>29</v>
      </c>
      <c r="AS557" t="s">
        <v>146</v>
      </c>
      <c r="AT557" t="s">
        <v>141</v>
      </c>
      <c r="AU557">
        <v>430.9</v>
      </c>
      <c r="AV557">
        <v>27</v>
      </c>
      <c r="AW557">
        <v>20</v>
      </c>
      <c r="AX557">
        <v>14</v>
      </c>
      <c r="AY557">
        <v>28</v>
      </c>
      <c r="AZ557">
        <v>31</v>
      </c>
      <c r="BA557">
        <v>7447</v>
      </c>
      <c r="BB557">
        <v>80</v>
      </c>
      <c r="BC557">
        <v>81</v>
      </c>
      <c r="BD557">
        <v>82</v>
      </c>
      <c r="BE557">
        <v>4.5</v>
      </c>
      <c r="BF557" t="s">
        <v>29</v>
      </c>
      <c r="BG557">
        <v>-9</v>
      </c>
      <c r="BH557">
        <v>134</v>
      </c>
      <c r="BI557">
        <v>0.38200000000000001</v>
      </c>
      <c r="BJ557" t="s">
        <v>270</v>
      </c>
      <c r="BK557">
        <v>0.375</v>
      </c>
      <c r="BL557">
        <v>0.62960000000000005</v>
      </c>
      <c r="BM557">
        <v>1.55</v>
      </c>
      <c r="BN557">
        <v>1.46</v>
      </c>
    </row>
    <row r="558" spans="1:66" x14ac:dyDescent="0.25">
      <c r="A558">
        <v>3</v>
      </c>
      <c r="B558">
        <v>-1</v>
      </c>
      <c r="C558">
        <v>3</v>
      </c>
      <c r="D558">
        <v>1.6866666666666665</v>
      </c>
      <c r="E558">
        <v>3.7833333333333332</v>
      </c>
      <c r="F558">
        <v>5.2333333333333334</v>
      </c>
      <c r="G558" s="40">
        <v>0.35</v>
      </c>
      <c r="H558" s="40">
        <v>0.31</v>
      </c>
      <c r="I558" s="40">
        <v>0.34</v>
      </c>
      <c r="J558">
        <v>1.68</v>
      </c>
      <c r="K558">
        <v>3.95</v>
      </c>
      <c r="L558">
        <v>5.2</v>
      </c>
      <c r="M558">
        <v>1.71</v>
      </c>
      <c r="N558">
        <v>3.5</v>
      </c>
      <c r="O558">
        <v>5.25</v>
      </c>
      <c r="P558">
        <v>1.67</v>
      </c>
      <c r="Q558">
        <v>3.9</v>
      </c>
      <c r="R558">
        <v>5.25</v>
      </c>
      <c r="S558">
        <v>0.60419575281064009</v>
      </c>
      <c r="T558">
        <v>0.20060254243515319</v>
      </c>
      <c r="U558">
        <v>0.19520170475420678</v>
      </c>
      <c r="V558">
        <v>0.55118110236220474</v>
      </c>
      <c r="W558">
        <v>0.26929133858267718</v>
      </c>
      <c r="X558">
        <v>0.17952755905511814</v>
      </c>
      <c r="Y558">
        <v>0.57263917439275069</v>
      </c>
      <c r="Z558">
        <v>0.24520703108612663</v>
      </c>
      <c r="AA558">
        <v>0.18215379452112263</v>
      </c>
      <c r="AB558">
        <v>0.5760053431885318</v>
      </c>
      <c r="AC558">
        <v>0.23836697070131899</v>
      </c>
      <c r="AD558">
        <v>0.18562768611014921</v>
      </c>
      <c r="AE558" t="s">
        <v>149</v>
      </c>
      <c r="AF558" t="s">
        <v>141</v>
      </c>
      <c r="AG558">
        <v>298.89999999999998</v>
      </c>
      <c r="AH558">
        <v>24</v>
      </c>
      <c r="AI558">
        <v>9</v>
      </c>
      <c r="AJ558">
        <v>10</v>
      </c>
      <c r="AK558">
        <v>28.2</v>
      </c>
      <c r="AL558">
        <v>77</v>
      </c>
      <c r="AM558">
        <v>5396</v>
      </c>
      <c r="AN558">
        <v>82</v>
      </c>
      <c r="AO558">
        <v>79</v>
      </c>
      <c r="AP558">
        <v>79</v>
      </c>
      <c r="AQ558">
        <v>4.5</v>
      </c>
      <c r="AR558" t="s">
        <v>29</v>
      </c>
      <c r="AS558" t="s">
        <v>157</v>
      </c>
      <c r="AT558" t="s">
        <v>141</v>
      </c>
      <c r="AU558">
        <v>93.5</v>
      </c>
      <c r="AV558">
        <v>27</v>
      </c>
      <c r="AW558">
        <v>4</v>
      </c>
      <c r="AX558">
        <v>1</v>
      </c>
      <c r="AY558">
        <v>27.7</v>
      </c>
      <c r="AZ558">
        <v>202</v>
      </c>
      <c r="BA558">
        <v>3267</v>
      </c>
      <c r="BB558">
        <v>76</v>
      </c>
      <c r="BC558">
        <v>77</v>
      </c>
      <c r="BD558">
        <v>75</v>
      </c>
      <c r="BE558">
        <v>4</v>
      </c>
      <c r="BF558" t="s">
        <v>46</v>
      </c>
      <c r="BG558">
        <v>9</v>
      </c>
      <c r="BH558">
        <v>62</v>
      </c>
      <c r="BI558">
        <v>0.42899999999999999</v>
      </c>
      <c r="BJ558" t="s">
        <v>270</v>
      </c>
      <c r="BK558">
        <v>0.53449999999999998</v>
      </c>
      <c r="BL558">
        <v>0.33329999999999999</v>
      </c>
      <c r="BM558">
        <v>1.78</v>
      </c>
      <c r="BN558">
        <v>1.1399999999999999</v>
      </c>
    </row>
    <row r="559" spans="1:66" x14ac:dyDescent="0.25">
      <c r="A559">
        <v>1</v>
      </c>
      <c r="B559">
        <v>2</v>
      </c>
      <c r="C559">
        <v>4</v>
      </c>
      <c r="D559">
        <v>1.57</v>
      </c>
      <c r="E559">
        <v>4.1333333333333337</v>
      </c>
      <c r="F559">
        <v>5.9333333333333336</v>
      </c>
      <c r="G559" s="40">
        <v>0.38</v>
      </c>
      <c r="H559" s="40">
        <v>0.44</v>
      </c>
      <c r="I559" s="40">
        <v>0.18</v>
      </c>
      <c r="J559">
        <v>1.56</v>
      </c>
      <c r="K559">
        <v>4.0999999999999996</v>
      </c>
      <c r="L559">
        <v>6.4</v>
      </c>
      <c r="M559">
        <v>1.58</v>
      </c>
      <c r="N559">
        <v>4.0999999999999996</v>
      </c>
      <c r="O559">
        <v>5.5</v>
      </c>
      <c r="P559">
        <v>1.57</v>
      </c>
      <c r="Q559">
        <v>4.2</v>
      </c>
      <c r="R559">
        <v>5.9</v>
      </c>
      <c r="S559">
        <v>0.65731955145543064</v>
      </c>
      <c r="T559">
        <v>0.18245880787730814</v>
      </c>
      <c r="U559">
        <v>0.16022164066726119</v>
      </c>
      <c r="V559">
        <v>0.59785778673312473</v>
      </c>
      <c r="W559">
        <v>0.23039397635081393</v>
      </c>
      <c r="X559">
        <v>0.17174823691606128</v>
      </c>
      <c r="Y559">
        <v>0.60978910844796619</v>
      </c>
      <c r="Z559">
        <v>0.22794497625316829</v>
      </c>
      <c r="AA559">
        <v>0.16226591529886555</v>
      </c>
      <c r="AB559">
        <v>0.62165548221217393</v>
      </c>
      <c r="AC559">
        <v>0.21359925349376344</v>
      </c>
      <c r="AD559">
        <v>0.16474526429406267</v>
      </c>
      <c r="AE559" t="s">
        <v>137</v>
      </c>
      <c r="AF559" t="s">
        <v>141</v>
      </c>
      <c r="AG559">
        <v>676</v>
      </c>
      <c r="AH559">
        <v>26</v>
      </c>
      <c r="AI559">
        <v>15</v>
      </c>
      <c r="AJ559">
        <v>21</v>
      </c>
      <c r="AK559">
        <v>26.1</v>
      </c>
      <c r="AL559">
        <v>3</v>
      </c>
      <c r="AM559">
        <v>13105</v>
      </c>
      <c r="AN559">
        <v>84</v>
      </c>
      <c r="AO559">
        <v>82</v>
      </c>
      <c r="AP559">
        <v>81</v>
      </c>
      <c r="AQ559">
        <v>5</v>
      </c>
      <c r="AR559" t="s">
        <v>28</v>
      </c>
      <c r="AS559" t="s">
        <v>142</v>
      </c>
      <c r="AT559" t="s">
        <v>141</v>
      </c>
      <c r="AU559">
        <v>251.9</v>
      </c>
      <c r="AV559">
        <v>27</v>
      </c>
      <c r="AW559">
        <v>17</v>
      </c>
      <c r="AX559">
        <v>12</v>
      </c>
      <c r="AY559">
        <v>25.5</v>
      </c>
      <c r="AZ559">
        <v>11</v>
      </c>
      <c r="BA559">
        <v>9770</v>
      </c>
      <c r="BB559">
        <v>77</v>
      </c>
      <c r="BC559">
        <v>78</v>
      </c>
      <c r="BD559">
        <v>77</v>
      </c>
      <c r="BE559">
        <v>4</v>
      </c>
      <c r="BF559" t="s">
        <v>29</v>
      </c>
      <c r="BG559">
        <v>84</v>
      </c>
      <c r="BH559">
        <v>330</v>
      </c>
      <c r="BI559">
        <v>0.46700000000000003</v>
      </c>
      <c r="BJ559" t="s">
        <v>270</v>
      </c>
      <c r="BK559">
        <v>0.62960000000000005</v>
      </c>
      <c r="BL559">
        <v>0.3095</v>
      </c>
      <c r="BM559">
        <v>2.2599999999999998</v>
      </c>
      <c r="BN559">
        <v>1.43</v>
      </c>
    </row>
    <row r="560" spans="1:66" x14ac:dyDescent="0.25">
      <c r="A560">
        <v>3</v>
      </c>
      <c r="B560">
        <v>-1</v>
      </c>
      <c r="C560">
        <v>1</v>
      </c>
      <c r="D560">
        <v>3.5333333333333337</v>
      </c>
      <c r="E560">
        <v>3.35</v>
      </c>
      <c r="F560">
        <v>2.1366666666666667</v>
      </c>
      <c r="G560" s="40">
        <v>0.22</v>
      </c>
      <c r="H560" s="40">
        <v>0.23</v>
      </c>
      <c r="I560" s="40">
        <v>0.55000000000000004</v>
      </c>
      <c r="J560">
        <v>3.6</v>
      </c>
      <c r="K560">
        <v>3.4</v>
      </c>
      <c r="L560">
        <v>2.12</v>
      </c>
      <c r="M560">
        <v>3.45</v>
      </c>
      <c r="N560">
        <v>3.3</v>
      </c>
      <c r="O560">
        <v>2.15</v>
      </c>
      <c r="P560">
        <v>3.55</v>
      </c>
      <c r="Q560">
        <v>3.35</v>
      </c>
      <c r="R560">
        <v>2.14</v>
      </c>
      <c r="S560">
        <v>0.27686881811672986</v>
      </c>
      <c r="T560">
        <v>0.25297658508127596</v>
      </c>
      <c r="U560">
        <v>0.47015459680199406</v>
      </c>
      <c r="V560">
        <v>0.27396466840428607</v>
      </c>
      <c r="W560">
        <v>0.28641760787720821</v>
      </c>
      <c r="X560">
        <v>0.4396177237185056</v>
      </c>
      <c r="Y560">
        <v>0.26891985670611634</v>
      </c>
      <c r="Z560">
        <v>0.28497477352439188</v>
      </c>
      <c r="AA560">
        <v>0.44610536976949194</v>
      </c>
      <c r="AB560">
        <v>0.27325111440904409</v>
      </c>
      <c r="AC560">
        <v>0.27478965549429202</v>
      </c>
      <c r="AD560">
        <v>0.45195923009666389</v>
      </c>
      <c r="AE560" t="s">
        <v>156</v>
      </c>
      <c r="AF560" t="s">
        <v>141</v>
      </c>
      <c r="AG560">
        <v>66.099999999999994</v>
      </c>
      <c r="AH560">
        <v>24</v>
      </c>
      <c r="AI560">
        <v>6</v>
      </c>
      <c r="AJ560">
        <v>3</v>
      </c>
      <c r="AK560">
        <v>26.8</v>
      </c>
      <c r="AL560">
        <v>177</v>
      </c>
      <c r="AM560">
        <v>3663</v>
      </c>
      <c r="AN560">
        <v>77</v>
      </c>
      <c r="AO560">
        <v>74</v>
      </c>
      <c r="AP560">
        <v>76</v>
      </c>
      <c r="AQ560">
        <v>4</v>
      </c>
      <c r="AR560" t="s">
        <v>43</v>
      </c>
      <c r="AS560" t="s">
        <v>152</v>
      </c>
      <c r="AT560" t="s">
        <v>141</v>
      </c>
      <c r="AU560">
        <v>223.4</v>
      </c>
      <c r="AV560">
        <v>28</v>
      </c>
      <c r="AW560">
        <v>11</v>
      </c>
      <c r="AX560">
        <v>11</v>
      </c>
      <c r="AY560">
        <v>28.5</v>
      </c>
      <c r="AZ560">
        <v>125</v>
      </c>
      <c r="BA560">
        <v>4257</v>
      </c>
      <c r="BB560">
        <v>79</v>
      </c>
      <c r="BC560">
        <v>79</v>
      </c>
      <c r="BD560">
        <v>78</v>
      </c>
      <c r="BE560">
        <v>4</v>
      </c>
      <c r="BF560" t="s">
        <v>29</v>
      </c>
      <c r="BG560">
        <v>-3</v>
      </c>
      <c r="BH560">
        <v>29</v>
      </c>
      <c r="BI560">
        <v>0.33300000000000002</v>
      </c>
      <c r="BJ560" t="s">
        <v>270</v>
      </c>
      <c r="BK560">
        <v>0.26829999999999998</v>
      </c>
      <c r="BL560">
        <v>0.4884</v>
      </c>
      <c r="BM560">
        <v>0.95</v>
      </c>
      <c r="BN560">
        <v>1.42</v>
      </c>
    </row>
    <row r="561" spans="1:66" x14ac:dyDescent="0.25">
      <c r="A561">
        <v>1</v>
      </c>
      <c r="B561">
        <v>2</v>
      </c>
      <c r="C561">
        <v>4</v>
      </c>
      <c r="D561">
        <v>3.2666666666666671</v>
      </c>
      <c r="E561">
        <v>3.3833333333333333</v>
      </c>
      <c r="F561">
        <v>2.21</v>
      </c>
      <c r="G561" s="40">
        <v>0.24</v>
      </c>
      <c r="H561" s="40">
        <v>0.37</v>
      </c>
      <c r="I561" s="40">
        <v>0.39</v>
      </c>
      <c r="J561">
        <v>3.3</v>
      </c>
      <c r="K561">
        <v>3.25</v>
      </c>
      <c r="L561">
        <v>2.2000000000000002</v>
      </c>
      <c r="M561">
        <v>3.2</v>
      </c>
      <c r="N561">
        <v>3.5</v>
      </c>
      <c r="O561">
        <v>2.2000000000000002</v>
      </c>
      <c r="P561">
        <v>3.3</v>
      </c>
      <c r="Q561">
        <v>3.4</v>
      </c>
      <c r="R561">
        <v>2.23</v>
      </c>
      <c r="S561">
        <v>0.29411764705882354</v>
      </c>
      <c r="T561">
        <v>0.26470588235294118</v>
      </c>
      <c r="U561">
        <v>0.44117647058823523</v>
      </c>
      <c r="V561">
        <v>0.29683885890516581</v>
      </c>
      <c r="W561">
        <v>0.2713955281418659</v>
      </c>
      <c r="X561">
        <v>0.43176561295296839</v>
      </c>
      <c r="Y561">
        <v>0.28982072550743476</v>
      </c>
      <c r="Z561">
        <v>0.28129658652192197</v>
      </c>
      <c r="AA561">
        <v>0.42888268797064338</v>
      </c>
      <c r="AB561">
        <v>0.29359241049047474</v>
      </c>
      <c r="AC561">
        <v>0.27246599900557639</v>
      </c>
      <c r="AD561">
        <v>0.43394159050394898</v>
      </c>
      <c r="AE561" t="s">
        <v>311</v>
      </c>
      <c r="AF561" t="s">
        <v>307</v>
      </c>
      <c r="AG561">
        <v>326.60000000000002</v>
      </c>
      <c r="AH561">
        <v>33</v>
      </c>
      <c r="AI561">
        <v>26</v>
      </c>
      <c r="AJ561">
        <v>12</v>
      </c>
      <c r="AK561">
        <v>27.4</v>
      </c>
      <c r="AL561">
        <v>41</v>
      </c>
      <c r="AM561">
        <v>6846</v>
      </c>
      <c r="AN561">
        <v>82</v>
      </c>
      <c r="AO561">
        <v>80</v>
      </c>
      <c r="AP561">
        <v>79</v>
      </c>
      <c r="AQ561">
        <v>4.5</v>
      </c>
      <c r="AR561" t="s">
        <v>46</v>
      </c>
      <c r="AS561" t="s">
        <v>309</v>
      </c>
      <c r="AT561" t="s">
        <v>307</v>
      </c>
      <c r="AU561">
        <v>573.29999999999995</v>
      </c>
      <c r="AV561">
        <v>28</v>
      </c>
      <c r="AW561">
        <v>19</v>
      </c>
      <c r="AX561">
        <v>20</v>
      </c>
      <c r="AY561">
        <v>28.8</v>
      </c>
      <c r="AZ561">
        <v>37</v>
      </c>
      <c r="BA561">
        <v>7235</v>
      </c>
      <c r="BB561">
        <v>83</v>
      </c>
      <c r="BC561">
        <v>81</v>
      </c>
      <c r="BD561">
        <v>83</v>
      </c>
      <c r="BE561">
        <v>4.5</v>
      </c>
      <c r="BF561" t="s">
        <v>29</v>
      </c>
      <c r="BG561">
        <v>-81</v>
      </c>
      <c r="BH561">
        <v>197</v>
      </c>
      <c r="BI561">
        <v>0.25800000000000001</v>
      </c>
      <c r="BJ561" t="s">
        <v>322</v>
      </c>
      <c r="BK561">
        <v>0.5</v>
      </c>
      <c r="BL561">
        <v>0.64580000000000004</v>
      </c>
      <c r="BM561">
        <v>1.63</v>
      </c>
      <c r="BN561">
        <v>2.1</v>
      </c>
    </row>
    <row r="562" spans="1:66" x14ac:dyDescent="0.25">
      <c r="A562">
        <v>1</v>
      </c>
      <c r="B562">
        <v>2</v>
      </c>
      <c r="C562">
        <v>4</v>
      </c>
      <c r="D562">
        <v>2.5666666666666669</v>
      </c>
      <c r="E562">
        <v>3.3166666666666664</v>
      </c>
      <c r="F562">
        <v>2.7433333333333336</v>
      </c>
      <c r="G562" s="40">
        <v>0.19</v>
      </c>
      <c r="H562" s="40">
        <v>0.43</v>
      </c>
      <c r="I562" s="40">
        <v>0.38000000000000006</v>
      </c>
      <c r="J562">
        <v>2.5499999999999998</v>
      </c>
      <c r="K562">
        <v>3.35</v>
      </c>
      <c r="L562">
        <v>2.7</v>
      </c>
      <c r="M562">
        <v>2.5499999999999998</v>
      </c>
      <c r="N562">
        <v>3.3</v>
      </c>
      <c r="O562">
        <v>2.75</v>
      </c>
      <c r="P562">
        <v>2.6</v>
      </c>
      <c r="Q562">
        <v>3.3</v>
      </c>
      <c r="R562">
        <v>2.78</v>
      </c>
      <c r="S562">
        <v>0.38014963538213853</v>
      </c>
      <c r="T562">
        <v>0.26082015342361969</v>
      </c>
      <c r="U562">
        <v>0.35903021119424189</v>
      </c>
      <c r="V562">
        <v>0.37037037037037041</v>
      </c>
      <c r="W562">
        <v>0.28619528619528617</v>
      </c>
      <c r="X562">
        <v>0.34343434343434343</v>
      </c>
      <c r="Y562">
        <v>0.36722440156912978</v>
      </c>
      <c r="Z562">
        <v>0.28932831638779927</v>
      </c>
      <c r="AA562">
        <v>0.34344728204307107</v>
      </c>
      <c r="AB562">
        <v>0.3725814691072129</v>
      </c>
      <c r="AC562">
        <v>0.27878125200223502</v>
      </c>
      <c r="AD562">
        <v>0.34863727889055213</v>
      </c>
      <c r="AE562" t="s">
        <v>319</v>
      </c>
      <c r="AF562" t="s">
        <v>307</v>
      </c>
      <c r="AG562">
        <v>153.53</v>
      </c>
      <c r="AH562">
        <v>29</v>
      </c>
      <c r="AI562">
        <v>17</v>
      </c>
      <c r="AJ562">
        <v>11</v>
      </c>
      <c r="AK562">
        <v>26.9</v>
      </c>
      <c r="AL562">
        <v>246</v>
      </c>
      <c r="AM562">
        <v>2866</v>
      </c>
      <c r="AN562">
        <v>76</v>
      </c>
      <c r="AO562">
        <v>73</v>
      </c>
      <c r="AP562">
        <v>73</v>
      </c>
      <c r="AQ562">
        <v>4</v>
      </c>
      <c r="AR562" t="s">
        <v>29</v>
      </c>
      <c r="AS562" t="s">
        <v>321</v>
      </c>
      <c r="AT562" t="s">
        <v>307</v>
      </c>
      <c r="AU562">
        <v>124.8</v>
      </c>
      <c r="AV562">
        <v>27</v>
      </c>
      <c r="AW562">
        <v>12</v>
      </c>
      <c r="AX562">
        <v>8</v>
      </c>
      <c r="AY562">
        <v>27.1</v>
      </c>
      <c r="AZ562">
        <v>279</v>
      </c>
      <c r="BA562">
        <v>2588</v>
      </c>
      <c r="BB562">
        <v>76</v>
      </c>
      <c r="BC562">
        <v>75</v>
      </c>
      <c r="BD562">
        <v>73</v>
      </c>
      <c r="BE562">
        <v>4</v>
      </c>
      <c r="BF562" t="s">
        <v>43</v>
      </c>
      <c r="BG562">
        <v>12</v>
      </c>
      <c r="BH562">
        <v>140</v>
      </c>
      <c r="BI562">
        <v>0.48499999999999999</v>
      </c>
      <c r="BJ562" t="s">
        <v>322</v>
      </c>
      <c r="BK562">
        <v>0.26829999999999998</v>
      </c>
      <c r="BL562">
        <v>0.4</v>
      </c>
      <c r="BM562">
        <v>1.1499999999999999</v>
      </c>
      <c r="BN562">
        <v>1.35</v>
      </c>
    </row>
    <row r="563" spans="1:66" x14ac:dyDescent="0.25">
      <c r="A563">
        <v>2</v>
      </c>
      <c r="B563">
        <v>0</v>
      </c>
      <c r="C563">
        <v>2</v>
      </c>
      <c r="D563">
        <v>2.2999999999999998</v>
      </c>
      <c r="E563">
        <v>3.3166666666666664</v>
      </c>
      <c r="F563">
        <v>3.1166666666666667</v>
      </c>
      <c r="G563" s="40">
        <v>0.34</v>
      </c>
      <c r="H563" s="40">
        <v>0.31</v>
      </c>
      <c r="I563" s="40">
        <v>0.34999999999999992</v>
      </c>
      <c r="J563">
        <v>2.25</v>
      </c>
      <c r="K563">
        <v>3.35</v>
      </c>
      <c r="L563">
        <v>3.1</v>
      </c>
      <c r="M563">
        <v>2.2999999999999998</v>
      </c>
      <c r="N563">
        <v>3.3</v>
      </c>
      <c r="O563">
        <v>3.1</v>
      </c>
      <c r="P563">
        <v>2.35</v>
      </c>
      <c r="Q563">
        <v>3.3</v>
      </c>
      <c r="R563">
        <v>3.15</v>
      </c>
      <c r="S563">
        <v>0.42995839112343964</v>
      </c>
      <c r="T563">
        <v>0.2579750346740638</v>
      </c>
      <c r="U563">
        <v>0.31206657420249651</v>
      </c>
      <c r="V563">
        <v>0.4100200400801603</v>
      </c>
      <c r="W563">
        <v>0.28577154308617231</v>
      </c>
      <c r="X563">
        <v>0.30420841683366728</v>
      </c>
      <c r="Y563">
        <v>0.40680950983269737</v>
      </c>
      <c r="Z563">
        <v>0.28969768124449663</v>
      </c>
      <c r="AA563">
        <v>0.303492808922806</v>
      </c>
      <c r="AB563">
        <v>0.41559598034543249</v>
      </c>
      <c r="AC563">
        <v>0.2778147530015776</v>
      </c>
      <c r="AD563">
        <v>0.30658926665298997</v>
      </c>
      <c r="AE563" t="s">
        <v>316</v>
      </c>
      <c r="AF563" t="s">
        <v>307</v>
      </c>
      <c r="AG563">
        <v>101.6</v>
      </c>
      <c r="AH563">
        <v>26</v>
      </c>
      <c r="AI563">
        <v>22</v>
      </c>
      <c r="AJ563">
        <v>5</v>
      </c>
      <c r="AK563">
        <v>27.4</v>
      </c>
      <c r="AL563">
        <v>217</v>
      </c>
      <c r="AM563">
        <v>3100</v>
      </c>
      <c r="AN563">
        <v>76</v>
      </c>
      <c r="AO563">
        <v>75</v>
      </c>
      <c r="AP563">
        <v>72</v>
      </c>
      <c r="AQ563">
        <v>4</v>
      </c>
      <c r="AR563" t="s">
        <v>29</v>
      </c>
      <c r="AS563" t="s">
        <v>314</v>
      </c>
      <c r="AT563" t="s">
        <v>307</v>
      </c>
      <c r="AU563">
        <v>142.47999999999999</v>
      </c>
      <c r="AV563">
        <v>28</v>
      </c>
      <c r="AW563">
        <v>18</v>
      </c>
      <c r="AX563">
        <v>11</v>
      </c>
      <c r="AY563">
        <v>25.6</v>
      </c>
      <c r="AZ563">
        <v>161</v>
      </c>
      <c r="BA563">
        <v>3818</v>
      </c>
      <c r="BB563">
        <v>75</v>
      </c>
      <c r="BC563">
        <v>75</v>
      </c>
      <c r="BD563">
        <v>73</v>
      </c>
      <c r="BE563">
        <v>3.5</v>
      </c>
      <c r="BF563" t="s">
        <v>46</v>
      </c>
      <c r="BG563">
        <v>-26</v>
      </c>
      <c r="BH563">
        <v>116</v>
      </c>
      <c r="BI563">
        <v>0.35599999999999998</v>
      </c>
      <c r="BJ563" t="s">
        <v>322</v>
      </c>
      <c r="BK563">
        <v>0.27500000000000002</v>
      </c>
      <c r="BL563">
        <v>0.27500000000000002</v>
      </c>
      <c r="BM563">
        <v>1.1299999999999999</v>
      </c>
      <c r="BN563">
        <v>1.38</v>
      </c>
    </row>
    <row r="564" spans="1:66" x14ac:dyDescent="0.25">
      <c r="A564">
        <v>1</v>
      </c>
      <c r="B564">
        <v>1</v>
      </c>
      <c r="C564">
        <v>1</v>
      </c>
      <c r="D564">
        <v>1.42</v>
      </c>
      <c r="E564">
        <v>4.5166666666666666</v>
      </c>
      <c r="F564">
        <v>7.7666666666666666</v>
      </c>
      <c r="G564" s="40">
        <v>0.56999999999999995</v>
      </c>
      <c r="H564" s="40">
        <v>0.27</v>
      </c>
      <c r="I564" s="40">
        <v>0.16000000000000003</v>
      </c>
      <c r="J564">
        <v>1.38</v>
      </c>
      <c r="K564">
        <v>4.5999999999999996</v>
      </c>
      <c r="L564">
        <v>8</v>
      </c>
      <c r="M564">
        <v>1.46</v>
      </c>
      <c r="N564">
        <v>4.2</v>
      </c>
      <c r="O564">
        <v>7.5</v>
      </c>
      <c r="P564">
        <v>1.42</v>
      </c>
      <c r="Q564">
        <v>4.75</v>
      </c>
      <c r="R564">
        <v>7.8</v>
      </c>
      <c r="S564">
        <v>0.72640526106532266</v>
      </c>
      <c r="T564">
        <v>0.14828983140090907</v>
      </c>
      <c r="U564">
        <v>0.12530490753376816</v>
      </c>
      <c r="V564">
        <v>0.64838829195998515</v>
      </c>
      <c r="W564">
        <v>0.22539212053847105</v>
      </c>
      <c r="X564">
        <v>0.12621958750154377</v>
      </c>
      <c r="Y564">
        <v>0.67522006159902315</v>
      </c>
      <c r="Z564">
        <v>0.20185526052012903</v>
      </c>
      <c r="AA564">
        <v>0.12292467788084781</v>
      </c>
      <c r="AB564">
        <v>0.68333787154144365</v>
      </c>
      <c r="AC564">
        <v>0.19184573748650302</v>
      </c>
      <c r="AD564">
        <v>0.12481639097205326</v>
      </c>
      <c r="AE564" t="s">
        <v>310</v>
      </c>
      <c r="AF564" t="s">
        <v>307</v>
      </c>
      <c r="AG564">
        <v>517.75</v>
      </c>
      <c r="AH564">
        <v>25</v>
      </c>
      <c r="AI564">
        <v>18</v>
      </c>
      <c r="AJ564">
        <v>17</v>
      </c>
      <c r="AK564">
        <v>27.6</v>
      </c>
      <c r="AL564">
        <v>38</v>
      </c>
      <c r="AM564">
        <v>7165</v>
      </c>
      <c r="AN564">
        <v>82</v>
      </c>
      <c r="AO564">
        <v>80</v>
      </c>
      <c r="AP564">
        <v>80</v>
      </c>
      <c r="AQ564">
        <v>4.5</v>
      </c>
      <c r="AR564" t="s">
        <v>29</v>
      </c>
      <c r="AS564" t="s">
        <v>315</v>
      </c>
      <c r="AT564" t="s">
        <v>307</v>
      </c>
      <c r="AU564">
        <v>184.13</v>
      </c>
      <c r="AV564">
        <v>30</v>
      </c>
      <c r="AW564">
        <v>20</v>
      </c>
      <c r="AX564">
        <v>13</v>
      </c>
      <c r="AY564">
        <v>26</v>
      </c>
      <c r="AZ564">
        <v>162</v>
      </c>
      <c r="BA564">
        <v>3817</v>
      </c>
      <c r="BB564">
        <v>76</v>
      </c>
      <c r="BC564">
        <v>74</v>
      </c>
      <c r="BD564">
        <v>77</v>
      </c>
      <c r="BE564">
        <v>4</v>
      </c>
      <c r="BF564" t="s">
        <v>46</v>
      </c>
      <c r="BG564">
        <v>3</v>
      </c>
      <c r="BH564">
        <v>210</v>
      </c>
      <c r="BI564">
        <v>0.32500000000000001</v>
      </c>
      <c r="BJ564" t="s">
        <v>322</v>
      </c>
      <c r="BK564">
        <v>0.58819999999999995</v>
      </c>
      <c r="BL564">
        <v>0.2195</v>
      </c>
      <c r="BM564">
        <v>2.02</v>
      </c>
      <c r="BN564">
        <v>1.34</v>
      </c>
    </row>
    <row r="565" spans="1:66" x14ac:dyDescent="0.25">
      <c r="A565">
        <v>1</v>
      </c>
      <c r="B565">
        <v>1</v>
      </c>
      <c r="C565">
        <v>1</v>
      </c>
      <c r="D565">
        <v>1.8866666666666667</v>
      </c>
      <c r="E565">
        <v>3.6333333333333333</v>
      </c>
      <c r="F565">
        <v>4</v>
      </c>
      <c r="G565" s="40">
        <v>0.4</v>
      </c>
      <c r="H565" s="40">
        <v>0.3</v>
      </c>
      <c r="I565" s="40">
        <v>0.3</v>
      </c>
      <c r="J565">
        <v>1.87</v>
      </c>
      <c r="K565">
        <v>3.7</v>
      </c>
      <c r="L565">
        <v>3.9</v>
      </c>
      <c r="M565">
        <v>1.91</v>
      </c>
      <c r="N565">
        <v>3.5</v>
      </c>
      <c r="O565">
        <v>4</v>
      </c>
      <c r="P565">
        <v>1.88</v>
      </c>
      <c r="Q565">
        <v>3.7</v>
      </c>
      <c r="R565">
        <v>4.0999999999999996</v>
      </c>
      <c r="S565">
        <v>0.52391284461661647</v>
      </c>
      <c r="T565">
        <v>0.22487766322105718</v>
      </c>
      <c r="U565">
        <v>0.25120949216232635</v>
      </c>
      <c r="V565">
        <v>0.49426301853486321</v>
      </c>
      <c r="W565">
        <v>0.26972639011473964</v>
      </c>
      <c r="X565">
        <v>0.23601059135039718</v>
      </c>
      <c r="Y565">
        <v>0.50848025742441516</v>
      </c>
      <c r="Z565">
        <v>0.25836294161024337</v>
      </c>
      <c r="AA565">
        <v>0.23315680096534158</v>
      </c>
      <c r="AB565">
        <v>0.50888537352529817</v>
      </c>
      <c r="AC565">
        <v>0.25098899831534677</v>
      </c>
      <c r="AD565">
        <v>0.24012562815935504</v>
      </c>
      <c r="AE565" t="s">
        <v>306</v>
      </c>
      <c r="AF565" t="s">
        <v>307</v>
      </c>
      <c r="AG565">
        <v>640.4</v>
      </c>
      <c r="AH565">
        <v>25</v>
      </c>
      <c r="AI565">
        <v>14</v>
      </c>
      <c r="AJ565">
        <v>20</v>
      </c>
      <c r="AK565">
        <v>27.3</v>
      </c>
      <c r="AL565">
        <v>14</v>
      </c>
      <c r="AM565">
        <v>9319</v>
      </c>
      <c r="AN565">
        <v>87</v>
      </c>
      <c r="AO565">
        <v>81</v>
      </c>
      <c r="AP565">
        <v>83</v>
      </c>
      <c r="AQ565">
        <v>5</v>
      </c>
      <c r="AR565" t="s">
        <v>28</v>
      </c>
      <c r="AS565" t="s">
        <v>312</v>
      </c>
      <c r="AT565" t="s">
        <v>307</v>
      </c>
      <c r="AU565">
        <v>418.35</v>
      </c>
      <c r="AV565">
        <v>31</v>
      </c>
      <c r="AW565">
        <v>20</v>
      </c>
      <c r="AX565">
        <v>19</v>
      </c>
      <c r="AY565">
        <v>25.4</v>
      </c>
      <c r="AZ565">
        <v>44</v>
      </c>
      <c r="BA565">
        <v>6735</v>
      </c>
      <c r="BB565">
        <v>79</v>
      </c>
      <c r="BC565">
        <v>77</v>
      </c>
      <c r="BD565">
        <v>76</v>
      </c>
      <c r="BE565">
        <v>4</v>
      </c>
      <c r="BF565" t="s">
        <v>29</v>
      </c>
      <c r="BG565">
        <v>94</v>
      </c>
      <c r="BH565">
        <v>334</v>
      </c>
      <c r="BI565">
        <v>0.47399999999999998</v>
      </c>
      <c r="BJ565" t="s">
        <v>322</v>
      </c>
      <c r="BK565">
        <v>0.65380000000000005</v>
      </c>
      <c r="BL565">
        <v>0.52829999999999999</v>
      </c>
      <c r="BM565">
        <v>2.08</v>
      </c>
      <c r="BN565">
        <v>1.87</v>
      </c>
    </row>
    <row r="566" spans="1:66" x14ac:dyDescent="0.25">
      <c r="A566">
        <v>3</v>
      </c>
      <c r="B566">
        <v>-1</v>
      </c>
      <c r="C566">
        <v>3</v>
      </c>
      <c r="D566">
        <v>4.0666666666666664</v>
      </c>
      <c r="E566">
        <v>3.35</v>
      </c>
      <c r="F566">
        <v>1.8863333333333332</v>
      </c>
      <c r="G566" s="40">
        <v>0.13</v>
      </c>
      <c r="H566" s="40">
        <v>0.21</v>
      </c>
      <c r="I566" s="40">
        <v>0.66</v>
      </c>
      <c r="J566">
        <v>3.9</v>
      </c>
      <c r="K566">
        <v>3.25</v>
      </c>
      <c r="L566">
        <v>1.83</v>
      </c>
      <c r="M566">
        <v>4.2</v>
      </c>
      <c r="N566">
        <v>3.4</v>
      </c>
      <c r="O566">
        <v>1.909</v>
      </c>
      <c r="P566">
        <v>4.0999999999999996</v>
      </c>
      <c r="Q566">
        <v>3.4</v>
      </c>
      <c r="R566">
        <v>1.92</v>
      </c>
      <c r="S566">
        <v>0.23963576958193264</v>
      </c>
      <c r="T566">
        <v>0.24966504934181755</v>
      </c>
      <c r="U566">
        <v>0.51069918107624979</v>
      </c>
      <c r="V566">
        <v>0.22545886537633214</v>
      </c>
      <c r="W566">
        <v>0.27850801017076326</v>
      </c>
      <c r="X566">
        <v>0.49603312445290471</v>
      </c>
      <c r="Y566">
        <v>0.23034580098800284</v>
      </c>
      <c r="Z566">
        <v>0.27776993648553278</v>
      </c>
      <c r="AA566">
        <v>0.49188426252646433</v>
      </c>
      <c r="AB566">
        <v>0.23181347864875587</v>
      </c>
      <c r="AC566">
        <v>0.26864766533270451</v>
      </c>
      <c r="AD566">
        <v>0.49953885601853959</v>
      </c>
      <c r="AE566" t="s">
        <v>124</v>
      </c>
      <c r="AF566" t="s">
        <v>108</v>
      </c>
      <c r="AG566">
        <v>150.30000000000001</v>
      </c>
      <c r="AH566">
        <v>36</v>
      </c>
      <c r="AI566">
        <v>0</v>
      </c>
      <c r="AJ566">
        <v>0</v>
      </c>
      <c r="AK566">
        <v>26.5</v>
      </c>
      <c r="AL566">
        <v>318</v>
      </c>
      <c r="AM566">
        <v>2355</v>
      </c>
      <c r="AN566">
        <v>69</v>
      </c>
      <c r="AO566">
        <v>71</v>
      </c>
      <c r="AP566">
        <v>71</v>
      </c>
      <c r="AQ566">
        <v>3.5</v>
      </c>
      <c r="AR566" t="s">
        <v>46</v>
      </c>
      <c r="AS566" t="s">
        <v>120</v>
      </c>
      <c r="AT566" t="s">
        <v>108</v>
      </c>
      <c r="AU566">
        <v>22.38</v>
      </c>
      <c r="AV566">
        <v>31</v>
      </c>
      <c r="AW566">
        <v>2</v>
      </c>
      <c r="AX566">
        <v>1</v>
      </c>
      <c r="AY566">
        <v>27.8</v>
      </c>
      <c r="AZ566">
        <v>106</v>
      </c>
      <c r="BA566">
        <v>4727</v>
      </c>
      <c r="BB566">
        <v>70</v>
      </c>
      <c r="BC566">
        <v>71</v>
      </c>
      <c r="BD566">
        <v>72</v>
      </c>
      <c r="BE566">
        <v>3.5</v>
      </c>
      <c r="BF566" t="s">
        <v>28</v>
      </c>
      <c r="BG566">
        <v>-5</v>
      </c>
      <c r="BH566">
        <v>0</v>
      </c>
      <c r="BI566">
        <v>0</v>
      </c>
      <c r="BJ566" t="s">
        <v>108</v>
      </c>
      <c r="BK566">
        <v>0.4909</v>
      </c>
      <c r="BL566">
        <v>0.4032</v>
      </c>
      <c r="BM566">
        <v>1.07</v>
      </c>
      <c r="BN566">
        <v>1.26</v>
      </c>
    </row>
    <row r="567" spans="1:66" x14ac:dyDescent="0.25">
      <c r="A567">
        <v>3</v>
      </c>
      <c r="B567">
        <v>-1</v>
      </c>
      <c r="C567">
        <v>1</v>
      </c>
      <c r="D567">
        <v>2.3166666666666669</v>
      </c>
      <c r="E567">
        <v>2.9066666666666663</v>
      </c>
      <c r="F567">
        <v>3.35</v>
      </c>
      <c r="G567" s="40">
        <v>0.36</v>
      </c>
      <c r="H567" s="40">
        <v>0.37</v>
      </c>
      <c r="I567" s="40">
        <v>0.27</v>
      </c>
      <c r="J567">
        <v>2.1800000000000002</v>
      </c>
      <c r="K567">
        <v>2.85</v>
      </c>
      <c r="L567">
        <v>3.35</v>
      </c>
      <c r="M567">
        <v>2.4</v>
      </c>
      <c r="N567">
        <v>2.95</v>
      </c>
      <c r="O567">
        <v>3.3</v>
      </c>
      <c r="P567">
        <v>2.37</v>
      </c>
      <c r="Q567">
        <v>2.92</v>
      </c>
      <c r="R567">
        <v>3.4</v>
      </c>
      <c r="S567">
        <v>0.4265706504052964</v>
      </c>
      <c r="T567">
        <v>0.29584009052498816</v>
      </c>
      <c r="U567">
        <v>0.27758925906971532</v>
      </c>
      <c r="V567">
        <v>0.39357186173438452</v>
      </c>
      <c r="W567">
        <v>0.32019405700424503</v>
      </c>
      <c r="X567">
        <v>0.28623408126137057</v>
      </c>
      <c r="Y567">
        <v>0.39861240484373495</v>
      </c>
      <c r="Z567">
        <v>0.32353130119166157</v>
      </c>
      <c r="AA567">
        <v>0.27785629396460348</v>
      </c>
      <c r="AB567">
        <v>0.40625163899447198</v>
      </c>
      <c r="AC567">
        <v>0.31318848290696494</v>
      </c>
      <c r="AD567">
        <v>0.28055987809856314</v>
      </c>
      <c r="AE567" t="s">
        <v>111</v>
      </c>
      <c r="AF567" t="s">
        <v>108</v>
      </c>
      <c r="AG567">
        <v>56.2</v>
      </c>
      <c r="AH567">
        <v>28</v>
      </c>
      <c r="AI567">
        <v>2</v>
      </c>
      <c r="AJ567">
        <v>2</v>
      </c>
      <c r="AK567">
        <v>25.9</v>
      </c>
      <c r="AL567">
        <v>15</v>
      </c>
      <c r="AM567">
        <v>9286</v>
      </c>
      <c r="AN567">
        <v>74</v>
      </c>
      <c r="AO567">
        <v>71</v>
      </c>
      <c r="AP567">
        <v>72</v>
      </c>
      <c r="AQ567">
        <v>3.5</v>
      </c>
      <c r="AR567" t="s">
        <v>29</v>
      </c>
      <c r="AS567" t="s">
        <v>118</v>
      </c>
      <c r="AT567" t="s">
        <v>108</v>
      </c>
      <c r="AU567">
        <v>65.8</v>
      </c>
      <c r="AV567">
        <v>34</v>
      </c>
      <c r="AW567">
        <v>4</v>
      </c>
      <c r="AX567">
        <v>2</v>
      </c>
      <c r="AY567">
        <v>27.6</v>
      </c>
      <c r="AZ567">
        <v>89</v>
      </c>
      <c r="BA567">
        <v>5108</v>
      </c>
      <c r="BB567">
        <v>70</v>
      </c>
      <c r="BC567">
        <v>73</v>
      </c>
      <c r="BD567">
        <v>72</v>
      </c>
      <c r="BE567">
        <v>3.5</v>
      </c>
      <c r="BF567" t="s">
        <v>29</v>
      </c>
      <c r="BG567">
        <v>-4</v>
      </c>
      <c r="BH567">
        <v>49</v>
      </c>
      <c r="BI567">
        <v>0.378</v>
      </c>
      <c r="BJ567" t="s">
        <v>108</v>
      </c>
      <c r="BK567">
        <v>0.43940000000000001</v>
      </c>
      <c r="BL567">
        <v>0.4839</v>
      </c>
      <c r="BM567">
        <v>1.29</v>
      </c>
      <c r="BN567">
        <v>1.52</v>
      </c>
    </row>
    <row r="568" spans="1:66" x14ac:dyDescent="0.25">
      <c r="A568">
        <v>1</v>
      </c>
      <c r="B568">
        <v>1</v>
      </c>
      <c r="C568">
        <v>1</v>
      </c>
      <c r="D568">
        <v>2.0133333333333332</v>
      </c>
      <c r="E568">
        <v>3.3666666666666671</v>
      </c>
      <c r="F568">
        <v>3.5833333333333335</v>
      </c>
      <c r="G568" s="40">
        <v>0.26</v>
      </c>
      <c r="H568" s="40">
        <v>0.38</v>
      </c>
      <c r="I568" s="40">
        <v>0.36</v>
      </c>
      <c r="J568">
        <v>2.02</v>
      </c>
      <c r="K568">
        <v>3.2</v>
      </c>
      <c r="L568">
        <v>3.3</v>
      </c>
      <c r="M568">
        <v>2</v>
      </c>
      <c r="N568">
        <v>3.45</v>
      </c>
      <c r="O568">
        <v>3.8</v>
      </c>
      <c r="P568">
        <v>2.02</v>
      </c>
      <c r="Q568">
        <v>3.45</v>
      </c>
      <c r="R568">
        <v>3.65</v>
      </c>
      <c r="S568">
        <v>0.45813920655089646</v>
      </c>
      <c r="T568">
        <v>0.26142406701491827</v>
      </c>
      <c r="U568">
        <v>0.2804367264341851</v>
      </c>
      <c r="V568">
        <v>0.47482796088373774</v>
      </c>
      <c r="W568">
        <v>0.27526258601955811</v>
      </c>
      <c r="X568">
        <v>0.24990945309670407</v>
      </c>
      <c r="Y568">
        <v>0.4675230652137593</v>
      </c>
      <c r="Z568">
        <v>0.27373814253095469</v>
      </c>
      <c r="AA568">
        <v>0.25873879225528595</v>
      </c>
      <c r="AB568">
        <v>0.46683007754946448</v>
      </c>
      <c r="AC568">
        <v>0.27014159852181036</v>
      </c>
      <c r="AD568">
        <v>0.26302832392872505</v>
      </c>
      <c r="AE568" t="s">
        <v>109</v>
      </c>
      <c r="AF568" t="s">
        <v>108</v>
      </c>
      <c r="AG568">
        <v>143.19999999999999</v>
      </c>
      <c r="AH568">
        <v>31</v>
      </c>
      <c r="AI568">
        <v>3</v>
      </c>
      <c r="AJ568">
        <v>4</v>
      </c>
      <c r="AK568">
        <v>27</v>
      </c>
      <c r="AL568">
        <v>5</v>
      </c>
      <c r="AM568">
        <v>11026</v>
      </c>
      <c r="AN568">
        <v>74</v>
      </c>
      <c r="AO568">
        <v>76</v>
      </c>
      <c r="AP568">
        <v>74</v>
      </c>
      <c r="AQ568">
        <v>3.5</v>
      </c>
      <c r="AR568" t="s">
        <v>29</v>
      </c>
      <c r="AS568" t="s">
        <v>112</v>
      </c>
      <c r="AT568" t="s">
        <v>108</v>
      </c>
      <c r="AU568">
        <v>59.75</v>
      </c>
      <c r="AV568">
        <v>28</v>
      </c>
      <c r="AW568">
        <v>8</v>
      </c>
      <c r="AX568">
        <v>4</v>
      </c>
      <c r="AY568">
        <v>26</v>
      </c>
      <c r="AZ568">
        <v>17</v>
      </c>
      <c r="BA568">
        <v>9035</v>
      </c>
      <c r="BB568">
        <v>71</v>
      </c>
      <c r="BC568">
        <v>75</v>
      </c>
      <c r="BD568">
        <v>75</v>
      </c>
      <c r="BE568">
        <v>3.5</v>
      </c>
      <c r="BF568" t="s">
        <v>29</v>
      </c>
      <c r="BG568">
        <v>-10</v>
      </c>
      <c r="BH568">
        <v>38</v>
      </c>
      <c r="BI568">
        <v>0.32300000000000001</v>
      </c>
      <c r="BJ568" t="s">
        <v>108</v>
      </c>
      <c r="BK568">
        <v>0.50649999999999995</v>
      </c>
      <c r="BL568">
        <v>0.52939999999999998</v>
      </c>
      <c r="BM568">
        <v>1.65</v>
      </c>
      <c r="BN568">
        <v>1.5</v>
      </c>
    </row>
    <row r="569" spans="1:66" x14ac:dyDescent="0.25">
      <c r="A569">
        <v>3</v>
      </c>
      <c r="B569">
        <v>-1</v>
      </c>
      <c r="C569">
        <v>1</v>
      </c>
      <c r="D569">
        <v>2.9166666666666665</v>
      </c>
      <c r="E569">
        <v>3.4</v>
      </c>
      <c r="F569">
        <v>2.3316666666666666</v>
      </c>
      <c r="G569" s="40">
        <v>0.25</v>
      </c>
      <c r="H569" s="40">
        <v>0.32</v>
      </c>
      <c r="I569" s="40">
        <v>0.43</v>
      </c>
      <c r="J569">
        <v>2.85</v>
      </c>
      <c r="K569">
        <v>3.3</v>
      </c>
      <c r="L569">
        <v>2.25</v>
      </c>
      <c r="M569">
        <v>3</v>
      </c>
      <c r="N569">
        <v>3.5</v>
      </c>
      <c r="O569">
        <v>2.375</v>
      </c>
      <c r="P569">
        <v>2.9</v>
      </c>
      <c r="Q569">
        <v>3.4</v>
      </c>
      <c r="R569">
        <v>2.37</v>
      </c>
      <c r="S569">
        <v>0.32697547683923706</v>
      </c>
      <c r="T569">
        <v>0.25885558583106266</v>
      </c>
      <c r="U569">
        <v>0.41416893732970028</v>
      </c>
      <c r="V569">
        <v>0.32048192771084344</v>
      </c>
      <c r="W569">
        <v>0.27469879518072288</v>
      </c>
      <c r="X569">
        <v>0.40481927710843379</v>
      </c>
      <c r="Y569">
        <v>0.32503731192771568</v>
      </c>
      <c r="Z569">
        <v>0.27723770723246344</v>
      </c>
      <c r="AA569">
        <v>0.39772498083982089</v>
      </c>
      <c r="AB569">
        <v>0.32416490549259874</v>
      </c>
      <c r="AC569">
        <v>0.27026402941474964</v>
      </c>
      <c r="AD569">
        <v>0.40557106509265167</v>
      </c>
      <c r="AE569" t="s">
        <v>177</v>
      </c>
      <c r="AF569" t="s">
        <v>160</v>
      </c>
      <c r="AG569">
        <v>31.08</v>
      </c>
      <c r="AH569">
        <v>30</v>
      </c>
      <c r="AI569">
        <v>17</v>
      </c>
      <c r="AJ569">
        <v>3</v>
      </c>
      <c r="AK569">
        <v>26.8</v>
      </c>
      <c r="AL569">
        <v>596</v>
      </c>
      <c r="AM569">
        <v>1058</v>
      </c>
      <c r="AN569">
        <v>71</v>
      </c>
      <c r="AO569">
        <v>68</v>
      </c>
      <c r="AP569">
        <v>67</v>
      </c>
      <c r="AQ569">
        <v>2.5</v>
      </c>
      <c r="AR569" t="s">
        <v>29</v>
      </c>
      <c r="AS569" t="s">
        <v>172</v>
      </c>
      <c r="AT569" t="s">
        <v>160</v>
      </c>
      <c r="AU569">
        <v>43.7</v>
      </c>
      <c r="AV569">
        <v>29</v>
      </c>
      <c r="AW569">
        <v>18</v>
      </c>
      <c r="AX569">
        <v>8</v>
      </c>
      <c r="AY569">
        <v>26</v>
      </c>
      <c r="AZ569">
        <v>342</v>
      </c>
      <c r="BA569">
        <v>2219</v>
      </c>
      <c r="BB569">
        <v>69</v>
      </c>
      <c r="BC569">
        <v>71</v>
      </c>
      <c r="BD569">
        <v>67</v>
      </c>
      <c r="BE569">
        <v>3.5</v>
      </c>
      <c r="BF569" t="s">
        <v>29</v>
      </c>
      <c r="BG569">
        <v>-7</v>
      </c>
      <c r="BH569">
        <v>2</v>
      </c>
      <c r="BI569">
        <v>0</v>
      </c>
      <c r="BJ569" t="s">
        <v>234</v>
      </c>
      <c r="BK569">
        <v>0.16669999999999999</v>
      </c>
      <c r="BL569">
        <v>0.44829999999999998</v>
      </c>
      <c r="BM569">
        <v>0.54</v>
      </c>
      <c r="BN569">
        <v>1.66</v>
      </c>
    </row>
    <row r="570" spans="1:66" x14ac:dyDescent="0.25">
      <c r="A570">
        <v>1</v>
      </c>
      <c r="B570">
        <v>1</v>
      </c>
      <c r="C570">
        <v>3</v>
      </c>
      <c r="D570">
        <v>2.4099999999999997</v>
      </c>
      <c r="E570">
        <v>3.3000000000000003</v>
      </c>
      <c r="F570">
        <v>2.86</v>
      </c>
      <c r="G570" s="40">
        <v>0.28999999999999998</v>
      </c>
      <c r="H570" s="40">
        <v>0.31</v>
      </c>
      <c r="I570" s="40">
        <v>0.39999999999999997</v>
      </c>
      <c r="J570">
        <v>2.3199999999999998</v>
      </c>
      <c r="K570">
        <v>3.2</v>
      </c>
      <c r="L570">
        <v>2.8</v>
      </c>
      <c r="M570">
        <v>2.4500000000000002</v>
      </c>
      <c r="N570">
        <v>3.4</v>
      </c>
      <c r="O570">
        <v>2.95</v>
      </c>
      <c r="P570">
        <v>2.46</v>
      </c>
      <c r="Q570">
        <v>3.3</v>
      </c>
      <c r="R570">
        <v>2.83</v>
      </c>
      <c r="S570">
        <v>0.40055794745628681</v>
      </c>
      <c r="T570">
        <v>0.26755118179421838</v>
      </c>
      <c r="U570">
        <v>0.33189087074949475</v>
      </c>
      <c r="V570">
        <v>0.39198827552515875</v>
      </c>
      <c r="W570">
        <v>0.28246213971665851</v>
      </c>
      <c r="X570">
        <v>0.32554958475818269</v>
      </c>
      <c r="Y570">
        <v>0.3824512261044769</v>
      </c>
      <c r="Z570">
        <v>0.28510000491424642</v>
      </c>
      <c r="AA570">
        <v>0.33244876898127673</v>
      </c>
      <c r="AB570">
        <v>0.39166581636197417</v>
      </c>
      <c r="AC570">
        <v>0.27837110880837446</v>
      </c>
      <c r="AD570">
        <v>0.32996307482965137</v>
      </c>
      <c r="AE570" t="s">
        <v>176</v>
      </c>
      <c r="AF570" t="s">
        <v>160</v>
      </c>
      <c r="AG570">
        <v>20.53</v>
      </c>
      <c r="AH570">
        <v>29</v>
      </c>
      <c r="AI570">
        <v>16</v>
      </c>
      <c r="AJ570">
        <v>9</v>
      </c>
      <c r="AK570">
        <v>26.6</v>
      </c>
      <c r="AL570">
        <v>388</v>
      </c>
      <c r="AM570">
        <v>1901</v>
      </c>
      <c r="AN570">
        <v>65</v>
      </c>
      <c r="AO570">
        <v>69</v>
      </c>
      <c r="AP570">
        <v>68</v>
      </c>
      <c r="AQ570">
        <v>2.5</v>
      </c>
      <c r="AR570" t="s">
        <v>46</v>
      </c>
      <c r="AS570" t="s">
        <v>163</v>
      </c>
      <c r="AT570" t="s">
        <v>160</v>
      </c>
      <c r="AU570">
        <v>41.2</v>
      </c>
      <c r="AV570">
        <v>27</v>
      </c>
      <c r="AW570">
        <v>14</v>
      </c>
      <c r="AX570">
        <v>6</v>
      </c>
      <c r="AY570">
        <v>26.8</v>
      </c>
      <c r="AZ570">
        <v>199</v>
      </c>
      <c r="BA570">
        <v>3295</v>
      </c>
      <c r="BB570">
        <v>72</v>
      </c>
      <c r="BC570">
        <v>73</v>
      </c>
      <c r="BD570">
        <v>67</v>
      </c>
      <c r="BE570">
        <v>3.5</v>
      </c>
      <c r="BF570" t="s">
        <v>29</v>
      </c>
      <c r="BG570">
        <v>-16</v>
      </c>
      <c r="BH570">
        <v>22</v>
      </c>
      <c r="BI570">
        <v>0.192</v>
      </c>
      <c r="BJ570" t="s">
        <v>234</v>
      </c>
      <c r="BK570">
        <v>0.16669999999999999</v>
      </c>
      <c r="BL570">
        <v>0.48980000000000001</v>
      </c>
      <c r="BM570">
        <v>1.29</v>
      </c>
      <c r="BN570">
        <v>1.93</v>
      </c>
    </row>
    <row r="571" spans="1:66" x14ac:dyDescent="0.25">
      <c r="A571">
        <v>3</v>
      </c>
      <c r="B571">
        <v>-1</v>
      </c>
      <c r="C571">
        <v>3</v>
      </c>
      <c r="D571">
        <v>3.1166666666666667</v>
      </c>
      <c r="E571">
        <v>2.9333333333333336</v>
      </c>
      <c r="F571">
        <v>2.5500000000000003</v>
      </c>
      <c r="G571" s="40">
        <v>0.24</v>
      </c>
      <c r="H571" s="40">
        <v>0.34</v>
      </c>
      <c r="I571" s="40">
        <v>0.42</v>
      </c>
      <c r="J571">
        <v>3.1</v>
      </c>
      <c r="K571">
        <v>2.9</v>
      </c>
      <c r="L571">
        <v>2.5499999999999998</v>
      </c>
      <c r="M571">
        <v>3.1</v>
      </c>
      <c r="N571">
        <v>3</v>
      </c>
      <c r="O571">
        <v>2.5</v>
      </c>
      <c r="P571">
        <v>3.15</v>
      </c>
      <c r="Q571">
        <v>2.9</v>
      </c>
      <c r="R571">
        <v>2.6</v>
      </c>
      <c r="S571">
        <v>0.31550394974778717</v>
      </c>
      <c r="T571">
        <v>0.30094222899019701</v>
      </c>
      <c r="U571">
        <v>0.38355382126201581</v>
      </c>
      <c r="V571">
        <v>0.30549898167006112</v>
      </c>
      <c r="W571">
        <v>0.31568228105906315</v>
      </c>
      <c r="X571">
        <v>0.37881873727087578</v>
      </c>
      <c r="Y571">
        <v>0.30323748240498694</v>
      </c>
      <c r="Z571">
        <v>0.32937864468127892</v>
      </c>
      <c r="AA571">
        <v>0.3673838729137342</v>
      </c>
      <c r="AB571">
        <v>0.30808013794094508</v>
      </c>
      <c r="AC571">
        <v>0.31533438491017973</v>
      </c>
      <c r="AD571">
        <v>0.37658547714887525</v>
      </c>
      <c r="AE571" t="s">
        <v>75</v>
      </c>
      <c r="AF571" t="s">
        <v>63</v>
      </c>
      <c r="AG571">
        <v>9.3000000000000007</v>
      </c>
      <c r="AH571">
        <v>29</v>
      </c>
      <c r="AI571">
        <v>4</v>
      </c>
      <c r="AJ571">
        <v>0</v>
      </c>
      <c r="AK571">
        <v>25.6</v>
      </c>
      <c r="AL571">
        <v>317</v>
      </c>
      <c r="AM571">
        <v>2374</v>
      </c>
      <c r="AN571">
        <v>69</v>
      </c>
      <c r="AO571">
        <v>66</v>
      </c>
      <c r="AP571">
        <v>64</v>
      </c>
      <c r="AQ571">
        <v>2.5</v>
      </c>
      <c r="AR571" t="s">
        <v>46</v>
      </c>
      <c r="AS571" t="s">
        <v>64</v>
      </c>
      <c r="AT571" t="s">
        <v>63</v>
      </c>
      <c r="AU571">
        <v>13.1</v>
      </c>
      <c r="AV571">
        <v>30</v>
      </c>
      <c r="AW571">
        <v>4</v>
      </c>
      <c r="AX571">
        <v>0</v>
      </c>
      <c r="AY571">
        <v>25.1</v>
      </c>
      <c r="AZ571">
        <v>71</v>
      </c>
      <c r="BA571">
        <v>5560</v>
      </c>
      <c r="BB571">
        <v>71</v>
      </c>
      <c r="BC571">
        <v>64</v>
      </c>
      <c r="BD571">
        <v>67</v>
      </c>
      <c r="BE571">
        <v>2</v>
      </c>
      <c r="BF571" t="s">
        <v>29</v>
      </c>
      <c r="BG571">
        <v>-12</v>
      </c>
      <c r="BH571">
        <v>24</v>
      </c>
      <c r="BI571">
        <v>0.318</v>
      </c>
      <c r="BJ571" t="s">
        <v>63</v>
      </c>
      <c r="BK571">
        <v>0.43480000000000002</v>
      </c>
      <c r="BL571">
        <v>0.37930000000000003</v>
      </c>
      <c r="BM571">
        <v>1.43</v>
      </c>
      <c r="BN571">
        <v>1.48</v>
      </c>
    </row>
    <row r="572" spans="1:66" x14ac:dyDescent="0.25">
      <c r="A572">
        <v>3</v>
      </c>
      <c r="B572">
        <v>-2</v>
      </c>
      <c r="C572">
        <v>2</v>
      </c>
      <c r="D572">
        <v>2.6533333333333338</v>
      </c>
      <c r="E572">
        <v>3.15</v>
      </c>
      <c r="F572">
        <v>2.7833333333333332</v>
      </c>
      <c r="G572" s="40">
        <v>0.26</v>
      </c>
      <c r="H572" s="40">
        <v>0.36</v>
      </c>
      <c r="I572" s="40">
        <v>0.38</v>
      </c>
      <c r="J572">
        <v>2.63</v>
      </c>
      <c r="K572">
        <v>3.2</v>
      </c>
      <c r="L572">
        <v>2.75</v>
      </c>
      <c r="M572">
        <v>2.65</v>
      </c>
      <c r="N572">
        <v>3.1</v>
      </c>
      <c r="O572">
        <v>2.8</v>
      </c>
      <c r="P572">
        <v>2.68</v>
      </c>
      <c r="Q572">
        <v>3.15</v>
      </c>
      <c r="R572">
        <v>2.8</v>
      </c>
      <c r="S572">
        <v>0.3710399351153863</v>
      </c>
      <c r="T572">
        <v>0.27411096330153534</v>
      </c>
      <c r="U572">
        <v>0.35484910158307853</v>
      </c>
      <c r="V572">
        <v>0.35698128727123174</v>
      </c>
      <c r="W572">
        <v>0.30516142298992394</v>
      </c>
      <c r="X572">
        <v>0.33785728973884432</v>
      </c>
      <c r="Y572">
        <v>0.35613340870548332</v>
      </c>
      <c r="Z572">
        <v>0.30299604296212551</v>
      </c>
      <c r="AA572">
        <v>0.34087054833239122</v>
      </c>
      <c r="AB572">
        <v>0.36138487703070044</v>
      </c>
      <c r="AC572">
        <v>0.29408947641786159</v>
      </c>
      <c r="AD572">
        <v>0.34452564655143808</v>
      </c>
      <c r="AE572" t="s">
        <v>68</v>
      </c>
      <c r="AF572" t="s">
        <v>63</v>
      </c>
      <c r="AG572">
        <v>16.600000000000001</v>
      </c>
      <c r="AH572">
        <v>36</v>
      </c>
      <c r="AI572">
        <v>2</v>
      </c>
      <c r="AJ572">
        <v>1</v>
      </c>
      <c r="AK572">
        <v>25.1</v>
      </c>
      <c r="AL572">
        <v>129</v>
      </c>
      <c r="AM572">
        <v>4227</v>
      </c>
      <c r="AN572">
        <v>62</v>
      </c>
      <c r="AO572">
        <v>66</v>
      </c>
      <c r="AP572">
        <v>64</v>
      </c>
      <c r="AQ572">
        <v>2</v>
      </c>
      <c r="AR572" t="s">
        <v>46</v>
      </c>
      <c r="AS572" t="s">
        <v>67</v>
      </c>
      <c r="AT572" t="s">
        <v>63</v>
      </c>
      <c r="AU572">
        <v>21.85</v>
      </c>
      <c r="AV572">
        <v>29</v>
      </c>
      <c r="AW572">
        <v>2</v>
      </c>
      <c r="AX572">
        <v>4</v>
      </c>
      <c r="AY572">
        <v>25.7</v>
      </c>
      <c r="AZ572">
        <v>104</v>
      </c>
      <c r="BA572">
        <v>4793</v>
      </c>
      <c r="BB572">
        <v>67</v>
      </c>
      <c r="BC572">
        <v>70</v>
      </c>
      <c r="BD572">
        <v>67</v>
      </c>
      <c r="BE572">
        <v>2.5</v>
      </c>
      <c r="BF572" t="s">
        <v>29</v>
      </c>
      <c r="BG572">
        <v>-10</v>
      </c>
      <c r="BH572">
        <v>32</v>
      </c>
      <c r="BI572">
        <v>0.32100000000000001</v>
      </c>
      <c r="BJ572" t="s">
        <v>63</v>
      </c>
      <c r="BK572">
        <v>0.38890000000000002</v>
      </c>
      <c r="BL572">
        <v>0.42859999999999998</v>
      </c>
      <c r="BM572">
        <v>1.39</v>
      </c>
      <c r="BN572">
        <v>1.75</v>
      </c>
    </row>
    <row r="573" spans="1:66" x14ac:dyDescent="0.25">
      <c r="A573">
        <v>1</v>
      </c>
      <c r="B573">
        <v>1</v>
      </c>
      <c r="C573">
        <v>3</v>
      </c>
      <c r="D573">
        <v>2.39</v>
      </c>
      <c r="E573">
        <v>3.0566666666666666</v>
      </c>
      <c r="F573">
        <v>3.1033333333333335</v>
      </c>
      <c r="G573" s="40">
        <v>0.21</v>
      </c>
      <c r="H573" s="40">
        <v>0.45</v>
      </c>
      <c r="I573" s="40">
        <v>0.34</v>
      </c>
      <c r="J573">
        <v>2.42</v>
      </c>
      <c r="K573">
        <v>3.07</v>
      </c>
      <c r="L573">
        <v>3.11</v>
      </c>
      <c r="M573">
        <v>2.4500000000000002</v>
      </c>
      <c r="N573">
        <v>3.1</v>
      </c>
      <c r="O573">
        <v>3.1</v>
      </c>
      <c r="P573">
        <v>2.2999999999999998</v>
      </c>
      <c r="Q573">
        <v>3</v>
      </c>
      <c r="R573">
        <v>3.1</v>
      </c>
      <c r="S573">
        <v>0.40285125934599697</v>
      </c>
      <c r="T573">
        <v>0.28367605653268069</v>
      </c>
      <c r="U573">
        <v>0.3134726841213224</v>
      </c>
      <c r="V573">
        <v>0.38749999999999996</v>
      </c>
      <c r="W573">
        <v>0.30625000000000002</v>
      </c>
      <c r="X573">
        <v>0.30625000000000002</v>
      </c>
      <c r="Y573">
        <v>0.39862837548221175</v>
      </c>
      <c r="Z573">
        <v>0.30561508786969571</v>
      </c>
      <c r="AA573">
        <v>0.29575653664809259</v>
      </c>
      <c r="AB573">
        <v>0.39632654494273623</v>
      </c>
      <c r="AC573">
        <v>0.29851371480079214</v>
      </c>
      <c r="AD573">
        <v>0.30515974025647169</v>
      </c>
      <c r="AE573" t="s">
        <v>73</v>
      </c>
      <c r="AF573" t="s">
        <v>63</v>
      </c>
      <c r="AG573">
        <v>11.68</v>
      </c>
      <c r="AH573">
        <v>34</v>
      </c>
      <c r="AI573">
        <v>4</v>
      </c>
      <c r="AJ573">
        <v>1</v>
      </c>
      <c r="AK573">
        <v>25.7</v>
      </c>
      <c r="AL573">
        <v>237</v>
      </c>
      <c r="AM573">
        <v>2952</v>
      </c>
      <c r="AN573">
        <v>69</v>
      </c>
      <c r="AO573">
        <v>68</v>
      </c>
      <c r="AP573">
        <v>68</v>
      </c>
      <c r="AQ573">
        <v>2.5</v>
      </c>
      <c r="AR573" t="s">
        <v>29</v>
      </c>
      <c r="AS573" t="s">
        <v>71</v>
      </c>
      <c r="AT573" t="s">
        <v>63</v>
      </c>
      <c r="AU573">
        <v>11.5</v>
      </c>
      <c r="AV573">
        <v>28</v>
      </c>
      <c r="AW573">
        <v>3</v>
      </c>
      <c r="AX573">
        <v>0</v>
      </c>
      <c r="AY573">
        <v>27</v>
      </c>
      <c r="AZ573">
        <v>205</v>
      </c>
      <c r="BA573">
        <v>3223</v>
      </c>
      <c r="BB573">
        <v>65</v>
      </c>
      <c r="BC573">
        <v>67</v>
      </c>
      <c r="BD573">
        <v>63</v>
      </c>
      <c r="BE573">
        <v>2</v>
      </c>
      <c r="BF573" t="s">
        <v>29</v>
      </c>
      <c r="BG573">
        <v>-10</v>
      </c>
      <c r="BH573">
        <v>22</v>
      </c>
      <c r="BI573">
        <v>0.17399999999999999</v>
      </c>
      <c r="BJ573" t="s">
        <v>63</v>
      </c>
      <c r="BK573">
        <v>0.31819999999999998</v>
      </c>
      <c r="BL573">
        <v>0.38479999999999998</v>
      </c>
      <c r="BM573">
        <v>1.23</v>
      </c>
      <c r="BN573">
        <v>1.42</v>
      </c>
    </row>
    <row r="574" spans="1:66" x14ac:dyDescent="0.25">
      <c r="A574">
        <v>1</v>
      </c>
      <c r="B574">
        <v>1</v>
      </c>
      <c r="C574">
        <v>3</v>
      </c>
      <c r="D574">
        <v>1.9366666666666665</v>
      </c>
      <c r="E574">
        <v>3.2566666666666664</v>
      </c>
      <c r="F574">
        <v>3.9766666666666666</v>
      </c>
      <c r="G574" s="40">
        <v>0.35</v>
      </c>
      <c r="H574" s="40">
        <v>0.37</v>
      </c>
      <c r="I574" s="40">
        <v>0.28000000000000003</v>
      </c>
      <c r="J574">
        <v>1.95</v>
      </c>
      <c r="K574">
        <v>3.27</v>
      </c>
      <c r="L574">
        <v>4.13</v>
      </c>
      <c r="M574">
        <v>2.0099999999999998</v>
      </c>
      <c r="N574">
        <v>3.2</v>
      </c>
      <c r="O574">
        <v>4</v>
      </c>
      <c r="P574">
        <v>1.85</v>
      </c>
      <c r="Q574">
        <v>3.3</v>
      </c>
      <c r="R574">
        <v>3.8</v>
      </c>
      <c r="S574">
        <v>0.50661891801757541</v>
      </c>
      <c r="T574">
        <v>0.2541784451460391</v>
      </c>
      <c r="U574">
        <v>0.23920263683638546</v>
      </c>
      <c r="V574">
        <v>0.46934584922264594</v>
      </c>
      <c r="W574">
        <v>0.2948078615429745</v>
      </c>
      <c r="X574">
        <v>0.23584628923437959</v>
      </c>
      <c r="Y574">
        <v>0.48841285296981496</v>
      </c>
      <c r="Z574">
        <v>0.27380720545277509</v>
      </c>
      <c r="AA574">
        <v>0.23777994157740995</v>
      </c>
      <c r="AB574">
        <v>0.48812587340334551</v>
      </c>
      <c r="AC574">
        <v>0.27426450404726288</v>
      </c>
      <c r="AD574">
        <v>0.23760962254939166</v>
      </c>
      <c r="AE574" t="s">
        <v>76</v>
      </c>
      <c r="AF574" t="s">
        <v>63</v>
      </c>
      <c r="AG574">
        <v>10.15</v>
      </c>
      <c r="AH574">
        <v>30</v>
      </c>
      <c r="AI574">
        <v>3</v>
      </c>
      <c r="AJ574">
        <v>0</v>
      </c>
      <c r="AK574">
        <v>27.4</v>
      </c>
      <c r="AL574">
        <v>349</v>
      </c>
      <c r="AM574">
        <v>2119</v>
      </c>
      <c r="AN574">
        <v>59</v>
      </c>
      <c r="AO574">
        <v>64</v>
      </c>
      <c r="AP574">
        <v>65</v>
      </c>
      <c r="AQ574">
        <v>2</v>
      </c>
      <c r="AR574" t="s">
        <v>29</v>
      </c>
      <c r="AS574" t="s">
        <v>69</v>
      </c>
      <c r="AT574" t="s">
        <v>63</v>
      </c>
      <c r="AU574">
        <v>8.83</v>
      </c>
      <c r="AV574">
        <v>30</v>
      </c>
      <c r="AW574">
        <v>1</v>
      </c>
      <c r="AX574">
        <v>0</v>
      </c>
      <c r="AY574">
        <v>27</v>
      </c>
      <c r="AZ574">
        <v>181</v>
      </c>
      <c r="BA574">
        <v>3617</v>
      </c>
      <c r="BB574">
        <v>63</v>
      </c>
      <c r="BC574">
        <v>64</v>
      </c>
      <c r="BD574">
        <v>64</v>
      </c>
      <c r="BE574">
        <v>1.5</v>
      </c>
      <c r="BF574" t="s">
        <v>29</v>
      </c>
      <c r="BG574">
        <v>3</v>
      </c>
      <c r="BH574">
        <v>22</v>
      </c>
      <c r="BI574">
        <v>0.54500000000000004</v>
      </c>
      <c r="BJ574" t="s">
        <v>63</v>
      </c>
      <c r="BK574">
        <v>0.2727</v>
      </c>
      <c r="BL574">
        <v>0.37040000000000001</v>
      </c>
      <c r="BM574">
        <v>0.82</v>
      </c>
      <c r="BN574">
        <v>1.1499999999999999</v>
      </c>
    </row>
    <row r="575" spans="1:66" x14ac:dyDescent="0.25">
      <c r="A575">
        <v>2</v>
      </c>
      <c r="B575">
        <v>0</v>
      </c>
      <c r="C575">
        <v>4</v>
      </c>
      <c r="D575">
        <v>3.2633333333333332</v>
      </c>
      <c r="E575">
        <v>2.706666666666667</v>
      </c>
      <c r="F575">
        <v>2.5333333333333332</v>
      </c>
      <c r="G575" s="40">
        <v>0.25</v>
      </c>
      <c r="H575" s="40">
        <v>0.45</v>
      </c>
      <c r="I575" s="40">
        <v>0.3</v>
      </c>
      <c r="J575">
        <v>3.29</v>
      </c>
      <c r="K575">
        <v>2.75</v>
      </c>
      <c r="L575">
        <v>2.5499999999999998</v>
      </c>
      <c r="M575">
        <v>3.25</v>
      </c>
      <c r="N575">
        <v>2.75</v>
      </c>
      <c r="O575">
        <v>2.6</v>
      </c>
      <c r="P575">
        <v>3.25</v>
      </c>
      <c r="Q575">
        <v>2.62</v>
      </c>
      <c r="R575">
        <v>2.4500000000000002</v>
      </c>
      <c r="S575">
        <v>0.29878026597553003</v>
      </c>
      <c r="T575">
        <v>0.31573460655015861</v>
      </c>
      <c r="U575">
        <v>0.3854851274743113</v>
      </c>
      <c r="V575">
        <v>0.29139072847682124</v>
      </c>
      <c r="W575">
        <v>0.34437086092715236</v>
      </c>
      <c r="X575">
        <v>0.36423841059602652</v>
      </c>
      <c r="Y575">
        <v>0.28034852488371587</v>
      </c>
      <c r="Z575">
        <v>0.34776057476033451</v>
      </c>
      <c r="AA575">
        <v>0.37189090035594957</v>
      </c>
      <c r="AB575">
        <v>0.29017317311202234</v>
      </c>
      <c r="AC575">
        <v>0.33595534741254846</v>
      </c>
      <c r="AD575">
        <v>0.37387147947542915</v>
      </c>
      <c r="AE575" t="s">
        <v>65</v>
      </c>
      <c r="AF575" t="s">
        <v>63</v>
      </c>
      <c r="AG575">
        <v>14.58</v>
      </c>
      <c r="AH575">
        <v>35</v>
      </c>
      <c r="AI575">
        <v>3</v>
      </c>
      <c r="AJ575">
        <v>1</v>
      </c>
      <c r="AK575">
        <v>25.9</v>
      </c>
      <c r="AL575">
        <v>91</v>
      </c>
      <c r="AM575">
        <v>5087</v>
      </c>
      <c r="AN575">
        <v>68</v>
      </c>
      <c r="AO575">
        <v>61</v>
      </c>
      <c r="AP575">
        <v>64</v>
      </c>
      <c r="AQ575">
        <v>1.5</v>
      </c>
      <c r="AR575" t="s">
        <v>29</v>
      </c>
      <c r="AS575" t="s">
        <v>62</v>
      </c>
      <c r="AT575" t="s">
        <v>63</v>
      </c>
      <c r="AU575">
        <v>18.350000000000001</v>
      </c>
      <c r="AV575">
        <v>29</v>
      </c>
      <c r="AW575">
        <v>3</v>
      </c>
      <c r="AX575">
        <v>1</v>
      </c>
      <c r="AY575">
        <v>27.4</v>
      </c>
      <c r="AZ575">
        <v>66</v>
      </c>
      <c r="BA575">
        <v>5865</v>
      </c>
      <c r="BB575">
        <v>67</v>
      </c>
      <c r="BC575">
        <v>68</v>
      </c>
      <c r="BD575">
        <v>66</v>
      </c>
      <c r="BE575">
        <v>2.5</v>
      </c>
      <c r="BF575" t="s">
        <v>29</v>
      </c>
      <c r="BG575">
        <v>-6</v>
      </c>
      <c r="BH575">
        <v>38</v>
      </c>
      <c r="BI575">
        <v>0.28999999999999998</v>
      </c>
      <c r="BJ575" t="s">
        <v>63</v>
      </c>
      <c r="BK575">
        <v>0.35289999999999999</v>
      </c>
      <c r="BL575">
        <v>0.4375</v>
      </c>
      <c r="BM575">
        <v>1.24</v>
      </c>
      <c r="BN575">
        <v>1.25</v>
      </c>
    </row>
    <row r="576" spans="1:66" x14ac:dyDescent="0.25">
      <c r="A576">
        <v>1</v>
      </c>
      <c r="B576">
        <v>3</v>
      </c>
      <c r="C576">
        <v>5</v>
      </c>
      <c r="D576">
        <v>1.6566666666666665</v>
      </c>
      <c r="E576">
        <v>3.5733333333333337</v>
      </c>
      <c r="F576">
        <v>5.3866666666666667</v>
      </c>
      <c r="G576" s="40">
        <v>0.34</v>
      </c>
      <c r="H576" s="40">
        <v>0.36</v>
      </c>
      <c r="I576" s="40">
        <v>0.29999999999999993</v>
      </c>
      <c r="J576">
        <v>1.65</v>
      </c>
      <c r="K576">
        <v>3.62</v>
      </c>
      <c r="L576">
        <v>5.66</v>
      </c>
      <c r="M576">
        <v>1.75</v>
      </c>
      <c r="N576">
        <v>3.5</v>
      </c>
      <c r="O576">
        <v>5</v>
      </c>
      <c r="P576">
        <v>1.57</v>
      </c>
      <c r="Q576">
        <v>3.6</v>
      </c>
      <c r="R576">
        <v>5.5</v>
      </c>
      <c r="S576">
        <v>0.6105321003133376</v>
      </c>
      <c r="T576">
        <v>0.21148592698047736</v>
      </c>
      <c r="U576">
        <v>0.17798197270618502</v>
      </c>
      <c r="V576">
        <v>0.54054054054054057</v>
      </c>
      <c r="W576">
        <v>0.27027027027027029</v>
      </c>
      <c r="X576">
        <v>0.18918918918918917</v>
      </c>
      <c r="Y576">
        <v>0.58086660603749229</v>
      </c>
      <c r="Z576">
        <v>0.25332238096635085</v>
      </c>
      <c r="AA576">
        <v>0.16581101299615689</v>
      </c>
      <c r="AB576">
        <v>0.57731308229712353</v>
      </c>
      <c r="AC576">
        <v>0.24502619273903284</v>
      </c>
      <c r="AD576">
        <v>0.17766072496384369</v>
      </c>
      <c r="AE576" t="s">
        <v>70</v>
      </c>
      <c r="AF576" t="s">
        <v>63</v>
      </c>
      <c r="AG576">
        <v>16.38</v>
      </c>
      <c r="AH576">
        <v>28</v>
      </c>
      <c r="AI576">
        <v>1</v>
      </c>
      <c r="AJ576">
        <v>3</v>
      </c>
      <c r="AK576">
        <v>25.3</v>
      </c>
      <c r="AL576">
        <v>200</v>
      </c>
      <c r="AM576">
        <v>3276</v>
      </c>
      <c r="AN576">
        <v>69</v>
      </c>
      <c r="AO576">
        <v>63</v>
      </c>
      <c r="AP576">
        <v>65</v>
      </c>
      <c r="AQ576">
        <v>2</v>
      </c>
      <c r="AR576" t="s">
        <v>29</v>
      </c>
      <c r="AS576" t="s">
        <v>66</v>
      </c>
      <c r="AT576" t="s">
        <v>63</v>
      </c>
      <c r="AU576">
        <v>22.13</v>
      </c>
      <c r="AV576">
        <v>32</v>
      </c>
      <c r="AW576">
        <v>3</v>
      </c>
      <c r="AX576">
        <v>0</v>
      </c>
      <c r="AY576">
        <v>27.7</v>
      </c>
      <c r="AZ576">
        <v>93</v>
      </c>
      <c r="BA576">
        <v>5011</v>
      </c>
      <c r="BB576">
        <v>70</v>
      </c>
      <c r="BC576">
        <v>70</v>
      </c>
      <c r="BD576">
        <v>67</v>
      </c>
      <c r="BE576">
        <v>3</v>
      </c>
      <c r="BF576" t="s">
        <v>28</v>
      </c>
      <c r="BG576">
        <v>-2</v>
      </c>
      <c r="BH576">
        <v>42</v>
      </c>
      <c r="BI576">
        <v>0.30599999999999999</v>
      </c>
      <c r="BJ576" t="s">
        <v>63</v>
      </c>
      <c r="BK576">
        <v>0.36</v>
      </c>
      <c r="BL576">
        <v>0.4</v>
      </c>
      <c r="BM576">
        <v>1.44</v>
      </c>
      <c r="BN576">
        <v>1.28</v>
      </c>
    </row>
    <row r="577" spans="1:66" x14ac:dyDescent="0.25">
      <c r="A577">
        <v>2</v>
      </c>
      <c r="B577">
        <v>0</v>
      </c>
      <c r="C577">
        <v>2</v>
      </c>
      <c r="D577">
        <v>1.9233333333333331</v>
      </c>
      <c r="E577">
        <v>3.4733333333333332</v>
      </c>
      <c r="F577">
        <v>4.0466666666666669</v>
      </c>
      <c r="G577" s="40">
        <v>0.38</v>
      </c>
      <c r="H577" s="40">
        <v>0.43</v>
      </c>
      <c r="I577" s="40">
        <v>0.19</v>
      </c>
      <c r="J577">
        <v>1.95</v>
      </c>
      <c r="K577">
        <v>3.52</v>
      </c>
      <c r="L577">
        <v>4.1399999999999997</v>
      </c>
      <c r="M577">
        <v>1.97</v>
      </c>
      <c r="N577">
        <v>3.3</v>
      </c>
      <c r="O577">
        <v>4</v>
      </c>
      <c r="P577">
        <v>1.85</v>
      </c>
      <c r="Q577">
        <v>3.6</v>
      </c>
      <c r="R577">
        <v>4</v>
      </c>
      <c r="S577">
        <v>0.51740148136749808</v>
      </c>
      <c r="T577">
        <v>0.23889492233621656</v>
      </c>
      <c r="U577">
        <v>0.24370359629628532</v>
      </c>
      <c r="V577">
        <v>0.47859033392552852</v>
      </c>
      <c r="W577">
        <v>0.28570392661614885</v>
      </c>
      <c r="X577">
        <v>0.23570573945832279</v>
      </c>
      <c r="Y577">
        <v>0.50597329585383</v>
      </c>
      <c r="Z577">
        <v>0.26001405481377371</v>
      </c>
      <c r="AA577">
        <v>0.23401264933239638</v>
      </c>
      <c r="AB577">
        <v>0.5006550370489522</v>
      </c>
      <c r="AC577">
        <v>0.26153763458871304</v>
      </c>
      <c r="AD577">
        <v>0.23780732836233484</v>
      </c>
      <c r="AE577" t="s">
        <v>261</v>
      </c>
      <c r="AF577" t="s">
        <v>253</v>
      </c>
      <c r="AG577">
        <v>239.45</v>
      </c>
      <c r="AH577">
        <v>26</v>
      </c>
      <c r="AI577">
        <v>14</v>
      </c>
      <c r="AJ577">
        <v>7</v>
      </c>
      <c r="AK577">
        <v>27.4</v>
      </c>
      <c r="AL577">
        <v>135</v>
      </c>
      <c r="AM577">
        <v>4146</v>
      </c>
      <c r="AN577">
        <v>77</v>
      </c>
      <c r="AO577">
        <v>75</v>
      </c>
      <c r="AP577">
        <v>75</v>
      </c>
      <c r="AQ577">
        <v>4</v>
      </c>
      <c r="AR577" t="s">
        <v>29</v>
      </c>
      <c r="AS577" t="s">
        <v>263</v>
      </c>
      <c r="AT577" t="s">
        <v>253</v>
      </c>
      <c r="AU577">
        <v>242.9</v>
      </c>
      <c r="AV577">
        <v>26</v>
      </c>
      <c r="AW577">
        <v>15</v>
      </c>
      <c r="AX577">
        <v>8</v>
      </c>
      <c r="AY577">
        <v>27.8</v>
      </c>
      <c r="AZ577">
        <v>156</v>
      </c>
      <c r="BA577">
        <v>3890</v>
      </c>
      <c r="BB577">
        <v>77</v>
      </c>
      <c r="BC577">
        <v>75</v>
      </c>
      <c r="BD577">
        <v>74</v>
      </c>
      <c r="BE577">
        <v>4</v>
      </c>
      <c r="BF577" t="s">
        <v>46</v>
      </c>
      <c r="BG577">
        <v>-16</v>
      </c>
      <c r="BH577">
        <v>34</v>
      </c>
      <c r="BI577">
        <v>0.26500000000000001</v>
      </c>
      <c r="BJ577" t="s">
        <v>267</v>
      </c>
      <c r="BK577">
        <v>0.3</v>
      </c>
      <c r="BL577">
        <v>0.3256</v>
      </c>
      <c r="BM577">
        <v>1.03</v>
      </c>
      <c r="BN577">
        <v>1.28</v>
      </c>
    </row>
    <row r="578" spans="1:66" x14ac:dyDescent="0.25">
      <c r="A578">
        <v>3</v>
      </c>
      <c r="B578">
        <v>-3</v>
      </c>
      <c r="C578">
        <v>5</v>
      </c>
      <c r="D578">
        <v>2.8866666666666667</v>
      </c>
      <c r="E578">
        <v>3.6300000000000003</v>
      </c>
      <c r="F578">
        <v>2.333333333333333</v>
      </c>
      <c r="G578" s="40">
        <v>0.26</v>
      </c>
      <c r="H578" s="40">
        <v>0.33</v>
      </c>
      <c r="I578" s="40">
        <v>0.41</v>
      </c>
      <c r="J578">
        <v>2.96</v>
      </c>
      <c r="K578">
        <v>3.69</v>
      </c>
      <c r="L578">
        <v>2.3199999999999998</v>
      </c>
      <c r="M578">
        <v>2.8</v>
      </c>
      <c r="N578">
        <v>3.6</v>
      </c>
      <c r="O578">
        <v>2.38</v>
      </c>
      <c r="P578">
        <v>2.9</v>
      </c>
      <c r="Q578">
        <v>3.6</v>
      </c>
      <c r="R578">
        <v>2.2999999999999998</v>
      </c>
      <c r="S578">
        <v>0.33512108813446867</v>
      </c>
      <c r="T578">
        <v>0.23731062700431274</v>
      </c>
      <c r="U578">
        <v>0.42756828486121867</v>
      </c>
      <c r="V578">
        <v>0.33849557522123896</v>
      </c>
      <c r="W578">
        <v>0.26327433628318586</v>
      </c>
      <c r="X578">
        <v>0.39823008849557523</v>
      </c>
      <c r="Y578">
        <v>0.32611264277274515</v>
      </c>
      <c r="Z578">
        <v>0.26270185112248912</v>
      </c>
      <c r="AA578">
        <v>0.41118550610476562</v>
      </c>
      <c r="AB578">
        <v>0.33324310204281754</v>
      </c>
      <c r="AC578">
        <v>0.25442893813666256</v>
      </c>
      <c r="AD578">
        <v>0.41232795982051984</v>
      </c>
      <c r="AE578" t="s">
        <v>258</v>
      </c>
      <c r="AF578" t="s">
        <v>253</v>
      </c>
      <c r="AG578">
        <v>937.25</v>
      </c>
      <c r="AH578">
        <v>28</v>
      </c>
      <c r="AI578">
        <v>17</v>
      </c>
      <c r="AJ578">
        <v>21</v>
      </c>
      <c r="AK578">
        <v>27.9</v>
      </c>
      <c r="AL578">
        <v>39</v>
      </c>
      <c r="AM578">
        <v>7151</v>
      </c>
      <c r="AN578">
        <v>83</v>
      </c>
      <c r="AO578">
        <v>82</v>
      </c>
      <c r="AP578">
        <v>82</v>
      </c>
      <c r="AQ578">
        <v>4.5</v>
      </c>
      <c r="AR578" t="s">
        <v>29</v>
      </c>
      <c r="AS578" t="s">
        <v>252</v>
      </c>
      <c r="AT578" t="s">
        <v>253</v>
      </c>
      <c r="AU578">
        <v>879.5</v>
      </c>
      <c r="AV578">
        <v>27</v>
      </c>
      <c r="AW578">
        <v>19</v>
      </c>
      <c r="AX578">
        <v>18</v>
      </c>
      <c r="AY578">
        <v>27</v>
      </c>
      <c r="AZ578">
        <v>1</v>
      </c>
      <c r="BA578">
        <v>14695</v>
      </c>
      <c r="BB578">
        <v>86</v>
      </c>
      <c r="BC578">
        <v>83</v>
      </c>
      <c r="BD578">
        <v>80</v>
      </c>
      <c r="BE578">
        <v>5</v>
      </c>
      <c r="BF578" t="s">
        <v>29</v>
      </c>
      <c r="BG578">
        <v>-1</v>
      </c>
      <c r="BH578">
        <v>203</v>
      </c>
      <c r="BI578">
        <v>0.40400000000000003</v>
      </c>
      <c r="BJ578" t="s">
        <v>267</v>
      </c>
      <c r="BK578">
        <v>0.57379999999999998</v>
      </c>
      <c r="BL578">
        <v>0.52829999999999999</v>
      </c>
      <c r="BM578">
        <v>1.98</v>
      </c>
      <c r="BN578">
        <v>1.83</v>
      </c>
    </row>
    <row r="579" spans="1:66" x14ac:dyDescent="0.25">
      <c r="A579">
        <v>1</v>
      </c>
      <c r="B579">
        <v>3</v>
      </c>
      <c r="C579">
        <v>5</v>
      </c>
      <c r="D579">
        <v>1.6233333333333333</v>
      </c>
      <c r="E579">
        <v>3.793333333333333</v>
      </c>
      <c r="F579">
        <v>6.0766666666666671</v>
      </c>
      <c r="G579" s="40">
        <v>0.38</v>
      </c>
      <c r="H579" s="40">
        <v>0.37</v>
      </c>
      <c r="I579" s="40">
        <v>0.25</v>
      </c>
      <c r="J579">
        <v>1.65</v>
      </c>
      <c r="K579">
        <v>3.88</v>
      </c>
      <c r="L579">
        <v>5.73</v>
      </c>
      <c r="M579">
        <v>1.62</v>
      </c>
      <c r="N579">
        <v>3.75</v>
      </c>
      <c r="O579">
        <v>6.5</v>
      </c>
      <c r="P579">
        <v>1.6</v>
      </c>
      <c r="Q579">
        <v>3.75</v>
      </c>
      <c r="R579">
        <v>6</v>
      </c>
      <c r="S579">
        <v>0.62135471128151509</v>
      </c>
      <c r="T579">
        <v>0.19972115719762987</v>
      </c>
      <c r="U579">
        <v>0.17892413152085512</v>
      </c>
      <c r="V579">
        <v>0.59480234260614928</v>
      </c>
      <c r="W579">
        <v>0.25695461200585651</v>
      </c>
      <c r="X579">
        <v>0.14824304538799413</v>
      </c>
      <c r="Y579">
        <v>0.59055118110236215</v>
      </c>
      <c r="Z579">
        <v>0.25196850393700787</v>
      </c>
      <c r="AA579">
        <v>0.15748031496062992</v>
      </c>
      <c r="AB579">
        <v>0.60223607833000881</v>
      </c>
      <c r="AC579">
        <v>0.23621475771349809</v>
      </c>
      <c r="AD579">
        <v>0.16154916395649305</v>
      </c>
      <c r="AE579" t="s">
        <v>57</v>
      </c>
      <c r="AF579" t="s">
        <v>26</v>
      </c>
      <c r="AG579">
        <v>100.5</v>
      </c>
      <c r="AH579">
        <v>25</v>
      </c>
      <c r="AI579">
        <v>13</v>
      </c>
      <c r="AJ579">
        <v>6</v>
      </c>
      <c r="AK579">
        <v>25.5</v>
      </c>
      <c r="AL579">
        <v>234</v>
      </c>
      <c r="AM579">
        <v>2973</v>
      </c>
      <c r="AN579">
        <v>72</v>
      </c>
      <c r="AO579">
        <v>73</v>
      </c>
      <c r="AP579">
        <v>73</v>
      </c>
      <c r="AQ579">
        <v>3.5</v>
      </c>
      <c r="AR579" t="s">
        <v>46</v>
      </c>
      <c r="AS579" t="s">
        <v>275</v>
      </c>
      <c r="AT579" t="s">
        <v>26</v>
      </c>
      <c r="AU579">
        <v>97.1</v>
      </c>
      <c r="AV579">
        <v>28</v>
      </c>
      <c r="AW579">
        <v>18</v>
      </c>
      <c r="AX579">
        <v>10</v>
      </c>
      <c r="AY579">
        <v>26</v>
      </c>
      <c r="AZ579">
        <v>276</v>
      </c>
      <c r="BA579">
        <v>2599</v>
      </c>
      <c r="BB579">
        <v>73</v>
      </c>
      <c r="BC579">
        <v>74</v>
      </c>
      <c r="BD579">
        <v>74</v>
      </c>
      <c r="BE579">
        <v>3.5</v>
      </c>
      <c r="BF579" t="s">
        <v>46</v>
      </c>
      <c r="BG579">
        <v>0</v>
      </c>
      <c r="BH579">
        <v>39</v>
      </c>
      <c r="BI579">
        <v>0.35499999999999998</v>
      </c>
      <c r="BJ579" t="s">
        <v>273</v>
      </c>
      <c r="BK579">
        <v>0.30559999999999998</v>
      </c>
      <c r="BL579">
        <v>0.30559999999999998</v>
      </c>
      <c r="BM579">
        <v>1.28</v>
      </c>
      <c r="BN579">
        <v>1.19</v>
      </c>
    </row>
    <row r="580" spans="1:66" x14ac:dyDescent="0.25">
      <c r="A580">
        <v>3</v>
      </c>
      <c r="B580">
        <v>-2</v>
      </c>
      <c r="C580">
        <v>2</v>
      </c>
      <c r="D580">
        <v>2.1333333333333333</v>
      </c>
      <c r="E580">
        <v>3.3033333333333332</v>
      </c>
      <c r="F580">
        <v>3.66</v>
      </c>
      <c r="G580" s="40">
        <v>0.24</v>
      </c>
      <c r="H580" s="40">
        <v>0.42</v>
      </c>
      <c r="I580" s="40">
        <v>0.34</v>
      </c>
      <c r="J580">
        <v>2.2000000000000002</v>
      </c>
      <c r="K580">
        <v>3.26</v>
      </c>
      <c r="L580">
        <v>3.58</v>
      </c>
      <c r="M580">
        <v>2.1</v>
      </c>
      <c r="N580">
        <v>3.35</v>
      </c>
      <c r="O580">
        <v>3.8</v>
      </c>
      <c r="P580">
        <v>2.1</v>
      </c>
      <c r="Q580">
        <v>3.3</v>
      </c>
      <c r="R580">
        <v>3.6</v>
      </c>
      <c r="S580">
        <v>0.45504931639747759</v>
      </c>
      <c r="T580">
        <v>0.26531143888898873</v>
      </c>
      <c r="U580">
        <v>0.27963924471353374</v>
      </c>
      <c r="V580">
        <v>0.45882140926293025</v>
      </c>
      <c r="W580">
        <v>0.28761939088123983</v>
      </c>
      <c r="X580">
        <v>0.25355919985582986</v>
      </c>
      <c r="Y580">
        <v>0.45051194539249145</v>
      </c>
      <c r="Z580">
        <v>0.28668941979522189</v>
      </c>
      <c r="AA580">
        <v>0.26279863481228671</v>
      </c>
      <c r="AB580">
        <v>0.45479422368429973</v>
      </c>
      <c r="AC580">
        <v>0.27987341652181685</v>
      </c>
      <c r="AD580">
        <v>0.26533235979388342</v>
      </c>
      <c r="AE580" t="s">
        <v>274</v>
      </c>
      <c r="AF580" t="s">
        <v>26</v>
      </c>
      <c r="AG580">
        <v>287.75</v>
      </c>
      <c r="AH580">
        <v>31</v>
      </c>
      <c r="AI580">
        <v>20</v>
      </c>
      <c r="AJ580">
        <v>11</v>
      </c>
      <c r="AK580">
        <v>25.4</v>
      </c>
      <c r="AL580">
        <v>65</v>
      </c>
      <c r="AM580">
        <v>5919</v>
      </c>
      <c r="AN580">
        <v>78</v>
      </c>
      <c r="AO580">
        <v>78</v>
      </c>
      <c r="AP580">
        <v>77</v>
      </c>
      <c r="AQ580">
        <v>4</v>
      </c>
      <c r="AR580" t="s">
        <v>46</v>
      </c>
      <c r="AS580" t="s">
        <v>55</v>
      </c>
      <c r="AT580" t="s">
        <v>26</v>
      </c>
      <c r="AU580">
        <v>125.15</v>
      </c>
      <c r="AV580">
        <v>26</v>
      </c>
      <c r="AW580">
        <v>9</v>
      </c>
      <c r="AX580">
        <v>7</v>
      </c>
      <c r="AY580">
        <v>25.4</v>
      </c>
      <c r="AZ580">
        <v>213</v>
      </c>
      <c r="BA580">
        <v>3138</v>
      </c>
      <c r="BB580">
        <v>75</v>
      </c>
      <c r="BC580">
        <v>75</v>
      </c>
      <c r="BD580">
        <v>73</v>
      </c>
      <c r="BE580">
        <v>3.5</v>
      </c>
      <c r="BF580" t="s">
        <v>29</v>
      </c>
      <c r="BG580">
        <v>11</v>
      </c>
      <c r="BH580">
        <v>56</v>
      </c>
      <c r="BI580">
        <v>0.38500000000000001</v>
      </c>
      <c r="BJ580" t="s">
        <v>273</v>
      </c>
      <c r="BK580">
        <v>0.53659999999999997</v>
      </c>
      <c r="BL580">
        <v>0.36109999999999998</v>
      </c>
      <c r="BM580">
        <v>1.88</v>
      </c>
      <c r="BN580">
        <v>1.5</v>
      </c>
    </row>
    <row r="581" spans="1:66" x14ac:dyDescent="0.25">
      <c r="A581">
        <v>1</v>
      </c>
      <c r="B581">
        <v>3</v>
      </c>
      <c r="C581">
        <v>4</v>
      </c>
      <c r="D581">
        <v>1.1500000000000001</v>
      </c>
      <c r="E581">
        <v>8.3266666666666662</v>
      </c>
      <c r="F581">
        <v>13.033333333333333</v>
      </c>
      <c r="G581" s="40">
        <v>0.59</v>
      </c>
      <c r="H581" s="40">
        <v>0.23</v>
      </c>
      <c r="I581" s="40">
        <v>0.18000000000000002</v>
      </c>
      <c r="J581">
        <v>1.19</v>
      </c>
      <c r="K581">
        <v>8.48</v>
      </c>
      <c r="L581">
        <v>12.1</v>
      </c>
      <c r="M581">
        <v>1.1200000000000001</v>
      </c>
      <c r="N581">
        <v>7.5</v>
      </c>
      <c r="O581">
        <v>12</v>
      </c>
      <c r="P581">
        <v>1.1399999999999999</v>
      </c>
      <c r="Q581">
        <v>9</v>
      </c>
      <c r="R581">
        <v>15</v>
      </c>
      <c r="S581">
        <v>0.84157452522835474</v>
      </c>
      <c r="T581">
        <v>7.5659054521914543E-2</v>
      </c>
      <c r="U581">
        <v>8.2766420249730771E-2</v>
      </c>
      <c r="V581">
        <v>0.80472103004291851</v>
      </c>
      <c r="W581">
        <v>0.1201716738197425</v>
      </c>
      <c r="X581">
        <v>7.5107296137339061E-2</v>
      </c>
      <c r="Y581">
        <v>0.83148558758314861</v>
      </c>
      <c r="Z581">
        <v>0.10532150776053216</v>
      </c>
      <c r="AA581">
        <v>6.3192904656319285E-2</v>
      </c>
      <c r="AB581">
        <v>0.82592704761814062</v>
      </c>
      <c r="AC581">
        <v>0.10038407870072974</v>
      </c>
      <c r="AD581">
        <v>7.368887368112971E-2</v>
      </c>
      <c r="AE581" t="s">
        <v>31</v>
      </c>
      <c r="AF581" t="s">
        <v>26</v>
      </c>
      <c r="AG581">
        <v>852.4</v>
      </c>
      <c r="AH581">
        <v>25</v>
      </c>
      <c r="AI581">
        <v>15</v>
      </c>
      <c r="AJ581">
        <v>17</v>
      </c>
      <c r="AK581">
        <v>26.1</v>
      </c>
      <c r="AL581">
        <v>6</v>
      </c>
      <c r="AM581">
        <v>10885</v>
      </c>
      <c r="AN581">
        <v>92</v>
      </c>
      <c r="AO581">
        <v>85</v>
      </c>
      <c r="AP581">
        <v>82</v>
      </c>
      <c r="AQ581">
        <v>5</v>
      </c>
      <c r="AR581" t="s">
        <v>29</v>
      </c>
      <c r="AS581" t="s">
        <v>54</v>
      </c>
      <c r="AT581" t="s">
        <v>26</v>
      </c>
      <c r="AU581">
        <v>207.65</v>
      </c>
      <c r="AV581">
        <v>32</v>
      </c>
      <c r="AW581">
        <v>20</v>
      </c>
      <c r="AX581">
        <v>16</v>
      </c>
      <c r="AY581">
        <v>25.8</v>
      </c>
      <c r="AZ581">
        <v>194</v>
      </c>
      <c r="BA581">
        <v>3438</v>
      </c>
      <c r="BB581">
        <v>75</v>
      </c>
      <c r="BC581">
        <v>77</v>
      </c>
      <c r="BD581">
        <v>76</v>
      </c>
      <c r="BE581">
        <v>4</v>
      </c>
      <c r="BF581" t="s">
        <v>29</v>
      </c>
      <c r="BG581">
        <v>41</v>
      </c>
      <c r="BH581">
        <v>62</v>
      </c>
      <c r="BI581">
        <v>0.67900000000000005</v>
      </c>
      <c r="BJ581" t="s">
        <v>273</v>
      </c>
      <c r="BK581">
        <v>0.72919999999999996</v>
      </c>
      <c r="BL581">
        <v>0.36359999999999998</v>
      </c>
      <c r="BM581">
        <v>2.83</v>
      </c>
      <c r="BN581">
        <v>1.73</v>
      </c>
    </row>
    <row r="582" spans="1:66" x14ac:dyDescent="0.25">
      <c r="A582">
        <v>1</v>
      </c>
      <c r="B582">
        <v>1</v>
      </c>
      <c r="C582">
        <v>1</v>
      </c>
      <c r="D582">
        <v>3.4500000000000006</v>
      </c>
      <c r="E582">
        <v>3.58</v>
      </c>
      <c r="F582">
        <v>2.0966666666666662</v>
      </c>
      <c r="G582" s="40">
        <v>0.35</v>
      </c>
      <c r="H582" s="40">
        <v>0.27</v>
      </c>
      <c r="I582" s="40">
        <v>0.38</v>
      </c>
      <c r="J582">
        <v>3.4</v>
      </c>
      <c r="K582">
        <v>3.59</v>
      </c>
      <c r="L582">
        <v>2.14</v>
      </c>
      <c r="M582">
        <v>3.45</v>
      </c>
      <c r="N582">
        <v>3.65</v>
      </c>
      <c r="O582">
        <v>2.1</v>
      </c>
      <c r="P582">
        <v>3.5</v>
      </c>
      <c r="Q582">
        <v>3.5</v>
      </c>
      <c r="R582">
        <v>2.0499999999999998</v>
      </c>
      <c r="S582">
        <v>0.29313773143033889</v>
      </c>
      <c r="T582">
        <v>0.24112942424108524</v>
      </c>
      <c r="U582">
        <v>0.46573284432857581</v>
      </c>
      <c r="V582">
        <v>0.27870193618761929</v>
      </c>
      <c r="W582">
        <v>0.2634305972184347</v>
      </c>
      <c r="X582">
        <v>0.457867466593946</v>
      </c>
      <c r="Y582">
        <v>0.26973684210526316</v>
      </c>
      <c r="Z582">
        <v>0.26973684210526316</v>
      </c>
      <c r="AA582">
        <v>0.46052631578947367</v>
      </c>
      <c r="AB582">
        <v>0.28052550324107378</v>
      </c>
      <c r="AC582">
        <v>0.25809895452159437</v>
      </c>
      <c r="AD582">
        <v>0.46137554223733179</v>
      </c>
      <c r="AE582" t="s">
        <v>59</v>
      </c>
      <c r="AF582" t="s">
        <v>26</v>
      </c>
      <c r="AG582">
        <v>137.05000000000001</v>
      </c>
      <c r="AH582">
        <v>28</v>
      </c>
      <c r="AI582">
        <v>15</v>
      </c>
      <c r="AJ582">
        <v>8</v>
      </c>
      <c r="AK582">
        <v>26.3</v>
      </c>
      <c r="AL582">
        <v>258</v>
      </c>
      <c r="AM582">
        <v>2751</v>
      </c>
      <c r="AN582">
        <v>77</v>
      </c>
      <c r="AO582">
        <v>76</v>
      </c>
      <c r="AP582">
        <v>75</v>
      </c>
      <c r="AQ582">
        <v>4</v>
      </c>
      <c r="AR582" t="s">
        <v>29</v>
      </c>
      <c r="AS582" t="s">
        <v>52</v>
      </c>
      <c r="AT582" t="s">
        <v>26</v>
      </c>
      <c r="AU582">
        <v>300</v>
      </c>
      <c r="AV582">
        <v>28</v>
      </c>
      <c r="AW582">
        <v>15</v>
      </c>
      <c r="AX582">
        <v>11</v>
      </c>
      <c r="AY582">
        <v>25.4</v>
      </c>
      <c r="AZ582">
        <v>76</v>
      </c>
      <c r="BA582">
        <v>5412</v>
      </c>
      <c r="BB582">
        <v>78</v>
      </c>
      <c r="BC582">
        <v>79</v>
      </c>
      <c r="BD582">
        <v>80</v>
      </c>
      <c r="BE582">
        <v>4.5</v>
      </c>
      <c r="BF582" t="s">
        <v>29</v>
      </c>
      <c r="BG582">
        <v>-2</v>
      </c>
      <c r="BH582">
        <v>98</v>
      </c>
      <c r="BI582">
        <v>0.375</v>
      </c>
      <c r="BJ582" t="s">
        <v>273</v>
      </c>
      <c r="BK582">
        <v>0.2286</v>
      </c>
      <c r="BL582">
        <v>0.60780000000000001</v>
      </c>
      <c r="BM582">
        <v>1.29</v>
      </c>
      <c r="BN582">
        <v>2.27</v>
      </c>
    </row>
    <row r="583" spans="1:66" x14ac:dyDescent="0.25">
      <c r="A583">
        <v>2</v>
      </c>
      <c r="B583">
        <v>0</v>
      </c>
      <c r="C583">
        <v>4</v>
      </c>
      <c r="D583">
        <v>3.1866666666666661</v>
      </c>
      <c r="E583">
        <v>3.9633333333333334</v>
      </c>
      <c r="F583">
        <v>2.0933333333333333</v>
      </c>
      <c r="G583" s="40">
        <v>0.24</v>
      </c>
      <c r="H583" s="40">
        <v>0.33</v>
      </c>
      <c r="I583" s="40">
        <v>0.43</v>
      </c>
      <c r="J583">
        <v>3.06</v>
      </c>
      <c r="K583">
        <v>3.94</v>
      </c>
      <c r="L583">
        <v>2.1800000000000002</v>
      </c>
      <c r="M583">
        <v>3.2</v>
      </c>
      <c r="N583">
        <v>3.95</v>
      </c>
      <c r="O583">
        <v>2.1</v>
      </c>
      <c r="P583">
        <v>3.3</v>
      </c>
      <c r="Q583">
        <v>4</v>
      </c>
      <c r="R583">
        <v>2</v>
      </c>
      <c r="S583">
        <v>0.32428894442461026</v>
      </c>
      <c r="T583">
        <v>0.22051648220873499</v>
      </c>
      <c r="U583">
        <v>0.45519457336665475</v>
      </c>
      <c r="V583">
        <v>0.29994576026035075</v>
      </c>
      <c r="W583">
        <v>0.24299403362863858</v>
      </c>
      <c r="X583">
        <v>0.45706020611101061</v>
      </c>
      <c r="Y583">
        <v>0.28776978417266191</v>
      </c>
      <c r="Z583">
        <v>0.23741007194244607</v>
      </c>
      <c r="AA583">
        <v>0.47482014388489213</v>
      </c>
      <c r="AB583">
        <v>0.30400149628587431</v>
      </c>
      <c r="AC583">
        <v>0.23364019592660656</v>
      </c>
      <c r="AD583">
        <v>0.46235830778751913</v>
      </c>
      <c r="AE583" t="s">
        <v>60</v>
      </c>
      <c r="AF583" t="s">
        <v>26</v>
      </c>
      <c r="AG583">
        <v>76.66</v>
      </c>
      <c r="AH583">
        <v>30</v>
      </c>
      <c r="AI583">
        <v>11</v>
      </c>
      <c r="AJ583">
        <v>6</v>
      </c>
      <c r="AK583">
        <v>25.1</v>
      </c>
      <c r="AL583">
        <v>299</v>
      </c>
      <c r="AM583">
        <v>2454</v>
      </c>
      <c r="AN583">
        <v>74</v>
      </c>
      <c r="AO583">
        <v>74</v>
      </c>
      <c r="AP583">
        <v>72</v>
      </c>
      <c r="AQ583">
        <v>3.5</v>
      </c>
      <c r="AR583" t="s">
        <v>46</v>
      </c>
      <c r="AS583" t="s">
        <v>49</v>
      </c>
      <c r="AT583" t="s">
        <v>26</v>
      </c>
      <c r="AU583">
        <v>352.75</v>
      </c>
      <c r="AV583">
        <v>27</v>
      </c>
      <c r="AW583">
        <v>19</v>
      </c>
      <c r="AX583">
        <v>15</v>
      </c>
      <c r="AY583">
        <v>24.7</v>
      </c>
      <c r="AZ583">
        <v>22</v>
      </c>
      <c r="BA583">
        <v>8083</v>
      </c>
      <c r="BB583">
        <v>78</v>
      </c>
      <c r="BC583">
        <v>78</v>
      </c>
      <c r="BD583">
        <v>78</v>
      </c>
      <c r="BE583">
        <v>4.5</v>
      </c>
      <c r="BF583" t="s">
        <v>46</v>
      </c>
      <c r="BG583">
        <v>-18</v>
      </c>
      <c r="BH583">
        <v>81</v>
      </c>
      <c r="BI583">
        <v>0.24299999999999999</v>
      </c>
      <c r="BJ583" t="s">
        <v>273</v>
      </c>
      <c r="BK583">
        <v>0.28210000000000002</v>
      </c>
      <c r="BL583">
        <v>0.4667</v>
      </c>
      <c r="BM583">
        <v>1.23</v>
      </c>
      <c r="BN583">
        <v>1.98</v>
      </c>
    </row>
    <row r="584" spans="1:66" x14ac:dyDescent="0.25">
      <c r="A584">
        <v>2</v>
      </c>
      <c r="B584">
        <v>0</v>
      </c>
      <c r="C584">
        <v>2</v>
      </c>
      <c r="D584">
        <v>2.3233333333333333</v>
      </c>
      <c r="E584">
        <v>3.4266666666666663</v>
      </c>
      <c r="F584">
        <v>3.1233333333333335</v>
      </c>
      <c r="G584" s="40">
        <v>0.25</v>
      </c>
      <c r="H584" s="40">
        <v>0.4</v>
      </c>
      <c r="I584" s="40">
        <v>0.35</v>
      </c>
      <c r="J584">
        <v>2.42</v>
      </c>
      <c r="K584">
        <v>3.38</v>
      </c>
      <c r="L584">
        <v>3.02</v>
      </c>
      <c r="M584">
        <v>2.25</v>
      </c>
      <c r="N584">
        <v>3.5</v>
      </c>
      <c r="O584">
        <v>3.25</v>
      </c>
      <c r="P584">
        <v>2.2999999999999998</v>
      </c>
      <c r="Q584">
        <v>3.4</v>
      </c>
      <c r="R584">
        <v>3.1</v>
      </c>
      <c r="S584">
        <v>0.41070589408028707</v>
      </c>
      <c r="T584">
        <v>0.26018540933882056</v>
      </c>
      <c r="U584">
        <v>0.32910869658089226</v>
      </c>
      <c r="V584">
        <v>0.4282352941176471</v>
      </c>
      <c r="W584">
        <v>0.27529411764705886</v>
      </c>
      <c r="X584">
        <v>0.29647058823529415</v>
      </c>
      <c r="Y584">
        <v>0.41349548842683409</v>
      </c>
      <c r="Z584">
        <v>0.27971753628874069</v>
      </c>
      <c r="AA584">
        <v>0.30678697528442528</v>
      </c>
      <c r="AB584">
        <v>0.41747889220825612</v>
      </c>
      <c r="AC584">
        <v>0.27173235442487337</v>
      </c>
      <c r="AD584">
        <v>0.31078875336687056</v>
      </c>
      <c r="AE584" t="s">
        <v>61</v>
      </c>
      <c r="AF584" t="s">
        <v>26</v>
      </c>
      <c r="AG584">
        <v>169.63</v>
      </c>
      <c r="AH584">
        <v>33</v>
      </c>
      <c r="AI584">
        <v>18</v>
      </c>
      <c r="AJ584">
        <v>4</v>
      </c>
      <c r="AK584">
        <v>23.3</v>
      </c>
      <c r="AL584">
        <v>671</v>
      </c>
      <c r="AM584">
        <v>828</v>
      </c>
      <c r="AN584">
        <v>74</v>
      </c>
      <c r="AO584">
        <v>73</v>
      </c>
      <c r="AP584">
        <v>72</v>
      </c>
      <c r="AQ584">
        <v>3.5</v>
      </c>
      <c r="AR584" t="s">
        <v>29</v>
      </c>
      <c r="AS584" t="s">
        <v>58</v>
      </c>
      <c r="AT584" t="s">
        <v>26</v>
      </c>
      <c r="AU584">
        <v>77.8</v>
      </c>
      <c r="AV584">
        <v>31</v>
      </c>
      <c r="AW584">
        <v>13</v>
      </c>
      <c r="AX584">
        <v>7</v>
      </c>
      <c r="AY584">
        <v>26.9</v>
      </c>
      <c r="AZ584">
        <v>243</v>
      </c>
      <c r="BA584">
        <v>2873</v>
      </c>
      <c r="BB584">
        <v>75</v>
      </c>
      <c r="BC584">
        <v>72</v>
      </c>
      <c r="BD584">
        <v>73</v>
      </c>
      <c r="BE584">
        <v>3.5</v>
      </c>
      <c r="BF584" t="s">
        <v>46</v>
      </c>
      <c r="BG584">
        <v>1</v>
      </c>
      <c r="BH584">
        <v>8</v>
      </c>
      <c r="BI584">
        <v>0.14299999999999999</v>
      </c>
      <c r="BJ584" t="s">
        <v>273</v>
      </c>
      <c r="BK584">
        <v>0.37840000000000001</v>
      </c>
      <c r="BL584">
        <v>0.36109999999999998</v>
      </c>
      <c r="BM584">
        <v>1.59</v>
      </c>
      <c r="BN584">
        <v>1.47</v>
      </c>
    </row>
    <row r="585" spans="1:66" x14ac:dyDescent="0.25">
      <c r="A585">
        <v>2</v>
      </c>
      <c r="B585">
        <v>0</v>
      </c>
      <c r="C585">
        <v>2</v>
      </c>
      <c r="D585">
        <v>1.74</v>
      </c>
      <c r="E585">
        <v>3.6</v>
      </c>
      <c r="F585">
        <v>5.0866666666666669</v>
      </c>
      <c r="G585" s="40">
        <v>0.45</v>
      </c>
      <c r="H585" s="40">
        <v>0.31</v>
      </c>
      <c r="I585" s="40">
        <v>0.24000000000000005</v>
      </c>
      <c r="J585">
        <v>1.69</v>
      </c>
      <c r="K585">
        <v>3.75</v>
      </c>
      <c r="L585">
        <v>5.51</v>
      </c>
      <c r="M585">
        <v>1.8</v>
      </c>
      <c r="N585">
        <v>3.55</v>
      </c>
      <c r="O585">
        <v>4.5</v>
      </c>
      <c r="P585">
        <v>1.73</v>
      </c>
      <c r="Q585">
        <v>3.5</v>
      </c>
      <c r="R585">
        <v>5.25</v>
      </c>
      <c r="S585">
        <v>0.60546870620000504</v>
      </c>
      <c r="T585">
        <v>0.20882492111796086</v>
      </c>
      <c r="U585">
        <v>0.18570637268203422</v>
      </c>
      <c r="V585">
        <v>0.52437223042836045</v>
      </c>
      <c r="W585">
        <v>0.26587887740029542</v>
      </c>
      <c r="X585">
        <v>0.20974889217134415</v>
      </c>
      <c r="Y585">
        <v>0.54830287206266315</v>
      </c>
      <c r="Z585">
        <v>0.27101827676240209</v>
      </c>
      <c r="AA585">
        <v>0.18067885117493473</v>
      </c>
      <c r="AB585">
        <v>0.55938126956367618</v>
      </c>
      <c r="AC585">
        <v>0.24857402509355278</v>
      </c>
      <c r="AD585">
        <v>0.19204470534277104</v>
      </c>
      <c r="AE585" t="s">
        <v>157</v>
      </c>
      <c r="AF585" t="s">
        <v>141</v>
      </c>
      <c r="AG585">
        <v>93.5</v>
      </c>
      <c r="AH585">
        <v>27</v>
      </c>
      <c r="AI585">
        <v>4</v>
      </c>
      <c r="AJ585">
        <v>1</v>
      </c>
      <c r="AK585">
        <v>27.7</v>
      </c>
      <c r="AL585">
        <v>202</v>
      </c>
      <c r="AM585">
        <v>3267</v>
      </c>
      <c r="AN585">
        <v>76</v>
      </c>
      <c r="AO585">
        <v>77</v>
      </c>
      <c r="AP585">
        <v>75</v>
      </c>
      <c r="AQ585">
        <v>4</v>
      </c>
      <c r="AR585" t="s">
        <v>46</v>
      </c>
      <c r="AS585" t="s">
        <v>150</v>
      </c>
      <c r="AT585" t="s">
        <v>141</v>
      </c>
      <c r="AU585">
        <v>88.35</v>
      </c>
      <c r="AV585">
        <v>25</v>
      </c>
      <c r="AW585">
        <v>11</v>
      </c>
      <c r="AX585">
        <v>6</v>
      </c>
      <c r="AY585">
        <v>28.4</v>
      </c>
      <c r="AZ585">
        <v>103</v>
      </c>
      <c r="BA585">
        <v>4803</v>
      </c>
      <c r="BB585">
        <v>77</v>
      </c>
      <c r="BC585">
        <v>78</v>
      </c>
      <c r="BD585">
        <v>77</v>
      </c>
      <c r="BE585">
        <v>4</v>
      </c>
      <c r="BF585" t="s">
        <v>46</v>
      </c>
      <c r="BG585">
        <v>1</v>
      </c>
      <c r="BH585">
        <v>37</v>
      </c>
      <c r="BI585">
        <v>0.37</v>
      </c>
      <c r="BJ585" t="s">
        <v>270</v>
      </c>
      <c r="BK585">
        <v>0.33329999999999999</v>
      </c>
      <c r="BL585">
        <v>0.43099999999999999</v>
      </c>
      <c r="BM585">
        <v>1.1399999999999999</v>
      </c>
      <c r="BN585">
        <v>1.43</v>
      </c>
    </row>
    <row r="586" spans="1:66" x14ac:dyDescent="0.25">
      <c r="A586">
        <v>1</v>
      </c>
      <c r="B586">
        <v>1</v>
      </c>
      <c r="C586">
        <v>3</v>
      </c>
      <c r="D586">
        <v>2.4</v>
      </c>
      <c r="E586">
        <v>3.17</v>
      </c>
      <c r="F586">
        <v>3.14</v>
      </c>
      <c r="G586" s="40">
        <v>0.26</v>
      </c>
      <c r="H586" s="40">
        <v>0.5</v>
      </c>
      <c r="I586" s="40">
        <v>0.24</v>
      </c>
      <c r="J586">
        <v>2.4</v>
      </c>
      <c r="K586">
        <v>3.21</v>
      </c>
      <c r="L586">
        <v>3.22</v>
      </c>
      <c r="M586">
        <v>2.5</v>
      </c>
      <c r="N586">
        <v>3.1</v>
      </c>
      <c r="O586">
        <v>3</v>
      </c>
      <c r="P586">
        <v>2.2999999999999998</v>
      </c>
      <c r="Q586">
        <v>3.2</v>
      </c>
      <c r="R586">
        <v>3.2</v>
      </c>
      <c r="S586">
        <v>0.4162719157529205</v>
      </c>
      <c r="T586">
        <v>0.27346330231943683</v>
      </c>
      <c r="U586">
        <v>0.31026478192764256</v>
      </c>
      <c r="V586">
        <v>0.37881873727087578</v>
      </c>
      <c r="W586">
        <v>0.30549898167006112</v>
      </c>
      <c r="X586">
        <v>0.31568228105906315</v>
      </c>
      <c r="Y586">
        <v>0.41025641025641024</v>
      </c>
      <c r="Z586">
        <v>0.29487179487179482</v>
      </c>
      <c r="AA586">
        <v>0.29487179487179482</v>
      </c>
      <c r="AB586">
        <v>0.40178235442673554</v>
      </c>
      <c r="AC586">
        <v>0.29127802628709759</v>
      </c>
      <c r="AD586">
        <v>0.30693961928616686</v>
      </c>
      <c r="AE586" t="s">
        <v>148</v>
      </c>
      <c r="AF586" t="s">
        <v>141</v>
      </c>
      <c r="AG586">
        <v>188.3</v>
      </c>
      <c r="AH586">
        <v>26</v>
      </c>
      <c r="AI586">
        <v>0</v>
      </c>
      <c r="AJ586">
        <v>2</v>
      </c>
      <c r="AK586">
        <v>26.4</v>
      </c>
      <c r="AL586">
        <v>61</v>
      </c>
      <c r="AM586">
        <v>6139</v>
      </c>
      <c r="AN586">
        <v>80</v>
      </c>
      <c r="AO586">
        <v>78</v>
      </c>
      <c r="AP586">
        <v>79</v>
      </c>
      <c r="AQ586">
        <v>4.5</v>
      </c>
      <c r="AR586" t="s">
        <v>29</v>
      </c>
      <c r="AS586" t="s">
        <v>149</v>
      </c>
      <c r="AT586" t="s">
        <v>141</v>
      </c>
      <c r="AU586">
        <v>298.89999999999998</v>
      </c>
      <c r="AV586">
        <v>24</v>
      </c>
      <c r="AW586">
        <v>9</v>
      </c>
      <c r="AX586">
        <v>10</v>
      </c>
      <c r="AY586">
        <v>28.2</v>
      </c>
      <c r="AZ586">
        <v>77</v>
      </c>
      <c r="BA586">
        <v>5396</v>
      </c>
      <c r="BB586">
        <v>82</v>
      </c>
      <c r="BC586">
        <v>79</v>
      </c>
      <c r="BD586">
        <v>79</v>
      </c>
      <c r="BE586">
        <v>4.5</v>
      </c>
      <c r="BF586" t="s">
        <v>29</v>
      </c>
      <c r="BG586">
        <v>-7</v>
      </c>
      <c r="BH586">
        <v>66</v>
      </c>
      <c r="BI586">
        <v>0.34699999999999998</v>
      </c>
      <c r="BJ586" t="s">
        <v>270</v>
      </c>
      <c r="BK586">
        <v>0.3478</v>
      </c>
      <c r="BL586">
        <v>0.53449999999999998</v>
      </c>
      <c r="BM586">
        <v>1.28</v>
      </c>
      <c r="BN586">
        <v>1.78</v>
      </c>
    </row>
    <row r="587" spans="1:66" x14ac:dyDescent="0.25">
      <c r="A587">
        <v>1</v>
      </c>
      <c r="B587">
        <v>2</v>
      </c>
      <c r="C587">
        <v>8</v>
      </c>
      <c r="D587">
        <v>1.4833333333333332</v>
      </c>
      <c r="E587">
        <v>4.1900000000000004</v>
      </c>
      <c r="F587">
        <v>7.3166666666666664</v>
      </c>
      <c r="G587" s="40">
        <v>0.66</v>
      </c>
      <c r="H587" s="40">
        <v>0.25</v>
      </c>
      <c r="I587" s="40">
        <v>8.9999999999999969E-2</v>
      </c>
      <c r="J587">
        <v>1.52</v>
      </c>
      <c r="K587">
        <v>4.24</v>
      </c>
      <c r="L587">
        <v>6.95</v>
      </c>
      <c r="M587">
        <v>1.48</v>
      </c>
      <c r="N587">
        <v>4</v>
      </c>
      <c r="O587">
        <v>7.5</v>
      </c>
      <c r="P587">
        <v>1.45</v>
      </c>
      <c r="Q587">
        <v>4.33</v>
      </c>
      <c r="R587">
        <v>7.5</v>
      </c>
      <c r="S587">
        <v>0.67887399752995092</v>
      </c>
      <c r="T587">
        <v>0.17265284042033327</v>
      </c>
      <c r="U587">
        <v>0.14847316204971589</v>
      </c>
      <c r="V587">
        <v>0.6380263717566993</v>
      </c>
      <c r="W587">
        <v>0.23606975754997872</v>
      </c>
      <c r="X587">
        <v>0.12590387069332198</v>
      </c>
      <c r="Y587">
        <v>0.65436190898374924</v>
      </c>
      <c r="Z587">
        <v>0.21912812194605921</v>
      </c>
      <c r="AA587">
        <v>0.12650996907019152</v>
      </c>
      <c r="AB587">
        <v>0.65708742609013315</v>
      </c>
      <c r="AC587">
        <v>0.20928357330545708</v>
      </c>
      <c r="AD587">
        <v>0.1336290006044098</v>
      </c>
      <c r="AE587" t="s">
        <v>146</v>
      </c>
      <c r="AF587" t="s">
        <v>141</v>
      </c>
      <c r="AG587">
        <v>430.9</v>
      </c>
      <c r="AH587">
        <v>27</v>
      </c>
      <c r="AI587">
        <v>20</v>
      </c>
      <c r="AJ587">
        <v>14</v>
      </c>
      <c r="AK587">
        <v>28</v>
      </c>
      <c r="AL587">
        <v>31</v>
      </c>
      <c r="AM587">
        <v>7447</v>
      </c>
      <c r="AN587">
        <v>80</v>
      </c>
      <c r="AO587">
        <v>81</v>
      </c>
      <c r="AP587">
        <v>82</v>
      </c>
      <c r="AQ587">
        <v>4.5</v>
      </c>
      <c r="AR587" t="s">
        <v>29</v>
      </c>
      <c r="AS587" t="s">
        <v>151</v>
      </c>
      <c r="AT587" t="s">
        <v>141</v>
      </c>
      <c r="AU587">
        <v>111.8</v>
      </c>
      <c r="AV587">
        <v>27</v>
      </c>
      <c r="AW587">
        <v>8</v>
      </c>
      <c r="AX587">
        <v>4</v>
      </c>
      <c r="AY587">
        <v>28.3</v>
      </c>
      <c r="AZ587">
        <v>116</v>
      </c>
      <c r="BA587">
        <v>4556</v>
      </c>
      <c r="BB587">
        <v>79</v>
      </c>
      <c r="BC587">
        <v>76</v>
      </c>
      <c r="BD587">
        <v>75</v>
      </c>
      <c r="BE587">
        <v>4</v>
      </c>
      <c r="BF587" t="s">
        <v>29</v>
      </c>
      <c r="BG587">
        <v>35</v>
      </c>
      <c r="BH587">
        <v>69</v>
      </c>
      <c r="BI587">
        <v>0.55600000000000005</v>
      </c>
      <c r="BJ587" t="s">
        <v>270</v>
      </c>
      <c r="BK587">
        <v>0.62960000000000005</v>
      </c>
      <c r="BL587">
        <v>0.28889999999999999</v>
      </c>
      <c r="BM587">
        <v>1.46</v>
      </c>
      <c r="BN587">
        <v>1.36</v>
      </c>
    </row>
    <row r="588" spans="1:66" x14ac:dyDescent="0.25">
      <c r="A588">
        <v>3</v>
      </c>
      <c r="B588">
        <v>-1</v>
      </c>
      <c r="C588">
        <v>3</v>
      </c>
      <c r="D588">
        <v>2.4533333333333336</v>
      </c>
      <c r="E588">
        <v>3.6233333333333331</v>
      </c>
      <c r="F588">
        <v>2.7166666666666663</v>
      </c>
      <c r="G588" s="40">
        <v>0.36</v>
      </c>
      <c r="H588" s="40">
        <v>0.34</v>
      </c>
      <c r="I588" s="40">
        <v>0.31</v>
      </c>
      <c r="J588">
        <v>2.44</v>
      </c>
      <c r="K588">
        <v>3.67</v>
      </c>
      <c r="L588">
        <v>2.8</v>
      </c>
      <c r="M588">
        <v>2.5499999999999998</v>
      </c>
      <c r="N588">
        <v>3.6</v>
      </c>
      <c r="O588">
        <v>2.5499999999999998</v>
      </c>
      <c r="P588">
        <v>2.37</v>
      </c>
      <c r="Q588">
        <v>3.6</v>
      </c>
      <c r="R588">
        <v>2.8</v>
      </c>
      <c r="S588">
        <v>0.40637182039992154</v>
      </c>
      <c r="T588">
        <v>0.23950416468014696</v>
      </c>
      <c r="U588">
        <v>0.35412401491993162</v>
      </c>
      <c r="V588">
        <v>0.3692307692307692</v>
      </c>
      <c r="W588">
        <v>0.2615384615384615</v>
      </c>
      <c r="X588">
        <v>0.3692307692307692</v>
      </c>
      <c r="Y588">
        <v>0.39923954372623566</v>
      </c>
      <c r="Z588">
        <v>0.26283269961977185</v>
      </c>
      <c r="AA588">
        <v>0.33792775665399238</v>
      </c>
      <c r="AB588">
        <v>0.3916140444523088</v>
      </c>
      <c r="AC588">
        <v>0.25462510861279347</v>
      </c>
      <c r="AD588">
        <v>0.35376084693489779</v>
      </c>
      <c r="AE588" t="s">
        <v>137</v>
      </c>
      <c r="AF588" t="s">
        <v>141</v>
      </c>
      <c r="AG588">
        <v>676</v>
      </c>
      <c r="AH588">
        <v>26</v>
      </c>
      <c r="AI588">
        <v>15</v>
      </c>
      <c r="AJ588">
        <v>21</v>
      </c>
      <c r="AK588">
        <v>26.1</v>
      </c>
      <c r="AL588">
        <v>3</v>
      </c>
      <c r="AM588">
        <v>13105</v>
      </c>
      <c r="AN588">
        <v>84</v>
      </c>
      <c r="AO588">
        <v>82</v>
      </c>
      <c r="AP588">
        <v>81</v>
      </c>
      <c r="AQ588">
        <v>5</v>
      </c>
      <c r="AR588" t="s">
        <v>28</v>
      </c>
      <c r="AS588" t="s">
        <v>144</v>
      </c>
      <c r="AT588" t="s">
        <v>141</v>
      </c>
      <c r="AU588">
        <v>783.5</v>
      </c>
      <c r="AV588">
        <v>25</v>
      </c>
      <c r="AW588">
        <v>18</v>
      </c>
      <c r="AX588">
        <v>17</v>
      </c>
      <c r="AY588">
        <v>27.6</v>
      </c>
      <c r="AZ588">
        <v>18</v>
      </c>
      <c r="BA588">
        <v>8949</v>
      </c>
      <c r="BB588">
        <v>84</v>
      </c>
      <c r="BC588">
        <v>86</v>
      </c>
      <c r="BD588">
        <v>84</v>
      </c>
      <c r="BE588">
        <v>5</v>
      </c>
      <c r="BF588" t="s">
        <v>28</v>
      </c>
      <c r="BG588">
        <v>-8</v>
      </c>
      <c r="BH588">
        <v>309</v>
      </c>
      <c r="BI588">
        <v>0.38200000000000001</v>
      </c>
      <c r="BJ588" t="s">
        <v>270</v>
      </c>
      <c r="BK588">
        <v>0.62960000000000005</v>
      </c>
      <c r="BL588">
        <v>0.59619999999999995</v>
      </c>
      <c r="BM588">
        <v>2.2599999999999998</v>
      </c>
      <c r="BN588">
        <v>1.69</v>
      </c>
    </row>
    <row r="589" spans="1:66" x14ac:dyDescent="0.25">
      <c r="A589">
        <v>2</v>
      </c>
      <c r="B589">
        <v>0</v>
      </c>
      <c r="C589">
        <v>4</v>
      </c>
      <c r="D589">
        <v>1.6833333333333333</v>
      </c>
      <c r="E589">
        <v>3.6766666666666663</v>
      </c>
      <c r="F589">
        <v>5.3966666666666674</v>
      </c>
      <c r="G589" s="40">
        <v>0.35</v>
      </c>
      <c r="H589" s="40">
        <v>0.36</v>
      </c>
      <c r="I589" s="40">
        <v>0.31</v>
      </c>
      <c r="J589">
        <v>1.67</v>
      </c>
      <c r="K589">
        <v>3.78</v>
      </c>
      <c r="L589">
        <v>5.69</v>
      </c>
      <c r="M589">
        <v>1.73</v>
      </c>
      <c r="N589">
        <v>3.5</v>
      </c>
      <c r="O589">
        <v>5</v>
      </c>
      <c r="P589">
        <v>1.65</v>
      </c>
      <c r="Q589">
        <v>3.75</v>
      </c>
      <c r="R589">
        <v>5.5</v>
      </c>
      <c r="S589">
        <v>0.614272011253988</v>
      </c>
      <c r="T589">
        <v>0.2054407727892176</v>
      </c>
      <c r="U589">
        <v>0.18028721595679434</v>
      </c>
      <c r="V589">
        <v>0.54339388293743207</v>
      </c>
      <c r="W589">
        <v>0.26859183356621646</v>
      </c>
      <c r="X589">
        <v>0.18801428349635152</v>
      </c>
      <c r="Y589">
        <v>0.57471264367816088</v>
      </c>
      <c r="Z589">
        <v>0.25287356321839077</v>
      </c>
      <c r="AA589">
        <v>0.17241379310344826</v>
      </c>
      <c r="AB589">
        <v>0.57745951262319373</v>
      </c>
      <c r="AC589">
        <v>0.24230205652460826</v>
      </c>
      <c r="AD589">
        <v>0.18023843085219804</v>
      </c>
      <c r="AE589" t="s">
        <v>143</v>
      </c>
      <c r="AF589" t="s">
        <v>141</v>
      </c>
      <c r="AG589">
        <v>755.2</v>
      </c>
      <c r="AH589">
        <v>22</v>
      </c>
      <c r="AI589">
        <v>19</v>
      </c>
      <c r="AJ589">
        <v>19</v>
      </c>
      <c r="AK589">
        <v>28</v>
      </c>
      <c r="AL589">
        <v>13</v>
      </c>
      <c r="AM589">
        <v>9329</v>
      </c>
      <c r="AN589">
        <v>85</v>
      </c>
      <c r="AO589">
        <v>82</v>
      </c>
      <c r="AP589">
        <v>83</v>
      </c>
      <c r="AQ589">
        <v>5</v>
      </c>
      <c r="AR589" t="s">
        <v>29</v>
      </c>
      <c r="AS589" t="s">
        <v>147</v>
      </c>
      <c r="AT589" t="s">
        <v>141</v>
      </c>
      <c r="AU589">
        <v>373.5</v>
      </c>
      <c r="AV589">
        <v>25</v>
      </c>
      <c r="AW589">
        <v>5</v>
      </c>
      <c r="AX589">
        <v>7</v>
      </c>
      <c r="AY589">
        <v>26.2</v>
      </c>
      <c r="AZ589">
        <v>32</v>
      </c>
      <c r="BA589">
        <v>7427</v>
      </c>
      <c r="BB589">
        <v>81</v>
      </c>
      <c r="BC589">
        <v>81</v>
      </c>
      <c r="BD589">
        <v>77</v>
      </c>
      <c r="BE589">
        <v>4.5</v>
      </c>
      <c r="BF589" t="s">
        <v>28</v>
      </c>
      <c r="BG589">
        <v>74</v>
      </c>
      <c r="BH589">
        <v>242</v>
      </c>
      <c r="BI589">
        <v>0.49299999999999999</v>
      </c>
      <c r="BJ589" t="s">
        <v>270</v>
      </c>
      <c r="BK589">
        <v>0.60419999999999996</v>
      </c>
      <c r="BL589">
        <v>0.40820000000000001</v>
      </c>
      <c r="BM589">
        <v>1.6</v>
      </c>
      <c r="BN589">
        <v>1.39</v>
      </c>
    </row>
    <row r="590" spans="1:66" x14ac:dyDescent="0.25">
      <c r="A590">
        <v>3</v>
      </c>
      <c r="B590">
        <v>-3</v>
      </c>
      <c r="C590">
        <v>3</v>
      </c>
      <c r="D590">
        <v>2.6333333333333333</v>
      </c>
      <c r="E590">
        <v>2.9033333333333338</v>
      </c>
      <c r="F590">
        <v>3.0500000000000003</v>
      </c>
      <c r="G590" s="40">
        <v>0.26</v>
      </c>
      <c r="H590" s="40">
        <v>0.35</v>
      </c>
      <c r="I590" s="40">
        <v>0.31</v>
      </c>
      <c r="J590">
        <v>2.7</v>
      </c>
      <c r="K590">
        <v>2.93</v>
      </c>
      <c r="L590">
        <v>3.05</v>
      </c>
      <c r="M590">
        <v>2.65</v>
      </c>
      <c r="N590">
        <v>2.88</v>
      </c>
      <c r="O590">
        <v>3</v>
      </c>
      <c r="P590">
        <v>2.5499999999999998</v>
      </c>
      <c r="Q590">
        <v>2.9</v>
      </c>
      <c r="R590">
        <v>3.1</v>
      </c>
      <c r="S590">
        <v>0.37068844665224143</v>
      </c>
      <c r="T590">
        <v>0.30116112516380705</v>
      </c>
      <c r="U590">
        <v>0.32815042818395151</v>
      </c>
      <c r="V590">
        <v>0.3567005201882586</v>
      </c>
      <c r="W590">
        <v>0.32821402031211289</v>
      </c>
      <c r="X590">
        <v>0.31508545949962841</v>
      </c>
      <c r="Y590">
        <v>0.37011115685467272</v>
      </c>
      <c r="Z590">
        <v>0.32544256895841911</v>
      </c>
      <c r="AA590">
        <v>0.30444627418690817</v>
      </c>
      <c r="AB590">
        <v>0.36583337456505766</v>
      </c>
      <c r="AC590">
        <v>0.318272571478113</v>
      </c>
      <c r="AD590">
        <v>0.31589405395682935</v>
      </c>
      <c r="AE590" t="s">
        <v>145</v>
      </c>
      <c r="AF590" t="s">
        <v>141</v>
      </c>
      <c r="AG590">
        <v>159.44999999999999</v>
      </c>
      <c r="AH590">
        <v>25</v>
      </c>
      <c r="AI590">
        <v>13</v>
      </c>
      <c r="AJ590">
        <v>9</v>
      </c>
      <c r="AK590">
        <v>27.1</v>
      </c>
      <c r="AL590">
        <v>27</v>
      </c>
      <c r="AM590">
        <v>7881</v>
      </c>
      <c r="AN590">
        <v>77</v>
      </c>
      <c r="AO590">
        <v>78</v>
      </c>
      <c r="AP590">
        <v>77</v>
      </c>
      <c r="AQ590">
        <v>4</v>
      </c>
      <c r="AR590" t="s">
        <v>46</v>
      </c>
      <c r="AS590" t="s">
        <v>153</v>
      </c>
      <c r="AT590" t="s">
        <v>141</v>
      </c>
      <c r="AU590">
        <v>143.80000000000001</v>
      </c>
      <c r="AV590">
        <v>21</v>
      </c>
      <c r="AW590">
        <v>9</v>
      </c>
      <c r="AX590">
        <v>8</v>
      </c>
      <c r="AY590">
        <v>28</v>
      </c>
      <c r="AZ590">
        <v>138</v>
      </c>
      <c r="BA590">
        <v>4059</v>
      </c>
      <c r="BB590">
        <v>80</v>
      </c>
      <c r="BC590">
        <v>75</v>
      </c>
      <c r="BD590">
        <v>75</v>
      </c>
      <c r="BE590">
        <v>4</v>
      </c>
      <c r="BF590" t="s">
        <v>29</v>
      </c>
      <c r="BG590">
        <v>3</v>
      </c>
      <c r="BH590">
        <v>31</v>
      </c>
      <c r="BI590">
        <v>0.36399999999999999</v>
      </c>
      <c r="BJ590" t="s">
        <v>270</v>
      </c>
      <c r="BK590">
        <v>0.25</v>
      </c>
      <c r="BL590">
        <v>0.375</v>
      </c>
      <c r="BM590">
        <v>0.75</v>
      </c>
      <c r="BN590">
        <v>1.55</v>
      </c>
    </row>
    <row r="591" spans="1:66" x14ac:dyDescent="0.25">
      <c r="A591">
        <v>3</v>
      </c>
      <c r="B591">
        <v>-2</v>
      </c>
      <c r="C591">
        <v>6</v>
      </c>
      <c r="D591">
        <v>3.3800000000000003</v>
      </c>
      <c r="E591">
        <v>3.4599999999999995</v>
      </c>
      <c r="F591">
        <v>2.1466666666666665</v>
      </c>
      <c r="G591" s="40">
        <v>0.21</v>
      </c>
      <c r="H591" s="40">
        <v>0.32</v>
      </c>
      <c r="I591" s="40">
        <v>0.47000000000000003</v>
      </c>
      <c r="J591">
        <v>3.39</v>
      </c>
      <c r="K591">
        <v>3.48</v>
      </c>
      <c r="L591">
        <v>2.19</v>
      </c>
      <c r="M591">
        <v>3.25</v>
      </c>
      <c r="N591">
        <v>3.5</v>
      </c>
      <c r="O591">
        <v>2.15</v>
      </c>
      <c r="P591">
        <v>3.5</v>
      </c>
      <c r="Q591">
        <v>3.4</v>
      </c>
      <c r="R591">
        <v>2.1</v>
      </c>
      <c r="S591">
        <v>0.2945121889719306</v>
      </c>
      <c r="T591">
        <v>0.24959908015371116</v>
      </c>
      <c r="U591">
        <v>0.45588873087435833</v>
      </c>
      <c r="V591">
        <v>0.29068083051665861</v>
      </c>
      <c r="W591">
        <v>0.26991791405118298</v>
      </c>
      <c r="X591">
        <v>0.43940125543215836</v>
      </c>
      <c r="Y591">
        <v>0.27055702917771884</v>
      </c>
      <c r="Z591">
        <v>0.27851458885941643</v>
      </c>
      <c r="AA591">
        <v>0.45092838196286472</v>
      </c>
      <c r="AB591">
        <v>0.28525001622210272</v>
      </c>
      <c r="AC591">
        <v>0.26601052768810352</v>
      </c>
      <c r="AD591">
        <v>0.44873945608979388</v>
      </c>
      <c r="AE591" t="s">
        <v>314</v>
      </c>
      <c r="AF591" t="s">
        <v>307</v>
      </c>
      <c r="AG591">
        <v>142.47999999999999</v>
      </c>
      <c r="AH591">
        <v>28</v>
      </c>
      <c r="AI591">
        <v>18</v>
      </c>
      <c r="AJ591">
        <v>11</v>
      </c>
      <c r="AK591">
        <v>25.6</v>
      </c>
      <c r="AL591">
        <v>161</v>
      </c>
      <c r="AM591">
        <v>3818</v>
      </c>
      <c r="AN591">
        <v>75</v>
      </c>
      <c r="AO591">
        <v>75</v>
      </c>
      <c r="AP591">
        <v>73</v>
      </c>
      <c r="AQ591">
        <v>3.5</v>
      </c>
      <c r="AR591" t="s">
        <v>46</v>
      </c>
      <c r="AS591" t="s">
        <v>313</v>
      </c>
      <c r="AT591" t="s">
        <v>307</v>
      </c>
      <c r="AU591">
        <v>466.9</v>
      </c>
      <c r="AV591">
        <v>28</v>
      </c>
      <c r="AW591">
        <v>19</v>
      </c>
      <c r="AX591">
        <v>17</v>
      </c>
      <c r="AY591">
        <v>26.2</v>
      </c>
      <c r="AZ591">
        <v>121</v>
      </c>
      <c r="BA591">
        <v>4490</v>
      </c>
      <c r="BB591">
        <v>84</v>
      </c>
      <c r="BC591">
        <v>78</v>
      </c>
      <c r="BD591">
        <v>80</v>
      </c>
      <c r="BE591">
        <v>4.5</v>
      </c>
      <c r="BF591" t="s">
        <v>29</v>
      </c>
      <c r="BG591">
        <v>-73</v>
      </c>
      <c r="BH591">
        <v>192</v>
      </c>
      <c r="BI591">
        <v>0.27400000000000002</v>
      </c>
      <c r="BJ591" t="s">
        <v>322</v>
      </c>
      <c r="BK591">
        <v>0.27500000000000002</v>
      </c>
      <c r="BL591">
        <v>0.56599999999999995</v>
      </c>
      <c r="BM591">
        <v>1.38</v>
      </c>
      <c r="BN591">
        <v>1.85</v>
      </c>
    </row>
    <row r="592" spans="1:66" x14ac:dyDescent="0.25">
      <c r="A592">
        <v>2</v>
      </c>
      <c r="B592">
        <v>0</v>
      </c>
      <c r="C592">
        <v>2</v>
      </c>
      <c r="D592">
        <v>1.4000000000000001</v>
      </c>
      <c r="E592">
        <v>5.0733333333333333</v>
      </c>
      <c r="F592">
        <v>7.1433333333333335</v>
      </c>
      <c r="G592" s="40">
        <v>0.35</v>
      </c>
      <c r="H592" s="40">
        <v>0.36</v>
      </c>
      <c r="I592" s="40">
        <v>0.29000000000000004</v>
      </c>
      <c r="J592">
        <v>1.41</v>
      </c>
      <c r="K592">
        <v>5.22</v>
      </c>
      <c r="L592">
        <v>7.18</v>
      </c>
      <c r="M592">
        <v>1.43</v>
      </c>
      <c r="N592">
        <v>4.75</v>
      </c>
      <c r="O592">
        <v>6.75</v>
      </c>
      <c r="P592">
        <v>1.36</v>
      </c>
      <c r="Q592">
        <v>5.25</v>
      </c>
      <c r="R592">
        <v>7.5</v>
      </c>
      <c r="S592">
        <v>0.71998692796734909</v>
      </c>
      <c r="T592">
        <v>0.13862288144296253</v>
      </c>
      <c r="U592">
        <v>0.14139019058968832</v>
      </c>
      <c r="V592">
        <v>0.66098026078441485</v>
      </c>
      <c r="W592">
        <v>0.19898984693088698</v>
      </c>
      <c r="X592">
        <v>0.14002989228469825</v>
      </c>
      <c r="Y592">
        <v>0.69426077757207083</v>
      </c>
      <c r="Z592">
        <v>0.17984660142819361</v>
      </c>
      <c r="AA592">
        <v>0.12589262099973553</v>
      </c>
      <c r="AB592">
        <v>0.69174265544127822</v>
      </c>
      <c r="AC592">
        <v>0.17248644326734772</v>
      </c>
      <c r="AD592">
        <v>0.13577090129137404</v>
      </c>
      <c r="AE592" t="s">
        <v>308</v>
      </c>
      <c r="AF592" t="s">
        <v>307</v>
      </c>
      <c r="AG592">
        <v>415.35</v>
      </c>
      <c r="AH592">
        <v>26</v>
      </c>
      <c r="AI592">
        <v>16</v>
      </c>
      <c r="AJ592">
        <v>17</v>
      </c>
      <c r="AK592">
        <v>27.1</v>
      </c>
      <c r="AL592">
        <v>26</v>
      </c>
      <c r="AM592">
        <v>7928</v>
      </c>
      <c r="AN592">
        <v>82</v>
      </c>
      <c r="AO592">
        <v>79</v>
      </c>
      <c r="AP592">
        <v>78</v>
      </c>
      <c r="AQ592">
        <v>4.5</v>
      </c>
      <c r="AR592" t="s">
        <v>29</v>
      </c>
      <c r="AS592" t="s">
        <v>316</v>
      </c>
      <c r="AT592" t="s">
        <v>307</v>
      </c>
      <c r="AU592">
        <v>101.6</v>
      </c>
      <c r="AV592">
        <v>26</v>
      </c>
      <c r="AW592">
        <v>22</v>
      </c>
      <c r="AX592">
        <v>5</v>
      </c>
      <c r="AY592">
        <v>27.4</v>
      </c>
      <c r="AZ592">
        <v>217</v>
      </c>
      <c r="BA592">
        <v>3100</v>
      </c>
      <c r="BB592">
        <v>76</v>
      </c>
      <c r="BC592">
        <v>75</v>
      </c>
      <c r="BD592">
        <v>72</v>
      </c>
      <c r="BE592">
        <v>4</v>
      </c>
      <c r="BF592" t="s">
        <v>29</v>
      </c>
      <c r="BG592">
        <v>13</v>
      </c>
      <c r="BH592">
        <v>113</v>
      </c>
      <c r="BI592">
        <v>0.315</v>
      </c>
      <c r="BJ592" t="s">
        <v>322</v>
      </c>
      <c r="BK592">
        <v>0.56859999999999999</v>
      </c>
      <c r="BL592">
        <v>0.27500000000000002</v>
      </c>
      <c r="BM592">
        <v>2.1800000000000002</v>
      </c>
      <c r="BN592">
        <v>1.1299999999999999</v>
      </c>
    </row>
    <row r="593" spans="1:66" x14ac:dyDescent="0.25">
      <c r="A593">
        <v>1</v>
      </c>
      <c r="B593">
        <v>3</v>
      </c>
      <c r="C593">
        <v>3</v>
      </c>
      <c r="D593">
        <v>1.5933333333333335</v>
      </c>
      <c r="E593">
        <v>4.083333333333333</v>
      </c>
      <c r="F593">
        <v>5.6466666666666674</v>
      </c>
      <c r="G593" s="40">
        <v>0.45</v>
      </c>
      <c r="H593" s="40">
        <v>0.27</v>
      </c>
      <c r="I593" s="40">
        <v>0.28000000000000003</v>
      </c>
      <c r="J593">
        <v>1.58</v>
      </c>
      <c r="K593">
        <v>4.25</v>
      </c>
      <c r="L593">
        <v>5.69</v>
      </c>
      <c r="M593">
        <v>1.63</v>
      </c>
      <c r="N593">
        <v>3.8</v>
      </c>
      <c r="O593">
        <v>5.5</v>
      </c>
      <c r="P593">
        <v>1.57</v>
      </c>
      <c r="Q593">
        <v>4.2</v>
      </c>
      <c r="R593">
        <v>5.75</v>
      </c>
      <c r="S593">
        <v>0.64089100232724494</v>
      </c>
      <c r="T593">
        <v>0.18114629403882776</v>
      </c>
      <c r="U593">
        <v>0.17796270363392738</v>
      </c>
      <c r="V593">
        <v>0.57960564630189404</v>
      </c>
      <c r="W593">
        <v>0.24862031670318085</v>
      </c>
      <c r="X593">
        <v>0.17177403699492497</v>
      </c>
      <c r="Y593">
        <v>0.60721873703531415</v>
      </c>
      <c r="Z593">
        <v>0.22698414693939126</v>
      </c>
      <c r="AA593">
        <v>0.16579711602529448</v>
      </c>
      <c r="AB593">
        <v>0.60923846188815112</v>
      </c>
      <c r="AC593">
        <v>0.2189169192271333</v>
      </c>
      <c r="AD593">
        <v>0.17184461888471561</v>
      </c>
      <c r="AE593" t="s">
        <v>320</v>
      </c>
      <c r="AF593" t="s">
        <v>307</v>
      </c>
      <c r="AG593">
        <v>248.8</v>
      </c>
      <c r="AH593">
        <v>26</v>
      </c>
      <c r="AI593">
        <v>16</v>
      </c>
      <c r="AJ593">
        <v>14</v>
      </c>
      <c r="AK593">
        <v>26.8</v>
      </c>
      <c r="AL593">
        <v>268</v>
      </c>
      <c r="AM593">
        <v>2679</v>
      </c>
      <c r="AN593">
        <v>78</v>
      </c>
      <c r="AO593">
        <v>76</v>
      </c>
      <c r="AP593">
        <v>75</v>
      </c>
      <c r="AQ593">
        <v>4</v>
      </c>
      <c r="AR593" t="s">
        <v>29</v>
      </c>
      <c r="AS593" t="s">
        <v>319</v>
      </c>
      <c r="AT593" t="s">
        <v>307</v>
      </c>
      <c r="AU593">
        <v>153.53</v>
      </c>
      <c r="AV593">
        <v>29</v>
      </c>
      <c r="AW593">
        <v>17</v>
      </c>
      <c r="AX593">
        <v>11</v>
      </c>
      <c r="AY593">
        <v>26.9</v>
      </c>
      <c r="AZ593">
        <v>246</v>
      </c>
      <c r="BA593">
        <v>2866</v>
      </c>
      <c r="BB593">
        <v>76</v>
      </c>
      <c r="BC593">
        <v>73</v>
      </c>
      <c r="BD593">
        <v>73</v>
      </c>
      <c r="BE593">
        <v>4</v>
      </c>
      <c r="BF593" t="s">
        <v>29</v>
      </c>
      <c r="BG593">
        <v>26</v>
      </c>
      <c r="BH593">
        <v>132</v>
      </c>
      <c r="BI593">
        <v>0.42399999999999999</v>
      </c>
      <c r="BJ593" t="s">
        <v>322</v>
      </c>
      <c r="BK593">
        <v>0.26829999999999998</v>
      </c>
      <c r="BL593">
        <v>0.26829999999999998</v>
      </c>
      <c r="BM593">
        <v>1.24</v>
      </c>
      <c r="BN593">
        <v>1.1499999999999999</v>
      </c>
    </row>
    <row r="594" spans="1:66" x14ac:dyDescent="0.25">
      <c r="A594">
        <v>2</v>
      </c>
      <c r="B594">
        <v>0</v>
      </c>
      <c r="C594">
        <v>0</v>
      </c>
      <c r="D594">
        <v>2.8533333333333335</v>
      </c>
      <c r="E594">
        <v>3.47</v>
      </c>
      <c r="F594">
        <v>2.4133333333333336</v>
      </c>
      <c r="G594" s="40">
        <v>0.31</v>
      </c>
      <c r="H594" s="40">
        <v>0.24</v>
      </c>
      <c r="I594" s="40">
        <v>0.44999999999999996</v>
      </c>
      <c r="J594">
        <v>2.91</v>
      </c>
      <c r="K594">
        <v>3.56</v>
      </c>
      <c r="L594">
        <v>2.41</v>
      </c>
      <c r="M594">
        <v>2.85</v>
      </c>
      <c r="N594">
        <v>3.45</v>
      </c>
      <c r="O594">
        <v>2.38</v>
      </c>
      <c r="P594">
        <v>2.8</v>
      </c>
      <c r="Q594">
        <v>3.4</v>
      </c>
      <c r="R594">
        <v>2.4500000000000002</v>
      </c>
      <c r="S594">
        <v>0.34113980879945066</v>
      </c>
      <c r="T594">
        <v>0.24694448845930383</v>
      </c>
      <c r="U594">
        <v>0.41191570274124539</v>
      </c>
      <c r="V594">
        <v>0.33073530300283971</v>
      </c>
      <c r="W594">
        <v>0.27321611987191108</v>
      </c>
      <c r="X594">
        <v>0.39604857712524927</v>
      </c>
      <c r="Y594">
        <v>0.33711048158640222</v>
      </c>
      <c r="Z594">
        <v>0.27762039660056653</v>
      </c>
      <c r="AA594">
        <v>0.38526912181303108</v>
      </c>
      <c r="AB594">
        <v>0.33632853112956423</v>
      </c>
      <c r="AC594">
        <v>0.26592700164392713</v>
      </c>
      <c r="AD594">
        <v>0.39774446722650864</v>
      </c>
      <c r="AE594" t="s">
        <v>312</v>
      </c>
      <c r="AF594" t="s">
        <v>307</v>
      </c>
      <c r="AG594">
        <v>418.35</v>
      </c>
      <c r="AH594">
        <v>31</v>
      </c>
      <c r="AI594">
        <v>20</v>
      </c>
      <c r="AJ594">
        <v>19</v>
      </c>
      <c r="AK594">
        <v>25.4</v>
      </c>
      <c r="AL594">
        <v>44</v>
      </c>
      <c r="AM594">
        <v>6735</v>
      </c>
      <c r="AN594">
        <v>79</v>
      </c>
      <c r="AO594">
        <v>77</v>
      </c>
      <c r="AP594">
        <v>76</v>
      </c>
      <c r="AQ594">
        <v>4</v>
      </c>
      <c r="AR594" t="s">
        <v>29</v>
      </c>
      <c r="AS594" t="s">
        <v>310</v>
      </c>
      <c r="AT594" t="s">
        <v>307</v>
      </c>
      <c r="AU594">
        <v>517.75</v>
      </c>
      <c r="AV594">
        <v>25</v>
      </c>
      <c r="AW594">
        <v>18</v>
      </c>
      <c r="AX594">
        <v>17</v>
      </c>
      <c r="AY594">
        <v>27.6</v>
      </c>
      <c r="AZ594">
        <v>38</v>
      </c>
      <c r="BA594">
        <v>7165</v>
      </c>
      <c r="BB594">
        <v>82</v>
      </c>
      <c r="BC594">
        <v>80</v>
      </c>
      <c r="BD594">
        <v>80</v>
      </c>
      <c r="BE594">
        <v>4.5</v>
      </c>
      <c r="BF594" t="s">
        <v>29</v>
      </c>
      <c r="BG594">
        <v>33</v>
      </c>
      <c r="BH594">
        <v>250</v>
      </c>
      <c r="BI594">
        <v>0.38</v>
      </c>
      <c r="BJ594" t="s">
        <v>322</v>
      </c>
      <c r="BK594">
        <v>0.52829999999999999</v>
      </c>
      <c r="BL594">
        <v>0.58819999999999995</v>
      </c>
      <c r="BM594">
        <v>1.87</v>
      </c>
      <c r="BN594">
        <v>2.02</v>
      </c>
    </row>
    <row r="595" spans="1:66" x14ac:dyDescent="0.25">
      <c r="A595">
        <v>2</v>
      </c>
      <c r="B595">
        <v>0</v>
      </c>
      <c r="C595">
        <v>2</v>
      </c>
      <c r="D595">
        <v>2.0566666666666662</v>
      </c>
      <c r="E595">
        <v>3.5733333333333337</v>
      </c>
      <c r="F595">
        <v>3.52</v>
      </c>
      <c r="G595" s="40">
        <v>0.36</v>
      </c>
      <c r="H595" s="40">
        <v>0.34</v>
      </c>
      <c r="I595" s="40">
        <v>0.3</v>
      </c>
      <c r="J595">
        <v>2.0699999999999998</v>
      </c>
      <c r="K595">
        <v>3.62</v>
      </c>
      <c r="L595">
        <v>3.56</v>
      </c>
      <c r="M595">
        <v>2.0499999999999998</v>
      </c>
      <c r="N595">
        <v>3.5</v>
      </c>
      <c r="O595">
        <v>3.5</v>
      </c>
      <c r="P595">
        <v>2.0499999999999998</v>
      </c>
      <c r="Q595">
        <v>3.6</v>
      </c>
      <c r="R595">
        <v>3.5</v>
      </c>
      <c r="S595">
        <v>0.48217705546288531</v>
      </c>
      <c r="T595">
        <v>0.23745594880448198</v>
      </c>
      <c r="U595">
        <v>0.28036699573263268</v>
      </c>
      <c r="V595">
        <v>0.46052631578947367</v>
      </c>
      <c r="W595">
        <v>0.26973684210526316</v>
      </c>
      <c r="X595">
        <v>0.26973684210526316</v>
      </c>
      <c r="Y595">
        <v>0.46400294605045111</v>
      </c>
      <c r="Z595">
        <v>0.26422389983428463</v>
      </c>
      <c r="AA595">
        <v>0.2717731541152642</v>
      </c>
      <c r="AB595">
        <v>0.46890210576760333</v>
      </c>
      <c r="AC595">
        <v>0.25713889691467656</v>
      </c>
      <c r="AD595">
        <v>0.27395899731772005</v>
      </c>
      <c r="AE595" t="s">
        <v>309</v>
      </c>
      <c r="AF595" t="s">
        <v>307</v>
      </c>
      <c r="AG595">
        <v>573.29999999999995</v>
      </c>
      <c r="AH595">
        <v>28</v>
      </c>
      <c r="AI595">
        <v>19</v>
      </c>
      <c r="AJ595">
        <v>20</v>
      </c>
      <c r="AK595">
        <v>28.8</v>
      </c>
      <c r="AL595">
        <v>37</v>
      </c>
      <c r="AM595">
        <v>7235</v>
      </c>
      <c r="AN595">
        <v>83</v>
      </c>
      <c r="AO595">
        <v>81</v>
      </c>
      <c r="AP595">
        <v>83</v>
      </c>
      <c r="AQ595">
        <v>4.5</v>
      </c>
      <c r="AR595" t="s">
        <v>29</v>
      </c>
      <c r="AS595" t="s">
        <v>306</v>
      </c>
      <c r="AT595" t="s">
        <v>307</v>
      </c>
      <c r="AU595">
        <v>640.4</v>
      </c>
      <c r="AV595">
        <v>25</v>
      </c>
      <c r="AW595">
        <v>14</v>
      </c>
      <c r="AX595">
        <v>20</v>
      </c>
      <c r="AY595">
        <v>27.3</v>
      </c>
      <c r="AZ595">
        <v>14</v>
      </c>
      <c r="BA595">
        <v>9319</v>
      </c>
      <c r="BB595">
        <v>87</v>
      </c>
      <c r="BC595">
        <v>81</v>
      </c>
      <c r="BD595">
        <v>83</v>
      </c>
      <c r="BE595">
        <v>5</v>
      </c>
      <c r="BF595" t="s">
        <v>28</v>
      </c>
      <c r="BG595">
        <v>-61</v>
      </c>
      <c r="BH595">
        <v>252</v>
      </c>
      <c r="BI595">
        <v>0.28399999999999997</v>
      </c>
      <c r="BJ595" t="s">
        <v>322</v>
      </c>
      <c r="BK595">
        <v>0.64580000000000004</v>
      </c>
      <c r="BL595">
        <v>0.65380000000000005</v>
      </c>
      <c r="BM595">
        <v>2.1</v>
      </c>
      <c r="BN595">
        <v>2.08</v>
      </c>
    </row>
    <row r="596" spans="1:66" x14ac:dyDescent="0.25">
      <c r="A596">
        <v>2</v>
      </c>
      <c r="B596">
        <v>0</v>
      </c>
      <c r="C596">
        <v>4</v>
      </c>
      <c r="D596">
        <v>3.1633333333333336</v>
      </c>
      <c r="E596">
        <v>3.3233333333333328</v>
      </c>
      <c r="F596">
        <v>2.3066666666666666</v>
      </c>
      <c r="G596" s="40">
        <v>0.21</v>
      </c>
      <c r="H596" s="40">
        <v>0.36</v>
      </c>
      <c r="I596" s="40">
        <v>0.43000000000000005</v>
      </c>
      <c r="J596">
        <v>3.04</v>
      </c>
      <c r="K596">
        <v>3.37</v>
      </c>
      <c r="L596">
        <v>2.42</v>
      </c>
      <c r="M596">
        <v>3.25</v>
      </c>
      <c r="N596">
        <v>3.3</v>
      </c>
      <c r="O596">
        <v>2.2000000000000002</v>
      </c>
      <c r="P596">
        <v>3.2</v>
      </c>
      <c r="Q596">
        <v>3.3</v>
      </c>
      <c r="R596">
        <v>2.2999999999999998</v>
      </c>
      <c r="S596">
        <v>0.32750364355611072</v>
      </c>
      <c r="T596">
        <v>0.26108682073703932</v>
      </c>
      <c r="U596">
        <v>0.41140953570684985</v>
      </c>
      <c r="V596">
        <v>0.28884026258205692</v>
      </c>
      <c r="W596">
        <v>0.28446389496717728</v>
      </c>
      <c r="X596">
        <v>0.42669584245076586</v>
      </c>
      <c r="Y596">
        <v>0.29753038024304196</v>
      </c>
      <c r="Z596">
        <v>0.28851430811446493</v>
      </c>
      <c r="AA596">
        <v>0.41395531164249316</v>
      </c>
      <c r="AB596">
        <v>0.30462476212706985</v>
      </c>
      <c r="AC596">
        <v>0.27802167460622718</v>
      </c>
      <c r="AD596">
        <v>0.41735356326670298</v>
      </c>
      <c r="AE596" t="s">
        <v>35</v>
      </c>
      <c r="AF596" t="s">
        <v>23</v>
      </c>
      <c r="AG596">
        <v>93.2</v>
      </c>
      <c r="AH596">
        <v>28</v>
      </c>
      <c r="AI596">
        <v>13</v>
      </c>
      <c r="AJ596">
        <v>9</v>
      </c>
      <c r="AK596">
        <v>23.9</v>
      </c>
      <c r="AL596">
        <v>169</v>
      </c>
      <c r="AM596">
        <v>3749</v>
      </c>
      <c r="AN596">
        <v>74</v>
      </c>
      <c r="AO596">
        <v>74</v>
      </c>
      <c r="AP596">
        <v>73</v>
      </c>
      <c r="AQ596">
        <v>3.5</v>
      </c>
      <c r="AR596" t="s">
        <v>29</v>
      </c>
      <c r="AS596" t="s">
        <v>41</v>
      </c>
      <c r="AT596" t="s">
        <v>23</v>
      </c>
      <c r="AU596">
        <v>66.7</v>
      </c>
      <c r="AV596">
        <v>28</v>
      </c>
      <c r="AW596">
        <v>11</v>
      </c>
      <c r="AX596">
        <v>6</v>
      </c>
      <c r="AY596">
        <v>26</v>
      </c>
      <c r="AZ596">
        <v>266</v>
      </c>
      <c r="BA596">
        <v>2690</v>
      </c>
      <c r="BB596">
        <v>75</v>
      </c>
      <c r="BC596">
        <v>75</v>
      </c>
      <c r="BD596">
        <v>74</v>
      </c>
      <c r="BE596">
        <v>4</v>
      </c>
      <c r="BF596" t="s">
        <v>29</v>
      </c>
      <c r="BG596">
        <v>12</v>
      </c>
      <c r="BH596">
        <v>37</v>
      </c>
      <c r="BI596">
        <v>0.45</v>
      </c>
      <c r="BJ596" t="s">
        <v>266</v>
      </c>
      <c r="BK596">
        <v>0.30769999999999997</v>
      </c>
      <c r="BL596">
        <v>0.35709999999999997</v>
      </c>
      <c r="BM596">
        <v>1.08</v>
      </c>
      <c r="BN596">
        <v>1.1399999999999999</v>
      </c>
    </row>
    <row r="597" spans="1:66" x14ac:dyDescent="0.25">
      <c r="A597">
        <v>2</v>
      </c>
      <c r="B597">
        <v>0</v>
      </c>
      <c r="C597">
        <v>2</v>
      </c>
      <c r="D597">
        <v>1.46</v>
      </c>
      <c r="E597">
        <v>4.3166666666666664</v>
      </c>
      <c r="F597">
        <v>7.41</v>
      </c>
      <c r="G597" s="40">
        <v>0.57999999999999996</v>
      </c>
      <c r="H597" s="40">
        <v>0.25</v>
      </c>
      <c r="I597" s="40">
        <v>0.17000000000000004</v>
      </c>
      <c r="J597">
        <v>1.49</v>
      </c>
      <c r="K597">
        <v>4.55</v>
      </c>
      <c r="L597">
        <v>6.73</v>
      </c>
      <c r="M597">
        <v>1.44</v>
      </c>
      <c r="N597">
        <v>4.2</v>
      </c>
      <c r="O597">
        <v>8</v>
      </c>
      <c r="P597">
        <v>1.45</v>
      </c>
      <c r="Q597">
        <v>4.2</v>
      </c>
      <c r="R597">
        <v>7.5</v>
      </c>
      <c r="S597">
        <v>0.68603354965235408</v>
      </c>
      <c r="T597">
        <v>0.16208086506057201</v>
      </c>
      <c r="U597">
        <v>0.15188558528707391</v>
      </c>
      <c r="V597">
        <v>0.65666041275797371</v>
      </c>
      <c r="W597">
        <v>0.22514071294559096</v>
      </c>
      <c r="X597">
        <v>0.11819887429643526</v>
      </c>
      <c r="Y597">
        <v>0.64995357474466109</v>
      </c>
      <c r="Z597">
        <v>0.22438873413803775</v>
      </c>
      <c r="AA597">
        <v>0.12565769111730116</v>
      </c>
      <c r="AB597">
        <v>0.66421584571832959</v>
      </c>
      <c r="AC597">
        <v>0.20387010404806691</v>
      </c>
      <c r="AD597">
        <v>0.13191405023360345</v>
      </c>
      <c r="AE597" t="s">
        <v>33</v>
      </c>
      <c r="AF597" t="s">
        <v>23</v>
      </c>
      <c r="AG597">
        <v>272</v>
      </c>
      <c r="AH597">
        <v>26</v>
      </c>
      <c r="AI597">
        <v>20</v>
      </c>
      <c r="AJ597">
        <v>12</v>
      </c>
      <c r="AK597">
        <v>25.4</v>
      </c>
      <c r="AL597">
        <v>131</v>
      </c>
      <c r="AM597">
        <v>4207</v>
      </c>
      <c r="AN597">
        <v>78</v>
      </c>
      <c r="AO597">
        <v>78</v>
      </c>
      <c r="AP597">
        <v>78</v>
      </c>
      <c r="AQ597">
        <v>4</v>
      </c>
      <c r="AR597" t="s">
        <v>29</v>
      </c>
      <c r="AS597" t="s">
        <v>45</v>
      </c>
      <c r="AT597" t="s">
        <v>23</v>
      </c>
      <c r="AU597">
        <v>88.3</v>
      </c>
      <c r="AV597">
        <v>26</v>
      </c>
      <c r="AW597">
        <v>7</v>
      </c>
      <c r="AX597">
        <v>4</v>
      </c>
      <c r="AY597">
        <v>25.1</v>
      </c>
      <c r="AZ597">
        <v>347</v>
      </c>
      <c r="BA597">
        <v>2156</v>
      </c>
      <c r="BB597">
        <v>72</v>
      </c>
      <c r="BC597">
        <v>73</v>
      </c>
      <c r="BD597">
        <v>72</v>
      </c>
      <c r="BE597">
        <v>3.5</v>
      </c>
      <c r="BF597" t="s">
        <v>29</v>
      </c>
      <c r="BG597">
        <v>16</v>
      </c>
      <c r="BH597">
        <v>54</v>
      </c>
      <c r="BI597">
        <v>0.5</v>
      </c>
      <c r="BJ597" t="s">
        <v>266</v>
      </c>
      <c r="BK597">
        <v>0.59179999999999999</v>
      </c>
      <c r="BL597">
        <v>0.3</v>
      </c>
      <c r="BM597">
        <v>1.71</v>
      </c>
      <c r="BN597">
        <v>1.3</v>
      </c>
    </row>
    <row r="598" spans="1:66" x14ac:dyDescent="0.25">
      <c r="A598">
        <v>1</v>
      </c>
      <c r="B598">
        <v>1</v>
      </c>
      <c r="C598">
        <v>5</v>
      </c>
      <c r="D598">
        <v>2.8699999999999997</v>
      </c>
      <c r="E598">
        <v>3.6</v>
      </c>
      <c r="F598">
        <v>2.3533333333333331</v>
      </c>
      <c r="G598" s="40">
        <v>0.34</v>
      </c>
      <c r="H598" s="40">
        <v>0.39</v>
      </c>
      <c r="I598" s="40">
        <v>0.26999999999999991</v>
      </c>
      <c r="J598">
        <v>2.93</v>
      </c>
      <c r="K598">
        <v>3.6</v>
      </c>
      <c r="L598">
        <v>2.38</v>
      </c>
      <c r="M598">
        <v>2.8</v>
      </c>
      <c r="N598">
        <v>3.6</v>
      </c>
      <c r="O598">
        <v>2.38</v>
      </c>
      <c r="P598">
        <v>2.88</v>
      </c>
      <c r="Q598">
        <v>3.6</v>
      </c>
      <c r="R598">
        <v>2.2999999999999998</v>
      </c>
      <c r="S598">
        <v>0.33886885125467464</v>
      </c>
      <c r="T598">
        <v>0.24395226883936036</v>
      </c>
      <c r="U598">
        <v>0.41717887990596503</v>
      </c>
      <c r="V598">
        <v>0.33849557522123896</v>
      </c>
      <c r="W598">
        <v>0.26327433628318586</v>
      </c>
      <c r="X598">
        <v>0.39823008849557523</v>
      </c>
      <c r="Y598">
        <v>0.32763532763532766</v>
      </c>
      <c r="Z598">
        <v>0.2621082621082621</v>
      </c>
      <c r="AA598">
        <v>0.4102564102564103</v>
      </c>
      <c r="AB598">
        <v>0.3349999180370804</v>
      </c>
      <c r="AC598">
        <v>0.25644495574360276</v>
      </c>
      <c r="AD598">
        <v>0.40855512621931683</v>
      </c>
      <c r="AE598" t="s">
        <v>40</v>
      </c>
      <c r="AF598" t="s">
        <v>23</v>
      </c>
      <c r="AG598">
        <v>218.25</v>
      </c>
      <c r="AH598">
        <v>26</v>
      </c>
      <c r="AI598">
        <v>17</v>
      </c>
      <c r="AJ598">
        <v>8</v>
      </c>
      <c r="AK598">
        <v>24.1</v>
      </c>
      <c r="AL598">
        <v>255</v>
      </c>
      <c r="AM598">
        <v>2803</v>
      </c>
      <c r="AN598">
        <v>77</v>
      </c>
      <c r="AO598">
        <v>74</v>
      </c>
      <c r="AP598">
        <v>73</v>
      </c>
      <c r="AQ598">
        <v>4</v>
      </c>
      <c r="AR598" t="s">
        <v>28</v>
      </c>
      <c r="AS598" t="s">
        <v>30</v>
      </c>
      <c r="AT598" t="s">
        <v>23</v>
      </c>
      <c r="AU598">
        <v>348.55</v>
      </c>
      <c r="AV598">
        <v>30</v>
      </c>
      <c r="AW598">
        <v>19</v>
      </c>
      <c r="AX598">
        <v>14</v>
      </c>
      <c r="AY598">
        <v>25.2</v>
      </c>
      <c r="AZ598">
        <v>60</v>
      </c>
      <c r="BA598">
        <v>6154</v>
      </c>
      <c r="BB598">
        <v>79</v>
      </c>
      <c r="BC598">
        <v>79</v>
      </c>
      <c r="BD598">
        <v>77</v>
      </c>
      <c r="BE598">
        <v>4</v>
      </c>
      <c r="BF598" t="s">
        <v>29</v>
      </c>
      <c r="BG598">
        <v>-31</v>
      </c>
      <c r="BH598">
        <v>62</v>
      </c>
      <c r="BI598">
        <v>0.27600000000000002</v>
      </c>
      <c r="BJ598" t="s">
        <v>266</v>
      </c>
      <c r="BK598">
        <v>0.36959999999999998</v>
      </c>
      <c r="BL598">
        <v>0.57140000000000002</v>
      </c>
      <c r="BM598">
        <v>1.33</v>
      </c>
      <c r="BN598">
        <v>2.21</v>
      </c>
    </row>
    <row r="599" spans="1:66" x14ac:dyDescent="0.25">
      <c r="A599">
        <v>1</v>
      </c>
      <c r="B599">
        <v>1</v>
      </c>
      <c r="C599">
        <v>1</v>
      </c>
      <c r="D599">
        <v>1.6600000000000001</v>
      </c>
      <c r="E599">
        <v>3.7733333333333334</v>
      </c>
      <c r="F599">
        <v>5.373333333333334</v>
      </c>
      <c r="G599" s="40">
        <v>0.43</v>
      </c>
      <c r="H599" s="40">
        <v>0.33</v>
      </c>
      <c r="I599" s="40">
        <v>0.24000000000000005</v>
      </c>
      <c r="J599">
        <v>1.68</v>
      </c>
      <c r="K599">
        <v>3.87</v>
      </c>
      <c r="L599">
        <v>5.37</v>
      </c>
      <c r="M599">
        <v>1.7</v>
      </c>
      <c r="N599">
        <v>3.65</v>
      </c>
      <c r="O599">
        <v>5</v>
      </c>
      <c r="P599">
        <v>1.6</v>
      </c>
      <c r="Q599">
        <v>3.8</v>
      </c>
      <c r="R599">
        <v>5.75</v>
      </c>
      <c r="S599">
        <v>0.60673039842497312</v>
      </c>
      <c r="T599">
        <v>0.20345450486106881</v>
      </c>
      <c r="U599">
        <v>0.18981509671395805</v>
      </c>
      <c r="V599">
        <v>0.55378546502806858</v>
      </c>
      <c r="W599">
        <v>0.25792747686238809</v>
      </c>
      <c r="X599">
        <v>0.18828705810954333</v>
      </c>
      <c r="Y599">
        <v>0.58847293293832481</v>
      </c>
      <c r="Z599">
        <v>0.2477780770266631</v>
      </c>
      <c r="AA599">
        <v>0.16374899003501214</v>
      </c>
      <c r="AB599">
        <v>0.5829962654637888</v>
      </c>
      <c r="AC599">
        <v>0.23638668625003997</v>
      </c>
      <c r="AD599">
        <v>0.18061704828617117</v>
      </c>
      <c r="AE599" t="s">
        <v>32</v>
      </c>
      <c r="AF599" t="s">
        <v>23</v>
      </c>
      <c r="AG599">
        <v>189.65</v>
      </c>
      <c r="AH599">
        <v>29</v>
      </c>
      <c r="AI599">
        <v>11</v>
      </c>
      <c r="AJ599">
        <v>7</v>
      </c>
      <c r="AK599">
        <v>23.6</v>
      </c>
      <c r="AL599">
        <v>102</v>
      </c>
      <c r="AM599">
        <v>4815</v>
      </c>
      <c r="AN599">
        <v>75</v>
      </c>
      <c r="AO599">
        <v>76</v>
      </c>
      <c r="AP599">
        <v>76</v>
      </c>
      <c r="AQ599">
        <v>4</v>
      </c>
      <c r="AR599" t="s">
        <v>29</v>
      </c>
      <c r="AS599" t="s">
        <v>36</v>
      </c>
      <c r="AT599" t="s">
        <v>23</v>
      </c>
      <c r="AU599">
        <v>87.7</v>
      </c>
      <c r="AV599">
        <v>27</v>
      </c>
      <c r="AW599">
        <v>15</v>
      </c>
      <c r="AX599">
        <v>6</v>
      </c>
      <c r="AY599">
        <v>26</v>
      </c>
      <c r="AZ599">
        <v>180</v>
      </c>
      <c r="BA599">
        <v>3627</v>
      </c>
      <c r="BB599">
        <v>75</v>
      </c>
      <c r="BC599">
        <v>73</v>
      </c>
      <c r="BD599">
        <v>74</v>
      </c>
      <c r="BE599">
        <v>3.5</v>
      </c>
      <c r="BF599" t="s">
        <v>29</v>
      </c>
      <c r="BG599">
        <v>13</v>
      </c>
      <c r="BH599">
        <v>63</v>
      </c>
      <c r="BI599" s="75">
        <v>0.436</v>
      </c>
      <c r="BJ599" t="s">
        <v>266</v>
      </c>
      <c r="BK599">
        <v>0.35560000000000003</v>
      </c>
      <c r="BL599">
        <v>0.28210000000000002</v>
      </c>
      <c r="BM599">
        <v>1.24</v>
      </c>
      <c r="BN599">
        <v>1.26</v>
      </c>
    </row>
    <row r="600" spans="1:66" x14ac:dyDescent="0.25">
      <c r="A600">
        <v>2</v>
      </c>
      <c r="B600">
        <v>0</v>
      </c>
      <c r="C600">
        <v>0</v>
      </c>
      <c r="D600">
        <v>5.3266666666666671</v>
      </c>
      <c r="E600">
        <v>4.5266666666666664</v>
      </c>
      <c r="F600">
        <v>1.55</v>
      </c>
      <c r="G600" s="40">
        <v>0.28000000000000003</v>
      </c>
      <c r="H600" s="40">
        <v>0.26</v>
      </c>
      <c r="I600" s="40">
        <v>0.45999999999999996</v>
      </c>
      <c r="J600">
        <v>5.23</v>
      </c>
      <c r="K600">
        <v>4.75</v>
      </c>
      <c r="L600">
        <v>1.57</v>
      </c>
      <c r="M600">
        <v>5.25</v>
      </c>
      <c r="N600">
        <v>4.33</v>
      </c>
      <c r="O600">
        <v>1.55</v>
      </c>
      <c r="P600">
        <v>5.5</v>
      </c>
      <c r="Q600">
        <v>4.5</v>
      </c>
      <c r="R600">
        <v>1.53</v>
      </c>
      <c r="S600">
        <v>0.19273069020408079</v>
      </c>
      <c r="T600">
        <v>0.16524287045366273</v>
      </c>
      <c r="U600">
        <v>0.64202643934225645</v>
      </c>
      <c r="V600">
        <v>0.17858520814762582</v>
      </c>
      <c r="W600">
        <v>0.21652940941686735</v>
      </c>
      <c r="X600">
        <v>0.60488538243550682</v>
      </c>
      <c r="Y600">
        <v>0.17191011235955056</v>
      </c>
      <c r="Z600">
        <v>0.21011235955056179</v>
      </c>
      <c r="AA600">
        <v>0.6179775280898876</v>
      </c>
      <c r="AB600">
        <v>0.18107533690375241</v>
      </c>
      <c r="AC600">
        <v>0.19729487980703062</v>
      </c>
      <c r="AD600">
        <v>0.62162978328921692</v>
      </c>
      <c r="AE600" t="s">
        <v>34</v>
      </c>
      <c r="AF600" t="s">
        <v>23</v>
      </c>
      <c r="AG600">
        <v>262.89999999999998</v>
      </c>
      <c r="AH600">
        <v>31</v>
      </c>
      <c r="AI600">
        <v>18</v>
      </c>
      <c r="AJ600">
        <v>8</v>
      </c>
      <c r="AK600">
        <v>23.3</v>
      </c>
      <c r="AL600">
        <v>145</v>
      </c>
      <c r="AM600">
        <v>4008</v>
      </c>
      <c r="AN600">
        <v>77</v>
      </c>
      <c r="AO600">
        <v>76</v>
      </c>
      <c r="AP600">
        <v>76</v>
      </c>
      <c r="AQ600">
        <v>4</v>
      </c>
      <c r="AR600" t="s">
        <v>29</v>
      </c>
      <c r="AS600" t="s">
        <v>10</v>
      </c>
      <c r="AT600" t="s">
        <v>23</v>
      </c>
      <c r="AU600">
        <v>997.75</v>
      </c>
      <c r="AV600">
        <v>35</v>
      </c>
      <c r="AW600">
        <v>24</v>
      </c>
      <c r="AX600">
        <v>19</v>
      </c>
      <c r="AY600">
        <v>26.1</v>
      </c>
      <c r="AZ600">
        <v>12</v>
      </c>
      <c r="BA600">
        <v>9495</v>
      </c>
      <c r="BB600">
        <v>87</v>
      </c>
      <c r="BC600">
        <v>82</v>
      </c>
      <c r="BD600">
        <v>82</v>
      </c>
      <c r="BE600">
        <v>5</v>
      </c>
      <c r="BF600" t="s">
        <v>28</v>
      </c>
      <c r="BG600">
        <v>-32</v>
      </c>
      <c r="BH600">
        <v>96</v>
      </c>
      <c r="BI600">
        <v>0.29899999999999999</v>
      </c>
      <c r="BJ600" t="s">
        <v>266</v>
      </c>
      <c r="BK600">
        <v>0.38300000000000001</v>
      </c>
      <c r="BL600">
        <v>0.66669999999999996</v>
      </c>
      <c r="BM600">
        <v>1.28</v>
      </c>
      <c r="BN600">
        <v>2.21</v>
      </c>
    </row>
    <row r="601" spans="1:66" x14ac:dyDescent="0.25">
      <c r="A601">
        <v>1</v>
      </c>
      <c r="B601">
        <v>1</v>
      </c>
      <c r="C601">
        <v>3</v>
      </c>
      <c r="D601">
        <v>2.1066666666666669</v>
      </c>
      <c r="E601">
        <v>3.3066666666666666</v>
      </c>
      <c r="F601">
        <v>3.3766666666666669</v>
      </c>
      <c r="G601" s="40">
        <v>0.28000000000000003</v>
      </c>
      <c r="H601" s="40">
        <v>0.4</v>
      </c>
      <c r="I601" s="40">
        <v>0.31999999999999995</v>
      </c>
      <c r="J601">
        <v>2.12</v>
      </c>
      <c r="K601">
        <v>3.37</v>
      </c>
      <c r="L601">
        <v>3.43</v>
      </c>
      <c r="M601">
        <v>2.15</v>
      </c>
      <c r="N601">
        <v>3.35</v>
      </c>
      <c r="O601">
        <v>3.4</v>
      </c>
      <c r="P601">
        <v>2.0499999999999998</v>
      </c>
      <c r="Q601">
        <v>3.2</v>
      </c>
      <c r="R601">
        <v>3.3</v>
      </c>
      <c r="S601">
        <v>0.46089739331494312</v>
      </c>
      <c r="T601">
        <v>0.25423308078777435</v>
      </c>
      <c r="U601">
        <v>0.28486952589728259</v>
      </c>
      <c r="V601">
        <v>0.43972589518386257</v>
      </c>
      <c r="W601">
        <v>0.28221214168516551</v>
      </c>
      <c r="X601">
        <v>0.27806196313097187</v>
      </c>
      <c r="Y601">
        <v>0.44211848440443796</v>
      </c>
      <c r="Z601">
        <v>0.28323215407159297</v>
      </c>
      <c r="AA601">
        <v>0.27464936152396902</v>
      </c>
      <c r="AB601">
        <v>0.44758059096774788</v>
      </c>
      <c r="AC601">
        <v>0.27322579218151094</v>
      </c>
      <c r="AD601">
        <v>0.27919361685074118</v>
      </c>
      <c r="AE601" t="s">
        <v>93</v>
      </c>
      <c r="AF601" t="s">
        <v>85</v>
      </c>
      <c r="AG601">
        <v>19.079999999999998</v>
      </c>
      <c r="AH601">
        <v>33</v>
      </c>
      <c r="AI601">
        <v>5</v>
      </c>
      <c r="AJ601">
        <v>0</v>
      </c>
      <c r="AK601">
        <v>25.7</v>
      </c>
      <c r="AL601">
        <v>100</v>
      </c>
      <c r="AM601">
        <v>4829</v>
      </c>
      <c r="AN601">
        <v>72</v>
      </c>
      <c r="AO601">
        <v>70</v>
      </c>
      <c r="AP601">
        <v>67</v>
      </c>
      <c r="AQ601">
        <v>3</v>
      </c>
      <c r="AR601" t="s">
        <v>29</v>
      </c>
      <c r="AS601" t="s">
        <v>91</v>
      </c>
      <c r="AT601" t="s">
        <v>85</v>
      </c>
      <c r="AU601">
        <v>41.05</v>
      </c>
      <c r="AV601">
        <v>29</v>
      </c>
      <c r="AW601">
        <v>5</v>
      </c>
      <c r="AX601">
        <v>3</v>
      </c>
      <c r="AY601">
        <v>27.6</v>
      </c>
      <c r="AZ601">
        <v>97</v>
      </c>
      <c r="BA601">
        <v>4926</v>
      </c>
      <c r="BB601">
        <v>71</v>
      </c>
      <c r="BC601">
        <v>74</v>
      </c>
      <c r="BD601">
        <v>73</v>
      </c>
      <c r="BE601">
        <v>3.5</v>
      </c>
      <c r="BF601" t="s">
        <v>29</v>
      </c>
      <c r="BG601">
        <v>-6</v>
      </c>
      <c r="BH601">
        <v>27</v>
      </c>
      <c r="BI601">
        <v>0.35</v>
      </c>
      <c r="BJ601" t="s">
        <v>85</v>
      </c>
      <c r="BK601">
        <v>0.38890000000000002</v>
      </c>
      <c r="BL601">
        <v>0.42859999999999998</v>
      </c>
      <c r="BM601">
        <v>1.36</v>
      </c>
      <c r="BN601">
        <v>1.35</v>
      </c>
    </row>
    <row r="602" spans="1:66" x14ac:dyDescent="0.25">
      <c r="A602">
        <v>1</v>
      </c>
      <c r="B602">
        <v>1</v>
      </c>
      <c r="C602">
        <v>3</v>
      </c>
      <c r="D602">
        <v>1.95</v>
      </c>
      <c r="E602">
        <v>3.4233333333333333</v>
      </c>
      <c r="F602">
        <v>3.83</v>
      </c>
      <c r="G602" s="40">
        <v>0.35</v>
      </c>
      <c r="H602" s="40">
        <v>0.46</v>
      </c>
      <c r="I602" s="40">
        <v>0.19</v>
      </c>
      <c r="J602">
        <v>1.99</v>
      </c>
      <c r="K602">
        <v>3.42</v>
      </c>
      <c r="L602">
        <v>3.79</v>
      </c>
      <c r="M602">
        <v>1.91</v>
      </c>
      <c r="N602">
        <v>3.35</v>
      </c>
      <c r="O602">
        <v>4.2</v>
      </c>
      <c r="P602">
        <v>1.95</v>
      </c>
      <c r="Q602">
        <v>3.5</v>
      </c>
      <c r="R602">
        <v>3.5</v>
      </c>
      <c r="S602">
        <v>0.49401504657506784</v>
      </c>
      <c r="T602">
        <v>0.24659446722852466</v>
      </c>
      <c r="U602">
        <v>0.25939048619640764</v>
      </c>
      <c r="V602">
        <v>0.49384882680191644</v>
      </c>
      <c r="W602">
        <v>0.28156754005721207</v>
      </c>
      <c r="X602">
        <v>0.22458363314087151</v>
      </c>
      <c r="Y602">
        <v>0.47297297297297297</v>
      </c>
      <c r="Z602">
        <v>0.26351351351351349</v>
      </c>
      <c r="AA602">
        <v>0.26351351351351349</v>
      </c>
      <c r="AB602">
        <v>0.48694561544998577</v>
      </c>
      <c r="AC602">
        <v>0.26389184026641671</v>
      </c>
      <c r="AD602">
        <v>0.24916254428359755</v>
      </c>
      <c r="AE602" t="s">
        <v>103</v>
      </c>
      <c r="AF602" t="s">
        <v>85</v>
      </c>
      <c r="AG602">
        <v>15.98</v>
      </c>
      <c r="AH602">
        <v>29</v>
      </c>
      <c r="AI602">
        <v>3</v>
      </c>
      <c r="AJ602">
        <v>0</v>
      </c>
      <c r="AK602">
        <v>25.8</v>
      </c>
      <c r="AL602">
        <v>235</v>
      </c>
      <c r="AM602">
        <v>2968</v>
      </c>
      <c r="AN602">
        <v>67</v>
      </c>
      <c r="AO602">
        <v>68</v>
      </c>
      <c r="AP602">
        <v>67</v>
      </c>
      <c r="AQ602">
        <v>2.5</v>
      </c>
      <c r="AR602" t="s">
        <v>43</v>
      </c>
      <c r="AS602" t="s">
        <v>102</v>
      </c>
      <c r="AT602" t="s">
        <v>85</v>
      </c>
      <c r="AU602">
        <v>27.13</v>
      </c>
      <c r="AV602">
        <v>27</v>
      </c>
      <c r="AW602">
        <v>2</v>
      </c>
      <c r="AX602">
        <v>0</v>
      </c>
      <c r="AY602">
        <v>25.3</v>
      </c>
      <c r="AZ602">
        <v>232</v>
      </c>
      <c r="BA602">
        <v>3005</v>
      </c>
      <c r="BB602">
        <v>65</v>
      </c>
      <c r="BC602">
        <v>70</v>
      </c>
      <c r="BD602">
        <v>65</v>
      </c>
      <c r="BE602">
        <v>3</v>
      </c>
      <c r="BF602" t="s">
        <v>46</v>
      </c>
      <c r="BG602">
        <v>3</v>
      </c>
      <c r="BH602">
        <v>34</v>
      </c>
      <c r="BI602">
        <v>0.40899999999999997</v>
      </c>
      <c r="BJ602" t="s">
        <v>85</v>
      </c>
      <c r="BK602">
        <v>0.22220000000000001</v>
      </c>
      <c r="BL602">
        <v>0.3846</v>
      </c>
      <c r="BM602">
        <v>0.92</v>
      </c>
      <c r="BN602">
        <v>1.1299999999999999</v>
      </c>
    </row>
    <row r="603" spans="1:66" x14ac:dyDescent="0.25">
      <c r="A603">
        <v>1</v>
      </c>
      <c r="B603">
        <v>1</v>
      </c>
      <c r="C603">
        <v>3</v>
      </c>
      <c r="D603">
        <v>2.2866666666666666</v>
      </c>
      <c r="E603">
        <v>3.0833333333333335</v>
      </c>
      <c r="F603">
        <v>3.2633333333333332</v>
      </c>
      <c r="G603" s="40">
        <v>0.28999999999999998</v>
      </c>
      <c r="H603" s="40">
        <v>0.47</v>
      </c>
      <c r="I603" s="40">
        <v>0.24</v>
      </c>
      <c r="J603">
        <v>2.36</v>
      </c>
      <c r="K603">
        <v>3.05</v>
      </c>
      <c r="L603">
        <v>3.24</v>
      </c>
      <c r="M603">
        <v>2.25</v>
      </c>
      <c r="N603">
        <v>3.1</v>
      </c>
      <c r="O603">
        <v>3.45</v>
      </c>
      <c r="P603">
        <v>2.25</v>
      </c>
      <c r="Q603">
        <v>3.1</v>
      </c>
      <c r="R603">
        <v>3.1</v>
      </c>
      <c r="S603">
        <v>0.41394605751483521</v>
      </c>
      <c r="T603">
        <v>0.28453767836942068</v>
      </c>
      <c r="U603">
        <v>0.30151626411574411</v>
      </c>
      <c r="V603">
        <v>0.4205249189029785</v>
      </c>
      <c r="W603">
        <v>0.30521969920377473</v>
      </c>
      <c r="X603">
        <v>0.27425538189324683</v>
      </c>
      <c r="Y603">
        <v>0.40789473684210525</v>
      </c>
      <c r="Z603">
        <v>0.2960526315789474</v>
      </c>
      <c r="AA603">
        <v>0.2960526315789474</v>
      </c>
      <c r="AB603">
        <v>0.41412190441997304</v>
      </c>
      <c r="AC603">
        <v>0.29527000305071427</v>
      </c>
      <c r="AD603">
        <v>0.2906080925293128</v>
      </c>
      <c r="AE603" t="s">
        <v>95</v>
      </c>
      <c r="AF603" t="s">
        <v>85</v>
      </c>
      <c r="AG603">
        <v>36.68</v>
      </c>
      <c r="AH603">
        <v>24</v>
      </c>
      <c r="AI603">
        <v>3</v>
      </c>
      <c r="AJ603">
        <v>0</v>
      </c>
      <c r="AK603">
        <v>26.8</v>
      </c>
      <c r="AL603">
        <v>130</v>
      </c>
      <c r="AM603">
        <v>4218</v>
      </c>
      <c r="AN603">
        <v>71</v>
      </c>
      <c r="AO603">
        <v>71</v>
      </c>
      <c r="AP603">
        <v>70</v>
      </c>
      <c r="AQ603">
        <v>3.5</v>
      </c>
      <c r="AR603" t="s">
        <v>46</v>
      </c>
      <c r="AS603" t="s">
        <v>97</v>
      </c>
      <c r="AT603" t="s">
        <v>85</v>
      </c>
      <c r="AU603">
        <v>28.93</v>
      </c>
      <c r="AV603">
        <v>23</v>
      </c>
      <c r="AW603">
        <v>4</v>
      </c>
      <c r="AX603">
        <v>0</v>
      </c>
      <c r="AY603">
        <v>26.5</v>
      </c>
      <c r="AZ603">
        <v>151</v>
      </c>
      <c r="BA603">
        <v>3948</v>
      </c>
      <c r="BB603">
        <v>69</v>
      </c>
      <c r="BC603">
        <v>72</v>
      </c>
      <c r="BD603">
        <v>69</v>
      </c>
      <c r="BE603">
        <v>3</v>
      </c>
      <c r="BF603" t="s">
        <v>29</v>
      </c>
      <c r="BG603">
        <v>0</v>
      </c>
      <c r="BH603">
        <v>36</v>
      </c>
      <c r="BI603">
        <v>0.36</v>
      </c>
      <c r="BJ603" t="s">
        <v>85</v>
      </c>
      <c r="BK603">
        <v>0.32429999999999998</v>
      </c>
      <c r="BL603">
        <v>0.2571</v>
      </c>
      <c r="BM603">
        <v>1.03</v>
      </c>
      <c r="BN603">
        <v>0.83</v>
      </c>
    </row>
    <row r="604" spans="1:66" x14ac:dyDescent="0.25">
      <c r="A604">
        <v>1</v>
      </c>
      <c r="B604">
        <v>1</v>
      </c>
      <c r="C604">
        <v>3</v>
      </c>
      <c r="D604">
        <v>1.9666666666666668</v>
      </c>
      <c r="E604">
        <v>3.1799999999999997</v>
      </c>
      <c r="F604">
        <v>4.1533333333333333</v>
      </c>
      <c r="G604" s="40">
        <v>0.44</v>
      </c>
      <c r="H604" s="40">
        <v>0.34</v>
      </c>
      <c r="I604" s="40">
        <v>0.22000000000000003</v>
      </c>
      <c r="J604">
        <v>1.95</v>
      </c>
      <c r="K604">
        <v>3.19</v>
      </c>
      <c r="L604">
        <v>4.26</v>
      </c>
      <c r="M604">
        <v>1.95</v>
      </c>
      <c r="N604">
        <v>3.2</v>
      </c>
      <c r="O604">
        <v>4.2</v>
      </c>
      <c r="P604">
        <v>2</v>
      </c>
      <c r="Q604">
        <v>3.15</v>
      </c>
      <c r="R604">
        <v>4</v>
      </c>
      <c r="S604">
        <v>0.50818879310075848</v>
      </c>
      <c r="T604">
        <v>0.2591895762545281</v>
      </c>
      <c r="U604">
        <v>0.23262163064471336</v>
      </c>
      <c r="V604">
        <v>0.4822389666307858</v>
      </c>
      <c r="W604">
        <v>0.29386437029063511</v>
      </c>
      <c r="X604">
        <v>0.22389666307857911</v>
      </c>
      <c r="Y604">
        <v>0.46840148698884754</v>
      </c>
      <c r="Z604">
        <v>0.29739776951672864</v>
      </c>
      <c r="AA604">
        <v>0.23420074349442377</v>
      </c>
      <c r="AB604">
        <v>0.48627641557346396</v>
      </c>
      <c r="AC604">
        <v>0.28348390535396395</v>
      </c>
      <c r="AD604">
        <v>0.23023967907257212</v>
      </c>
      <c r="AE604" t="s">
        <v>101</v>
      </c>
      <c r="AF604" t="s">
        <v>85</v>
      </c>
      <c r="AG604">
        <v>16.600000000000001</v>
      </c>
      <c r="AH604">
        <v>31</v>
      </c>
      <c r="AI604">
        <v>4</v>
      </c>
      <c r="AJ604">
        <v>0</v>
      </c>
      <c r="AK604">
        <v>26</v>
      </c>
      <c r="AL604">
        <v>225</v>
      </c>
      <c r="AM604">
        <v>3041</v>
      </c>
      <c r="AN604">
        <v>68</v>
      </c>
      <c r="AO604">
        <v>68</v>
      </c>
      <c r="AP604">
        <v>68</v>
      </c>
      <c r="AQ604">
        <v>2.5</v>
      </c>
      <c r="AR604" t="s">
        <v>46</v>
      </c>
      <c r="AS604" t="s">
        <v>90</v>
      </c>
      <c r="AT604" t="s">
        <v>85</v>
      </c>
      <c r="AU604">
        <v>29.75</v>
      </c>
      <c r="AV604">
        <v>24</v>
      </c>
      <c r="AW604">
        <v>3</v>
      </c>
      <c r="AX604">
        <v>0</v>
      </c>
      <c r="AY604">
        <v>26.6</v>
      </c>
      <c r="AZ604">
        <v>88</v>
      </c>
      <c r="BA604">
        <v>5121</v>
      </c>
      <c r="BB604">
        <v>73</v>
      </c>
      <c r="BC604">
        <v>71</v>
      </c>
      <c r="BD604">
        <v>71</v>
      </c>
      <c r="BE604">
        <v>3.5</v>
      </c>
      <c r="BF604" t="s">
        <v>29</v>
      </c>
      <c r="BG604">
        <v>-15</v>
      </c>
      <c r="BH604">
        <v>20</v>
      </c>
      <c r="BI604">
        <v>0.17399999999999999</v>
      </c>
      <c r="BJ604" t="s">
        <v>85</v>
      </c>
      <c r="BK604">
        <v>0.23680000000000001</v>
      </c>
      <c r="BL604">
        <v>0.45950000000000002</v>
      </c>
      <c r="BM604">
        <v>0.82</v>
      </c>
      <c r="BN604">
        <v>1.43</v>
      </c>
    </row>
    <row r="605" spans="1:66" x14ac:dyDescent="0.25">
      <c r="A605">
        <v>1</v>
      </c>
      <c r="B605">
        <v>2</v>
      </c>
      <c r="C605">
        <v>2</v>
      </c>
      <c r="D605">
        <v>2.9433333333333334</v>
      </c>
      <c r="E605">
        <v>2.8633333333333333</v>
      </c>
      <c r="F605">
        <v>2.61</v>
      </c>
      <c r="G605" s="40">
        <v>0.28999999999999998</v>
      </c>
      <c r="H605" s="40">
        <v>0.4</v>
      </c>
      <c r="I605" s="40">
        <v>0.30999999999999994</v>
      </c>
      <c r="J605">
        <v>3.03</v>
      </c>
      <c r="K605">
        <v>2.84</v>
      </c>
      <c r="L605">
        <v>2.65</v>
      </c>
      <c r="M605">
        <v>3</v>
      </c>
      <c r="N605">
        <v>2.88</v>
      </c>
      <c r="O605">
        <v>2.63</v>
      </c>
      <c r="P605">
        <v>2.8</v>
      </c>
      <c r="Q605">
        <v>2.87</v>
      </c>
      <c r="R605">
        <v>2.5499999999999998</v>
      </c>
      <c r="S605">
        <v>0.32297379646556978</v>
      </c>
      <c r="T605">
        <v>0.30773918342474105</v>
      </c>
      <c r="U605">
        <v>0.36928702010968917</v>
      </c>
      <c r="V605">
        <v>0.31423308607557127</v>
      </c>
      <c r="W605">
        <v>0.32732613132872007</v>
      </c>
      <c r="X605">
        <v>0.35844078259570866</v>
      </c>
      <c r="Y605">
        <v>0.32534619573673568</v>
      </c>
      <c r="Z605">
        <v>0.317410922669986</v>
      </c>
      <c r="AA605">
        <v>0.35724288159327838</v>
      </c>
      <c r="AB605">
        <v>0.32085102609262556</v>
      </c>
      <c r="AC605">
        <v>0.31749207914114902</v>
      </c>
      <c r="AD605">
        <v>0.36165689476622537</v>
      </c>
      <c r="AE605" t="s">
        <v>92</v>
      </c>
      <c r="AF605" t="s">
        <v>85</v>
      </c>
      <c r="AG605">
        <v>64.430000000000007</v>
      </c>
      <c r="AH605">
        <v>26</v>
      </c>
      <c r="AI605">
        <v>3</v>
      </c>
      <c r="AJ605">
        <v>1</v>
      </c>
      <c r="AK605">
        <v>26.8</v>
      </c>
      <c r="AL605">
        <v>98</v>
      </c>
      <c r="AM605">
        <v>4872</v>
      </c>
      <c r="AN605">
        <v>74</v>
      </c>
      <c r="AO605">
        <v>73</v>
      </c>
      <c r="AP605">
        <v>73</v>
      </c>
      <c r="AQ605">
        <v>3.5</v>
      </c>
      <c r="AR605" t="s">
        <v>28</v>
      </c>
      <c r="AS605" t="s">
        <v>86</v>
      </c>
      <c r="AT605" t="s">
        <v>85</v>
      </c>
      <c r="AU605">
        <v>86.53</v>
      </c>
      <c r="AV605">
        <v>28</v>
      </c>
      <c r="AW605">
        <v>7</v>
      </c>
      <c r="AX605">
        <v>8</v>
      </c>
      <c r="AY605">
        <v>26.1</v>
      </c>
      <c r="AZ605">
        <v>10</v>
      </c>
      <c r="BA605">
        <v>9954</v>
      </c>
      <c r="BB605">
        <v>76</v>
      </c>
      <c r="BC605">
        <v>73</v>
      </c>
      <c r="BD605">
        <v>75</v>
      </c>
      <c r="BE605">
        <v>4</v>
      </c>
      <c r="BF605" t="s">
        <v>46</v>
      </c>
      <c r="BG605">
        <v>-27</v>
      </c>
      <c r="BH605">
        <v>33</v>
      </c>
      <c r="BI605">
        <v>0.22900000000000001</v>
      </c>
      <c r="BJ605" t="s">
        <v>85</v>
      </c>
      <c r="BK605">
        <v>0.46810000000000002</v>
      </c>
      <c r="BL605">
        <v>0.54900000000000004</v>
      </c>
      <c r="BM605">
        <v>1.3</v>
      </c>
      <c r="BN605">
        <v>1.47</v>
      </c>
    </row>
    <row r="606" spans="1:66" x14ac:dyDescent="0.25">
      <c r="A606">
        <v>2</v>
      </c>
      <c r="B606">
        <v>0</v>
      </c>
      <c r="C606">
        <v>4</v>
      </c>
      <c r="D606">
        <v>2.1333333333333333</v>
      </c>
      <c r="E606">
        <v>3.206666666666667</v>
      </c>
      <c r="F606">
        <v>3.4533333333333331</v>
      </c>
      <c r="G606" s="40">
        <v>0.36</v>
      </c>
      <c r="H606" s="40">
        <v>0.41</v>
      </c>
      <c r="I606" s="40">
        <v>0.23000000000000004</v>
      </c>
      <c r="J606">
        <v>2.15</v>
      </c>
      <c r="K606">
        <v>3.27</v>
      </c>
      <c r="L606">
        <v>3.46</v>
      </c>
      <c r="M606">
        <v>2.15</v>
      </c>
      <c r="N606">
        <v>3.25</v>
      </c>
      <c r="O606">
        <v>3.5</v>
      </c>
      <c r="P606">
        <v>2.1</v>
      </c>
      <c r="Q606">
        <v>3.1</v>
      </c>
      <c r="R606">
        <v>3.4</v>
      </c>
      <c r="S606">
        <v>0.45500153361796342</v>
      </c>
      <c r="T606">
        <v>0.26226629953850439</v>
      </c>
      <c r="U606">
        <v>0.28273216684353214</v>
      </c>
      <c r="V606">
        <v>0.43940125543215836</v>
      </c>
      <c r="W606">
        <v>0.29068083051665861</v>
      </c>
      <c r="X606">
        <v>0.26991791405118298</v>
      </c>
      <c r="Y606">
        <v>0.43571723852831751</v>
      </c>
      <c r="Z606">
        <v>0.29516329061595703</v>
      </c>
      <c r="AA606">
        <v>0.26911947085572552</v>
      </c>
      <c r="AB606">
        <v>0.44337334252614641</v>
      </c>
      <c r="AC606">
        <v>0.28270347355704001</v>
      </c>
      <c r="AD606">
        <v>0.27392318391681353</v>
      </c>
      <c r="AE606" t="s">
        <v>99</v>
      </c>
      <c r="AF606" t="s">
        <v>85</v>
      </c>
      <c r="AG606">
        <v>14.2</v>
      </c>
      <c r="AH606">
        <v>31</v>
      </c>
      <c r="AI606">
        <v>1</v>
      </c>
      <c r="AJ606">
        <v>0</v>
      </c>
      <c r="AK606">
        <v>26.5</v>
      </c>
      <c r="AL606">
        <v>173</v>
      </c>
      <c r="AM606">
        <v>3707</v>
      </c>
      <c r="AN606">
        <v>70</v>
      </c>
      <c r="AO606">
        <v>69</v>
      </c>
      <c r="AP606">
        <v>68</v>
      </c>
      <c r="AQ606">
        <v>3</v>
      </c>
      <c r="AR606" t="s">
        <v>46</v>
      </c>
      <c r="AS606" t="s">
        <v>104</v>
      </c>
      <c r="AT606" t="s">
        <v>85</v>
      </c>
      <c r="AU606">
        <v>8.68</v>
      </c>
      <c r="AV606">
        <v>32</v>
      </c>
      <c r="AW606">
        <v>5</v>
      </c>
      <c r="AX606">
        <v>0</v>
      </c>
      <c r="AY606">
        <v>27.6</v>
      </c>
      <c r="AZ606">
        <v>277</v>
      </c>
      <c r="BA606">
        <v>2592</v>
      </c>
      <c r="BB606">
        <v>65</v>
      </c>
      <c r="BC606">
        <v>66</v>
      </c>
      <c r="BD606">
        <v>66</v>
      </c>
      <c r="BE606">
        <v>2.5</v>
      </c>
      <c r="BF606" t="s">
        <v>43</v>
      </c>
      <c r="BG606">
        <v>-1</v>
      </c>
      <c r="BH606">
        <v>19</v>
      </c>
      <c r="BI606">
        <v>0.33300000000000002</v>
      </c>
      <c r="BJ606" t="s">
        <v>85</v>
      </c>
      <c r="BK606">
        <v>0.40479999999999999</v>
      </c>
      <c r="BL606">
        <v>0.1842</v>
      </c>
      <c r="BM606">
        <v>1.24</v>
      </c>
      <c r="BN606">
        <v>0.84</v>
      </c>
    </row>
    <row r="607" spans="1:66" x14ac:dyDescent="0.25">
      <c r="A607">
        <v>1</v>
      </c>
      <c r="B607">
        <v>3</v>
      </c>
      <c r="C607">
        <v>3</v>
      </c>
      <c r="D607">
        <v>1.4666666666666668</v>
      </c>
      <c r="E607">
        <v>4.126666666666666</v>
      </c>
      <c r="F607">
        <v>6.669999999999999</v>
      </c>
      <c r="G607" s="40">
        <v>0.51</v>
      </c>
      <c r="H607" s="40">
        <v>0.28999999999999998</v>
      </c>
      <c r="I607" s="40">
        <v>0.2</v>
      </c>
      <c r="J607">
        <v>1.47</v>
      </c>
      <c r="K607">
        <v>4.18</v>
      </c>
      <c r="L607">
        <v>7.01</v>
      </c>
      <c r="M607">
        <v>1.48</v>
      </c>
      <c r="N607">
        <v>4.2</v>
      </c>
      <c r="O607">
        <v>7</v>
      </c>
      <c r="P607">
        <v>1.45</v>
      </c>
      <c r="Q607">
        <v>4</v>
      </c>
      <c r="R607">
        <v>6</v>
      </c>
      <c r="S607">
        <v>0.68547003730731049</v>
      </c>
      <c r="T607">
        <v>0.17078660251555022</v>
      </c>
      <c r="U607">
        <v>0.14374336017713926</v>
      </c>
      <c r="V607">
        <v>0.63946406820950064</v>
      </c>
      <c r="W607">
        <v>0.22533495736906214</v>
      </c>
      <c r="X607">
        <v>0.13520097442143728</v>
      </c>
      <c r="Y607">
        <v>0.62337662337662347</v>
      </c>
      <c r="Z607">
        <v>0.22597402597402599</v>
      </c>
      <c r="AA607">
        <v>0.15064935064935067</v>
      </c>
      <c r="AB607">
        <v>0.64943690963114487</v>
      </c>
      <c r="AC607">
        <v>0.20736519528621278</v>
      </c>
      <c r="AD607">
        <v>0.14319789508264238</v>
      </c>
      <c r="AE607" t="s">
        <v>84</v>
      </c>
      <c r="AF607" t="s">
        <v>85</v>
      </c>
      <c r="AG607">
        <v>103.93</v>
      </c>
      <c r="AH607">
        <v>29</v>
      </c>
      <c r="AI607">
        <v>5</v>
      </c>
      <c r="AJ607">
        <v>6</v>
      </c>
      <c r="AK607">
        <v>27.7</v>
      </c>
      <c r="AL607">
        <v>4</v>
      </c>
      <c r="AM607">
        <v>11425</v>
      </c>
      <c r="AN607">
        <v>76</v>
      </c>
      <c r="AO607">
        <v>76</v>
      </c>
      <c r="AP607">
        <v>75</v>
      </c>
      <c r="AQ607">
        <v>4</v>
      </c>
      <c r="AR607" t="s">
        <v>29</v>
      </c>
      <c r="AS607" t="s">
        <v>89</v>
      </c>
      <c r="AT607" t="s">
        <v>85</v>
      </c>
      <c r="AU607">
        <v>31.6</v>
      </c>
      <c r="AV607">
        <v>27</v>
      </c>
      <c r="AW607">
        <v>3</v>
      </c>
      <c r="AX607">
        <v>1</v>
      </c>
      <c r="AY607">
        <v>27.6</v>
      </c>
      <c r="AZ607">
        <v>78</v>
      </c>
      <c r="BA607">
        <v>5364</v>
      </c>
      <c r="BB607">
        <v>71</v>
      </c>
      <c r="BC607">
        <v>71</v>
      </c>
      <c r="BD607">
        <v>72</v>
      </c>
      <c r="BE607">
        <v>3.5</v>
      </c>
      <c r="BF607" t="s">
        <v>29</v>
      </c>
      <c r="BG607">
        <v>3</v>
      </c>
      <c r="BH607">
        <v>42</v>
      </c>
      <c r="BI607">
        <v>0.33300000000000002</v>
      </c>
      <c r="BJ607" t="s">
        <v>85</v>
      </c>
      <c r="BK607">
        <v>0.64</v>
      </c>
      <c r="BL607">
        <v>0.47499999999999998</v>
      </c>
      <c r="BM607">
        <v>2.08</v>
      </c>
      <c r="BN607">
        <v>1</v>
      </c>
    </row>
    <row r="608" spans="1:66" x14ac:dyDescent="0.25">
      <c r="A608">
        <v>1</v>
      </c>
      <c r="B608">
        <v>2</v>
      </c>
      <c r="C608">
        <v>4</v>
      </c>
      <c r="D608">
        <v>4.6933333333333334</v>
      </c>
      <c r="E608">
        <v>3.2633333333333332</v>
      </c>
      <c r="F608">
        <v>1.84</v>
      </c>
      <c r="G608" s="40">
        <v>0.22</v>
      </c>
      <c r="H608" s="40">
        <v>0.37</v>
      </c>
      <c r="I608" s="40">
        <v>0.41000000000000003</v>
      </c>
      <c r="J608">
        <v>4.58</v>
      </c>
      <c r="K608">
        <v>3.29</v>
      </c>
      <c r="L608">
        <v>1.86</v>
      </c>
      <c r="M608">
        <v>4.75</v>
      </c>
      <c r="N608">
        <v>3.3</v>
      </c>
      <c r="O608">
        <v>1.83</v>
      </c>
      <c r="P608">
        <v>4.75</v>
      </c>
      <c r="Q608">
        <v>3.2</v>
      </c>
      <c r="R608">
        <v>1.83</v>
      </c>
      <c r="S608">
        <v>0.21749046196187877</v>
      </c>
      <c r="T608">
        <v>0.24696850804596807</v>
      </c>
      <c r="U608">
        <v>0.53554102999215303</v>
      </c>
      <c r="V608">
        <v>0.19860885008139709</v>
      </c>
      <c r="W608">
        <v>0.28587637511716246</v>
      </c>
      <c r="X608">
        <v>0.51551477480144048</v>
      </c>
      <c r="Y608">
        <v>0.19685026135771552</v>
      </c>
      <c r="Z608">
        <v>0.29219960670285894</v>
      </c>
      <c r="AA608">
        <v>0.5109501319394254</v>
      </c>
      <c r="AB608">
        <v>0.20431652446699711</v>
      </c>
      <c r="AC608">
        <v>0.27501482995532983</v>
      </c>
      <c r="AD608">
        <v>0.5206686455776729</v>
      </c>
      <c r="AE608" t="s">
        <v>118</v>
      </c>
      <c r="AF608" t="s">
        <v>108</v>
      </c>
      <c r="AG608">
        <v>65.8</v>
      </c>
      <c r="AH608">
        <v>34</v>
      </c>
      <c r="AI608">
        <v>4</v>
      </c>
      <c r="AJ608">
        <v>2</v>
      </c>
      <c r="AK608">
        <v>27.6</v>
      </c>
      <c r="AL608">
        <v>89</v>
      </c>
      <c r="AM608">
        <v>5108</v>
      </c>
      <c r="AN608">
        <v>70</v>
      </c>
      <c r="AO608">
        <v>73</v>
      </c>
      <c r="AP608">
        <v>72</v>
      </c>
      <c r="AQ608">
        <v>3.5</v>
      </c>
      <c r="AR608" t="s">
        <v>29</v>
      </c>
      <c r="AS608" t="s">
        <v>107</v>
      </c>
      <c r="AT608" t="s">
        <v>108</v>
      </c>
      <c r="AU608">
        <v>148.6</v>
      </c>
      <c r="AV608">
        <v>32</v>
      </c>
      <c r="AW608">
        <v>2</v>
      </c>
      <c r="AX608">
        <v>7</v>
      </c>
      <c r="AY608">
        <v>27.2</v>
      </c>
      <c r="AZ608">
        <v>2</v>
      </c>
      <c r="BA608">
        <v>13486</v>
      </c>
      <c r="BB608">
        <v>77</v>
      </c>
      <c r="BC608">
        <v>75</v>
      </c>
      <c r="BD608">
        <v>75</v>
      </c>
      <c r="BE608">
        <v>4</v>
      </c>
      <c r="BF608" t="s">
        <v>29</v>
      </c>
      <c r="BG608">
        <v>-11</v>
      </c>
      <c r="BH608">
        <v>60</v>
      </c>
      <c r="BI608">
        <v>0.33300000000000002</v>
      </c>
      <c r="BJ608" t="s">
        <v>108</v>
      </c>
      <c r="BK608">
        <v>0.4839</v>
      </c>
      <c r="BL608">
        <v>0.62860000000000005</v>
      </c>
      <c r="BM608">
        <v>1.52</v>
      </c>
      <c r="BN608">
        <v>1.87</v>
      </c>
    </row>
    <row r="609" spans="1:66" x14ac:dyDescent="0.25">
      <c r="A609">
        <v>1</v>
      </c>
      <c r="B609">
        <v>3</v>
      </c>
      <c r="C609">
        <v>3</v>
      </c>
      <c r="D609">
        <v>1.5633333333333335</v>
      </c>
      <c r="E609">
        <v>3.78</v>
      </c>
      <c r="F609">
        <v>6.0966666666666667</v>
      </c>
      <c r="G609" s="40">
        <v>0.41</v>
      </c>
      <c r="H609" s="40">
        <v>0.26</v>
      </c>
      <c r="I609" s="40">
        <v>0.33000000000000007</v>
      </c>
      <c r="J609">
        <v>1.55</v>
      </c>
      <c r="K609">
        <v>3.89</v>
      </c>
      <c r="L609">
        <v>6.29</v>
      </c>
      <c r="M609">
        <v>1.57</v>
      </c>
      <c r="N609">
        <v>3.85</v>
      </c>
      <c r="O609">
        <v>6</v>
      </c>
      <c r="P609">
        <v>1.57</v>
      </c>
      <c r="Q609">
        <v>3.6</v>
      </c>
      <c r="R609">
        <v>6</v>
      </c>
      <c r="S609">
        <v>0.649825053848328</v>
      </c>
      <c r="T609">
        <v>0.1900431761254544</v>
      </c>
      <c r="U609">
        <v>0.16013177002621756</v>
      </c>
      <c r="V609">
        <v>0.59899648640589154</v>
      </c>
      <c r="W609">
        <v>0.24426609965123369</v>
      </c>
      <c r="X609">
        <v>0.15673741394287496</v>
      </c>
      <c r="Y609">
        <v>0.58900523560209428</v>
      </c>
      <c r="Z609">
        <v>0.25687172774869116</v>
      </c>
      <c r="AA609">
        <v>0.15412303664921467</v>
      </c>
      <c r="AB609">
        <v>0.61260892528543787</v>
      </c>
      <c r="AC609">
        <v>0.23039366784179308</v>
      </c>
      <c r="AD609">
        <v>0.15699740687276909</v>
      </c>
      <c r="AE609" t="s">
        <v>120</v>
      </c>
      <c r="AF609" t="s">
        <v>108</v>
      </c>
      <c r="AG609">
        <v>22.38</v>
      </c>
      <c r="AH609">
        <v>31</v>
      </c>
      <c r="AI609">
        <v>2</v>
      </c>
      <c r="AJ609">
        <v>1</v>
      </c>
      <c r="AK609">
        <v>27.8</v>
      </c>
      <c r="AL609">
        <v>106</v>
      </c>
      <c r="AM609">
        <v>4727</v>
      </c>
      <c r="AN609">
        <v>70</v>
      </c>
      <c r="AO609">
        <v>71</v>
      </c>
      <c r="AP609">
        <v>72</v>
      </c>
      <c r="AQ609">
        <v>3.5</v>
      </c>
      <c r="AR609" t="s">
        <v>28</v>
      </c>
      <c r="AS609" t="s">
        <v>111</v>
      </c>
      <c r="AT609" t="s">
        <v>108</v>
      </c>
      <c r="AU609">
        <v>56.2</v>
      </c>
      <c r="AV609">
        <v>28</v>
      </c>
      <c r="AW609">
        <v>2</v>
      </c>
      <c r="AX609">
        <v>2</v>
      </c>
      <c r="AY609">
        <v>25.9</v>
      </c>
      <c r="AZ609">
        <v>15</v>
      </c>
      <c r="BA609">
        <v>9286</v>
      </c>
      <c r="BB609">
        <v>74</v>
      </c>
      <c r="BC609">
        <v>71</v>
      </c>
      <c r="BD609">
        <v>72</v>
      </c>
      <c r="BE609">
        <v>3.5</v>
      </c>
      <c r="BF609" t="s">
        <v>29</v>
      </c>
      <c r="BG609">
        <v>-8</v>
      </c>
      <c r="BH609">
        <v>11</v>
      </c>
      <c r="BI609">
        <v>0.25</v>
      </c>
      <c r="BJ609" t="s">
        <v>108</v>
      </c>
      <c r="BK609">
        <v>0.4032</v>
      </c>
      <c r="BL609">
        <v>0.43940000000000001</v>
      </c>
      <c r="BM609">
        <v>1.26</v>
      </c>
      <c r="BN609">
        <v>1.29</v>
      </c>
    </row>
    <row r="610" spans="1:66" x14ac:dyDescent="0.25">
      <c r="A610">
        <v>2</v>
      </c>
      <c r="B610">
        <v>0</v>
      </c>
      <c r="C610">
        <v>4</v>
      </c>
      <c r="D610">
        <v>2.1333333333333333</v>
      </c>
      <c r="E610">
        <v>3.1366666666666667</v>
      </c>
      <c r="F610">
        <v>3.6566666666666667</v>
      </c>
      <c r="G610" s="40">
        <v>0.28000000000000003</v>
      </c>
      <c r="H610" s="40">
        <v>0.42</v>
      </c>
      <c r="I610" s="40">
        <v>0.3</v>
      </c>
      <c r="J610">
        <v>2.15</v>
      </c>
      <c r="K610">
        <v>3.06</v>
      </c>
      <c r="L610">
        <v>3.72</v>
      </c>
      <c r="M610">
        <v>2.15</v>
      </c>
      <c r="N610">
        <v>3.1</v>
      </c>
      <c r="O610">
        <v>3.75</v>
      </c>
      <c r="P610">
        <v>2.1</v>
      </c>
      <c r="Q610">
        <v>3.25</v>
      </c>
      <c r="R610">
        <v>3.5</v>
      </c>
      <c r="S610">
        <v>0.45748290054906021</v>
      </c>
      <c r="T610">
        <v>0.27811165961747764</v>
      </c>
      <c r="U610">
        <v>0.26440543983346221</v>
      </c>
      <c r="V610">
        <v>0.4411346172089935</v>
      </c>
      <c r="W610">
        <v>0.3059482022578503</v>
      </c>
      <c r="X610">
        <v>0.25291718053315626</v>
      </c>
      <c r="Y610">
        <v>0.4452054794520548</v>
      </c>
      <c r="Z610">
        <v>0.28767123287671237</v>
      </c>
      <c r="AA610">
        <v>0.26712328767123289</v>
      </c>
      <c r="AB610">
        <v>0.44794099907003621</v>
      </c>
      <c r="AC610">
        <v>0.29057703158401343</v>
      </c>
      <c r="AD610">
        <v>0.26148196934595042</v>
      </c>
      <c r="AE610" t="s">
        <v>112</v>
      </c>
      <c r="AF610" t="s">
        <v>108</v>
      </c>
      <c r="AG610">
        <v>59.75</v>
      </c>
      <c r="AH610">
        <v>28</v>
      </c>
      <c r="AI610">
        <v>8</v>
      </c>
      <c r="AJ610">
        <v>4</v>
      </c>
      <c r="AK610">
        <v>26</v>
      </c>
      <c r="AL610">
        <v>17</v>
      </c>
      <c r="AM610">
        <v>9035</v>
      </c>
      <c r="AN610">
        <v>71</v>
      </c>
      <c r="AO610">
        <v>75</v>
      </c>
      <c r="AP610">
        <v>75</v>
      </c>
      <c r="AQ610">
        <v>3.5</v>
      </c>
      <c r="AR610" t="s">
        <v>29</v>
      </c>
      <c r="AS610" t="s">
        <v>115</v>
      </c>
      <c r="AT610" t="s">
        <v>108</v>
      </c>
      <c r="AU610">
        <v>71.75</v>
      </c>
      <c r="AV610">
        <v>32</v>
      </c>
      <c r="AW610">
        <v>2</v>
      </c>
      <c r="AX610">
        <v>2</v>
      </c>
      <c r="AY610">
        <v>25.8</v>
      </c>
      <c r="AZ610">
        <v>64</v>
      </c>
      <c r="BA610">
        <v>6079</v>
      </c>
      <c r="BB610">
        <v>72</v>
      </c>
      <c r="BC610">
        <v>72</v>
      </c>
      <c r="BD610">
        <v>74</v>
      </c>
      <c r="BE610">
        <v>3.5</v>
      </c>
      <c r="BF610" t="s">
        <v>29</v>
      </c>
      <c r="BG610">
        <v>-1</v>
      </c>
      <c r="BH610">
        <v>44</v>
      </c>
      <c r="BI610">
        <v>0.27800000000000002</v>
      </c>
      <c r="BJ610" t="s">
        <v>108</v>
      </c>
      <c r="BK610">
        <v>0.52939999999999998</v>
      </c>
      <c r="BL610">
        <v>0.3448</v>
      </c>
      <c r="BM610">
        <v>1.5</v>
      </c>
      <c r="BN610">
        <v>1.1599999999999999</v>
      </c>
    </row>
    <row r="611" spans="1:66" x14ac:dyDescent="0.25">
      <c r="A611">
        <v>1</v>
      </c>
      <c r="B611">
        <v>3</v>
      </c>
      <c r="C611">
        <v>3</v>
      </c>
      <c r="D611">
        <v>1.4533333333333334</v>
      </c>
      <c r="E611">
        <v>4.2066666666666661</v>
      </c>
      <c r="F611">
        <v>7.1433333333333335</v>
      </c>
      <c r="G611" s="40">
        <v>0.33</v>
      </c>
      <c r="H611" s="40">
        <v>0.46</v>
      </c>
      <c r="I611" s="40">
        <v>0.20999999999999991</v>
      </c>
      <c r="J611">
        <v>1.47</v>
      </c>
      <c r="K611">
        <v>4.29</v>
      </c>
      <c r="L611">
        <v>6.93</v>
      </c>
      <c r="M611">
        <v>1.45</v>
      </c>
      <c r="N611">
        <v>4.33</v>
      </c>
      <c r="O611">
        <v>7</v>
      </c>
      <c r="P611">
        <v>1.44</v>
      </c>
      <c r="Q611">
        <v>4</v>
      </c>
      <c r="R611">
        <v>7.5</v>
      </c>
      <c r="S611">
        <v>0.68666827969997579</v>
      </c>
      <c r="T611">
        <v>0.16767481248487778</v>
      </c>
      <c r="U611">
        <v>0.14565690781514637</v>
      </c>
      <c r="V611">
        <v>0.64850177048899726</v>
      </c>
      <c r="W611">
        <v>0.21716571990971043</v>
      </c>
      <c r="X611">
        <v>0.13433250960129228</v>
      </c>
      <c r="Y611">
        <v>0.64432989690721654</v>
      </c>
      <c r="Z611">
        <v>0.23195876288659795</v>
      </c>
      <c r="AA611">
        <v>0.12371134020618556</v>
      </c>
      <c r="AB611">
        <v>0.65983331569872983</v>
      </c>
      <c r="AC611">
        <v>0.20559976509372871</v>
      </c>
      <c r="AD611">
        <v>0.13456691920754141</v>
      </c>
      <c r="AE611" t="s">
        <v>117</v>
      </c>
      <c r="AF611" t="s">
        <v>108</v>
      </c>
      <c r="AG611">
        <v>24.33</v>
      </c>
      <c r="AH611">
        <v>30</v>
      </c>
      <c r="AI611">
        <v>6</v>
      </c>
      <c r="AJ611">
        <v>0</v>
      </c>
      <c r="AK611">
        <v>27.8</v>
      </c>
      <c r="AL611">
        <v>84</v>
      </c>
      <c r="AM611">
        <v>5249</v>
      </c>
      <c r="AN611">
        <v>69</v>
      </c>
      <c r="AO611">
        <v>71</v>
      </c>
      <c r="AP611">
        <v>71</v>
      </c>
      <c r="AQ611">
        <v>3.5</v>
      </c>
      <c r="AR611" t="s">
        <v>28</v>
      </c>
      <c r="AS611" t="s">
        <v>124</v>
      </c>
      <c r="AT611" t="s">
        <v>108</v>
      </c>
      <c r="AU611">
        <v>150.30000000000001</v>
      </c>
      <c r="AV611">
        <v>36</v>
      </c>
      <c r="AW611">
        <v>0</v>
      </c>
      <c r="AX611">
        <v>0</v>
      </c>
      <c r="AY611">
        <v>26.5</v>
      </c>
      <c r="AZ611">
        <v>318</v>
      </c>
      <c r="BA611">
        <v>2355</v>
      </c>
      <c r="BB611">
        <v>69</v>
      </c>
      <c r="BC611">
        <v>71</v>
      </c>
      <c r="BD611">
        <v>71</v>
      </c>
      <c r="BE611">
        <v>3.5</v>
      </c>
      <c r="BF611" t="s">
        <v>46</v>
      </c>
      <c r="BG611">
        <v>0</v>
      </c>
      <c r="BH611">
        <v>10</v>
      </c>
      <c r="BI611">
        <v>0.222</v>
      </c>
      <c r="BJ611" t="s">
        <v>108</v>
      </c>
      <c r="BK611">
        <v>0.40279999999999999</v>
      </c>
      <c r="BL611">
        <v>0.4909</v>
      </c>
      <c r="BM611">
        <v>1.33</v>
      </c>
      <c r="BN611">
        <v>1.07</v>
      </c>
    </row>
    <row r="612" spans="1:66" x14ac:dyDescent="0.25">
      <c r="A612">
        <v>1</v>
      </c>
      <c r="B612">
        <v>1</v>
      </c>
      <c r="C612">
        <v>3</v>
      </c>
      <c r="D612">
        <v>4.8333333333333339</v>
      </c>
      <c r="E612">
        <v>3.3166666666666664</v>
      </c>
      <c r="F612">
        <v>1.8166666666666667</v>
      </c>
      <c r="G612" s="40">
        <v>0.26</v>
      </c>
      <c r="H612" s="40">
        <v>0.34</v>
      </c>
      <c r="I612" s="40">
        <v>0.39999999999999997</v>
      </c>
      <c r="J612">
        <v>4.9000000000000004</v>
      </c>
      <c r="K612">
        <v>3.25</v>
      </c>
      <c r="L612">
        <v>1.83</v>
      </c>
      <c r="M612">
        <v>4.9000000000000004</v>
      </c>
      <c r="N612">
        <v>3.45</v>
      </c>
      <c r="O612">
        <v>1.77</v>
      </c>
      <c r="P612">
        <v>4.7</v>
      </c>
      <c r="Q612">
        <v>3.25</v>
      </c>
      <c r="R612">
        <v>1.85</v>
      </c>
      <c r="S612">
        <v>0.20493659399554431</v>
      </c>
      <c r="T612">
        <v>0.2463260778196649</v>
      </c>
      <c r="U612">
        <v>0.54873732818479082</v>
      </c>
      <c r="V612">
        <v>0.1927283056384036</v>
      </c>
      <c r="W612">
        <v>0.27373005728352978</v>
      </c>
      <c r="X612">
        <v>0.53354163707806657</v>
      </c>
      <c r="Y612">
        <v>0.20053364462603188</v>
      </c>
      <c r="Z612">
        <v>0.29000250145918455</v>
      </c>
      <c r="AA612">
        <v>0.50946385391478366</v>
      </c>
      <c r="AB612">
        <v>0.1993995147533266</v>
      </c>
      <c r="AC612">
        <v>0.27001954552079305</v>
      </c>
      <c r="AD612">
        <v>0.53058093972588039</v>
      </c>
      <c r="AE612" t="s">
        <v>77</v>
      </c>
      <c r="AF612" t="s">
        <v>63</v>
      </c>
      <c r="AG612">
        <v>8.4</v>
      </c>
      <c r="AH612">
        <v>32</v>
      </c>
      <c r="AI612">
        <v>3</v>
      </c>
      <c r="AJ612">
        <v>0</v>
      </c>
      <c r="AK612">
        <v>23.6</v>
      </c>
      <c r="AL612">
        <v>362</v>
      </c>
      <c r="AM612">
        <v>2071</v>
      </c>
      <c r="AN612">
        <v>65</v>
      </c>
      <c r="AO612">
        <v>66</v>
      </c>
      <c r="AP612">
        <v>61</v>
      </c>
      <c r="AQ612">
        <v>2</v>
      </c>
      <c r="AR612" t="s">
        <v>46</v>
      </c>
      <c r="AS612" t="s">
        <v>70</v>
      </c>
      <c r="AT612" t="s">
        <v>63</v>
      </c>
      <c r="AU612">
        <v>16.38</v>
      </c>
      <c r="AV612">
        <v>28</v>
      </c>
      <c r="AW612">
        <v>1</v>
      </c>
      <c r="AX612">
        <v>3</v>
      </c>
      <c r="AY612">
        <v>25.3</v>
      </c>
      <c r="AZ612">
        <v>200</v>
      </c>
      <c r="BA612">
        <v>3276</v>
      </c>
      <c r="BB612">
        <v>69</v>
      </c>
      <c r="BC612">
        <v>63</v>
      </c>
      <c r="BD612">
        <v>65</v>
      </c>
      <c r="BE612">
        <v>2</v>
      </c>
      <c r="BF612" t="s">
        <v>29</v>
      </c>
      <c r="BG612">
        <v>-11</v>
      </c>
      <c r="BH612">
        <v>18</v>
      </c>
      <c r="BI612">
        <v>0.20799999999999999</v>
      </c>
      <c r="BJ612" t="s">
        <v>63</v>
      </c>
      <c r="BK612">
        <v>0.26090000000000002</v>
      </c>
      <c r="BL612">
        <v>0.36</v>
      </c>
      <c r="BM612">
        <v>1.22</v>
      </c>
      <c r="BN612">
        <v>1.44</v>
      </c>
    </row>
    <row r="613" spans="1:66" x14ac:dyDescent="0.25">
      <c r="A613">
        <v>1</v>
      </c>
      <c r="B613">
        <v>3</v>
      </c>
      <c r="C613">
        <v>3</v>
      </c>
      <c r="D613">
        <v>2.3400000000000003</v>
      </c>
      <c r="E613">
        <v>3.1</v>
      </c>
      <c r="F613">
        <v>3.2166666666666668</v>
      </c>
      <c r="G613" s="40">
        <v>0.25</v>
      </c>
      <c r="H613" s="40">
        <v>0.43</v>
      </c>
      <c r="I613" s="40">
        <v>0.32</v>
      </c>
      <c r="J613">
        <v>2.35</v>
      </c>
      <c r="K613">
        <v>3.05</v>
      </c>
      <c r="L613">
        <v>3.25</v>
      </c>
      <c r="M613">
        <v>2.2999999999999998</v>
      </c>
      <c r="N613">
        <v>3.2</v>
      </c>
      <c r="O613">
        <v>3.2</v>
      </c>
      <c r="P613">
        <v>2.37</v>
      </c>
      <c r="Q613">
        <v>3.05</v>
      </c>
      <c r="R613">
        <v>3.2</v>
      </c>
      <c r="S613">
        <v>0.41536123088376703</v>
      </c>
      <c r="T613">
        <v>0.28430064832335511</v>
      </c>
      <c r="U613">
        <v>0.30033812079287775</v>
      </c>
      <c r="V613">
        <v>0.41025641025641024</v>
      </c>
      <c r="W613">
        <v>0.29487179487179482</v>
      </c>
      <c r="X613">
        <v>0.29487179487179482</v>
      </c>
      <c r="Y613">
        <v>0.39719198290772206</v>
      </c>
      <c r="Z613">
        <v>0.30863770475124636</v>
      </c>
      <c r="AA613">
        <v>0.29417031234103164</v>
      </c>
      <c r="AB613">
        <v>0.40760320801596645</v>
      </c>
      <c r="AC613">
        <v>0.29593671598213211</v>
      </c>
      <c r="AD613">
        <v>0.29646007600190138</v>
      </c>
      <c r="AE613" t="s">
        <v>74</v>
      </c>
      <c r="AF613" t="s">
        <v>63</v>
      </c>
      <c r="AG613">
        <v>9.73</v>
      </c>
      <c r="AH613">
        <v>33</v>
      </c>
      <c r="AI613">
        <v>1</v>
      </c>
      <c r="AJ613">
        <v>0</v>
      </c>
      <c r="AK613">
        <v>26.2</v>
      </c>
      <c r="AL613">
        <v>254</v>
      </c>
      <c r="AM613">
        <v>2813</v>
      </c>
      <c r="AN613">
        <v>67</v>
      </c>
      <c r="AO613">
        <v>64</v>
      </c>
      <c r="AP613">
        <v>65</v>
      </c>
      <c r="AQ613">
        <v>2</v>
      </c>
      <c r="AR613" t="s">
        <v>46</v>
      </c>
      <c r="AS613" t="s">
        <v>65</v>
      </c>
      <c r="AT613" t="s">
        <v>63</v>
      </c>
      <c r="AU613">
        <v>14.58</v>
      </c>
      <c r="AV613">
        <v>35</v>
      </c>
      <c r="AW613">
        <v>3</v>
      </c>
      <c r="AX613">
        <v>1</v>
      </c>
      <c r="AY613">
        <v>25.9</v>
      </c>
      <c r="AZ613">
        <v>91</v>
      </c>
      <c r="BA613">
        <v>5087</v>
      </c>
      <c r="BB613">
        <v>68</v>
      </c>
      <c r="BC613">
        <v>61</v>
      </c>
      <c r="BD613">
        <v>64</v>
      </c>
      <c r="BE613">
        <v>1.5</v>
      </c>
      <c r="BF613" t="s">
        <v>29</v>
      </c>
      <c r="BG613">
        <v>-10</v>
      </c>
      <c r="BH613">
        <v>20</v>
      </c>
      <c r="BI613">
        <v>0.27800000000000002</v>
      </c>
      <c r="BJ613" t="s">
        <v>63</v>
      </c>
      <c r="BK613">
        <v>0.25</v>
      </c>
      <c r="BL613">
        <v>0.35289999999999999</v>
      </c>
      <c r="BM613">
        <v>1.17</v>
      </c>
      <c r="BN613">
        <v>1.24</v>
      </c>
    </row>
    <row r="614" spans="1:66" x14ac:dyDescent="0.25">
      <c r="A614">
        <v>2</v>
      </c>
      <c r="B614">
        <v>0</v>
      </c>
      <c r="C614">
        <v>4</v>
      </c>
      <c r="D614">
        <v>2.1433333333333331</v>
      </c>
      <c r="E614">
        <v>3.1166666666666671</v>
      </c>
      <c r="F614">
        <v>3.6999999999999997</v>
      </c>
      <c r="G614" s="40">
        <v>0.3</v>
      </c>
      <c r="H614" s="40">
        <v>0.41</v>
      </c>
      <c r="I614" s="40">
        <v>0.28999999999999998</v>
      </c>
      <c r="J614">
        <v>2.12</v>
      </c>
      <c r="K614">
        <v>3.1</v>
      </c>
      <c r="L614">
        <v>3.8</v>
      </c>
      <c r="M614">
        <v>2.15</v>
      </c>
      <c r="N614">
        <v>3.2</v>
      </c>
      <c r="O614">
        <v>3.6</v>
      </c>
      <c r="P614">
        <v>2.16</v>
      </c>
      <c r="Q614">
        <v>3.05</v>
      </c>
      <c r="R614">
        <v>3.7</v>
      </c>
      <c r="S614">
        <v>0.46604943869130744</v>
      </c>
      <c r="T614">
        <v>0.27394403235459475</v>
      </c>
      <c r="U614">
        <v>0.26000652895409782</v>
      </c>
      <c r="V614">
        <v>0.44070390206579957</v>
      </c>
      <c r="W614">
        <v>0.2960979342004591</v>
      </c>
      <c r="X614">
        <v>0.26319816373374139</v>
      </c>
      <c r="Y614">
        <v>0.43630388555963656</v>
      </c>
      <c r="Z614">
        <v>0.30898898124879182</v>
      </c>
      <c r="AA614">
        <v>0.25470713319157162</v>
      </c>
      <c r="AB614">
        <v>0.44768574210558115</v>
      </c>
      <c r="AC614">
        <v>0.29301031593461518</v>
      </c>
      <c r="AD614">
        <v>0.25930394195980361</v>
      </c>
      <c r="AE614" t="s">
        <v>71</v>
      </c>
      <c r="AF614" t="s">
        <v>63</v>
      </c>
      <c r="AG614">
        <v>11.5</v>
      </c>
      <c r="AH614">
        <v>28</v>
      </c>
      <c r="AI614">
        <v>3</v>
      </c>
      <c r="AJ614">
        <v>0</v>
      </c>
      <c r="AK614">
        <v>27</v>
      </c>
      <c r="AL614">
        <v>205</v>
      </c>
      <c r="AM614">
        <v>3223</v>
      </c>
      <c r="AN614">
        <v>65</v>
      </c>
      <c r="AO614">
        <v>67</v>
      </c>
      <c r="AP614">
        <v>63</v>
      </c>
      <c r="AQ614">
        <v>2</v>
      </c>
      <c r="AR614" t="s">
        <v>29</v>
      </c>
      <c r="AS614" t="s">
        <v>75</v>
      </c>
      <c r="AT614" t="s">
        <v>63</v>
      </c>
      <c r="AU614">
        <v>9.3000000000000007</v>
      </c>
      <c r="AV614">
        <v>29</v>
      </c>
      <c r="AW614">
        <v>4</v>
      </c>
      <c r="AX614">
        <v>0</v>
      </c>
      <c r="AY614">
        <v>25.6</v>
      </c>
      <c r="AZ614">
        <v>317</v>
      </c>
      <c r="BA614">
        <v>2374</v>
      </c>
      <c r="BB614">
        <v>69</v>
      </c>
      <c r="BC614">
        <v>66</v>
      </c>
      <c r="BD614">
        <v>64</v>
      </c>
      <c r="BE614">
        <v>2.5</v>
      </c>
      <c r="BF614" t="s">
        <v>46</v>
      </c>
      <c r="BG614">
        <v>-15</v>
      </c>
      <c r="BH614">
        <v>22</v>
      </c>
      <c r="BI614">
        <v>0.20799999999999999</v>
      </c>
      <c r="BJ614" t="s">
        <v>63</v>
      </c>
      <c r="BK614">
        <v>0.38479999999999998</v>
      </c>
      <c r="BL614">
        <v>0.43480000000000002</v>
      </c>
      <c r="BM614">
        <v>1.42</v>
      </c>
      <c r="BN614">
        <v>1.43</v>
      </c>
    </row>
    <row r="615" spans="1:66" x14ac:dyDescent="0.25">
      <c r="A615">
        <v>1</v>
      </c>
      <c r="B615">
        <v>2</v>
      </c>
      <c r="C615">
        <v>2</v>
      </c>
      <c r="D615">
        <v>1.3533333333333335</v>
      </c>
      <c r="E615">
        <v>4.9333333333333336</v>
      </c>
      <c r="F615">
        <v>8.5666666666666664</v>
      </c>
      <c r="G615" s="40">
        <v>0.45</v>
      </c>
      <c r="H615" s="40">
        <v>0.36</v>
      </c>
      <c r="I615" s="40">
        <v>0.19000000000000006</v>
      </c>
      <c r="J615">
        <v>1.34</v>
      </c>
      <c r="K615">
        <v>5</v>
      </c>
      <c r="L615">
        <v>9</v>
      </c>
      <c r="M615">
        <v>1.36</v>
      </c>
      <c r="N615">
        <v>5</v>
      </c>
      <c r="O615">
        <v>8</v>
      </c>
      <c r="P615">
        <v>1.36</v>
      </c>
      <c r="Q615">
        <v>4.8</v>
      </c>
      <c r="R615">
        <v>8.6999999999999993</v>
      </c>
      <c r="S615">
        <v>0.75477628425059928</v>
      </c>
      <c r="T615">
        <v>0.13284591342764487</v>
      </c>
      <c r="U615">
        <v>0.1123778023217559</v>
      </c>
      <c r="V615">
        <v>0.69348127600554776</v>
      </c>
      <c r="W615">
        <v>0.18862690707350904</v>
      </c>
      <c r="X615">
        <v>0.11789181692094315</v>
      </c>
      <c r="Y615">
        <v>0.69461077844311381</v>
      </c>
      <c r="Z615">
        <v>0.19680638722554891</v>
      </c>
      <c r="AA615">
        <v>0.10858283433133734</v>
      </c>
      <c r="AB615">
        <v>0.71428944623308688</v>
      </c>
      <c r="AC615">
        <v>0.17275973590890092</v>
      </c>
      <c r="AD615">
        <v>0.11295081785801213</v>
      </c>
      <c r="AE615" t="s">
        <v>64</v>
      </c>
      <c r="AF615" t="s">
        <v>63</v>
      </c>
      <c r="AG615">
        <v>13.1</v>
      </c>
      <c r="AH615">
        <v>30</v>
      </c>
      <c r="AI615">
        <v>4</v>
      </c>
      <c r="AJ615">
        <v>0</v>
      </c>
      <c r="AK615">
        <v>25.1</v>
      </c>
      <c r="AL615">
        <v>71</v>
      </c>
      <c r="AM615">
        <v>5560</v>
      </c>
      <c r="AN615">
        <v>71</v>
      </c>
      <c r="AO615">
        <v>64</v>
      </c>
      <c r="AP615">
        <v>67</v>
      </c>
      <c r="AQ615">
        <v>2</v>
      </c>
      <c r="AR615" t="s">
        <v>29</v>
      </c>
      <c r="AS615" t="s">
        <v>78</v>
      </c>
      <c r="AT615" t="s">
        <v>63</v>
      </c>
      <c r="AU615">
        <v>8.07</v>
      </c>
      <c r="AV615">
        <v>31</v>
      </c>
      <c r="AW615">
        <v>4</v>
      </c>
      <c r="AX615">
        <v>0</v>
      </c>
      <c r="AY615">
        <v>25.2</v>
      </c>
      <c r="AZ615">
        <v>433</v>
      </c>
      <c r="BA615">
        <v>1716</v>
      </c>
      <c r="BB615">
        <v>63</v>
      </c>
      <c r="BC615">
        <v>64</v>
      </c>
      <c r="BD615">
        <v>64</v>
      </c>
      <c r="BE615">
        <v>2</v>
      </c>
      <c r="BF615" t="s">
        <v>29</v>
      </c>
      <c r="BG615">
        <v>3</v>
      </c>
      <c r="BH615">
        <v>24</v>
      </c>
      <c r="BI615">
        <v>0.33300000000000002</v>
      </c>
      <c r="BJ615" t="s">
        <v>63</v>
      </c>
      <c r="BK615">
        <v>0.37930000000000003</v>
      </c>
      <c r="BL615">
        <v>0.18179999999999999</v>
      </c>
      <c r="BM615">
        <v>1.48</v>
      </c>
      <c r="BN615">
        <v>0.59</v>
      </c>
    </row>
    <row r="616" spans="1:66" x14ac:dyDescent="0.25">
      <c r="A616">
        <v>1</v>
      </c>
      <c r="B616">
        <v>2</v>
      </c>
      <c r="C616">
        <v>2</v>
      </c>
      <c r="D616">
        <v>1.3999999999999997</v>
      </c>
      <c r="E616">
        <v>4.416666666666667</v>
      </c>
      <c r="F616">
        <v>8.3666666666666671</v>
      </c>
      <c r="G616" s="40">
        <v>0.61</v>
      </c>
      <c r="H616" s="40">
        <v>0.24</v>
      </c>
      <c r="I616" s="40">
        <v>0.15000000000000002</v>
      </c>
      <c r="J616">
        <v>1.41</v>
      </c>
      <c r="K616">
        <v>4.0999999999999996</v>
      </c>
      <c r="L616">
        <v>9.5</v>
      </c>
      <c r="M616">
        <v>1.39</v>
      </c>
      <c r="N616">
        <v>4.75</v>
      </c>
      <c r="O616">
        <v>7.5</v>
      </c>
      <c r="P616">
        <v>1.4</v>
      </c>
      <c r="Q616">
        <v>4.4000000000000004</v>
      </c>
      <c r="R616">
        <v>8.1</v>
      </c>
      <c r="S616">
        <v>0.73424157501733234</v>
      </c>
      <c r="T616">
        <v>0.15678151753272673</v>
      </c>
      <c r="U616">
        <v>0.10897690744994092</v>
      </c>
      <c r="V616">
        <v>0.6766060490954845</v>
      </c>
      <c r="W616">
        <v>0.19799629647215228</v>
      </c>
      <c r="X616">
        <v>0.12539765443236311</v>
      </c>
      <c r="Y616">
        <v>0.67068121942039904</v>
      </c>
      <c r="Z616">
        <v>0.21339856981558147</v>
      </c>
      <c r="AA616">
        <v>0.11592021076401958</v>
      </c>
      <c r="AB616">
        <v>0.69384294784440526</v>
      </c>
      <c r="AC616">
        <v>0.1893921279401535</v>
      </c>
      <c r="AD616">
        <v>0.11676492421544121</v>
      </c>
      <c r="AE616" t="s">
        <v>67</v>
      </c>
      <c r="AF616" t="s">
        <v>63</v>
      </c>
      <c r="AG616">
        <v>21.85</v>
      </c>
      <c r="AH616">
        <v>29</v>
      </c>
      <c r="AI616">
        <v>2</v>
      </c>
      <c r="AJ616">
        <v>4</v>
      </c>
      <c r="AK616">
        <v>25.7</v>
      </c>
      <c r="AL616">
        <v>104</v>
      </c>
      <c r="AM616">
        <v>4793</v>
      </c>
      <c r="AN616">
        <v>67</v>
      </c>
      <c r="AO616">
        <v>70</v>
      </c>
      <c r="AP616">
        <v>67</v>
      </c>
      <c r="AQ616">
        <v>2.5</v>
      </c>
      <c r="AR616" t="s">
        <v>29</v>
      </c>
      <c r="AS616" t="s">
        <v>73</v>
      </c>
      <c r="AT616" t="s">
        <v>63</v>
      </c>
      <c r="AU616">
        <v>11.68</v>
      </c>
      <c r="AV616">
        <v>34</v>
      </c>
      <c r="AW616">
        <v>4</v>
      </c>
      <c r="AX616">
        <v>1</v>
      </c>
      <c r="AY616">
        <v>25.7</v>
      </c>
      <c r="AZ616">
        <v>237</v>
      </c>
      <c r="BA616">
        <v>2952</v>
      </c>
      <c r="BB616">
        <v>69</v>
      </c>
      <c r="BC616">
        <v>68</v>
      </c>
      <c r="BD616">
        <v>68</v>
      </c>
      <c r="BE616">
        <v>2.5</v>
      </c>
      <c r="BF616" t="s">
        <v>29</v>
      </c>
      <c r="BG616">
        <v>4</v>
      </c>
      <c r="BH616">
        <v>46</v>
      </c>
      <c r="BI616">
        <v>0.53800000000000003</v>
      </c>
      <c r="BJ616" t="s">
        <v>63</v>
      </c>
      <c r="BK616">
        <v>0.42859999999999998</v>
      </c>
      <c r="BL616">
        <v>0.31819999999999998</v>
      </c>
      <c r="BM616">
        <v>1.75</v>
      </c>
      <c r="BN616">
        <v>1.23</v>
      </c>
    </row>
    <row r="617" spans="1:66" x14ac:dyDescent="0.25">
      <c r="A617">
        <v>3</v>
      </c>
      <c r="B617">
        <v>-1</v>
      </c>
      <c r="C617">
        <v>1</v>
      </c>
      <c r="D617">
        <v>1.7966666666666669</v>
      </c>
      <c r="E617">
        <v>3.35</v>
      </c>
      <c r="F617">
        <v>4.916666666666667</v>
      </c>
      <c r="G617" s="40">
        <v>0.41</v>
      </c>
      <c r="H617" s="40">
        <v>0.39</v>
      </c>
      <c r="I617" s="40">
        <v>0.20000000000000007</v>
      </c>
      <c r="J617">
        <v>1.78</v>
      </c>
      <c r="K617">
        <v>3.35</v>
      </c>
      <c r="L617">
        <v>5.0999999999999996</v>
      </c>
      <c r="M617">
        <v>1.81</v>
      </c>
      <c r="N617">
        <v>3.4</v>
      </c>
      <c r="O617">
        <v>4.75</v>
      </c>
      <c r="P617">
        <v>1.8</v>
      </c>
      <c r="Q617">
        <v>3.3</v>
      </c>
      <c r="R617">
        <v>4.9000000000000004</v>
      </c>
      <c r="S617">
        <v>0.56597580418268778</v>
      </c>
      <c r="T617">
        <v>0.23648754259276625</v>
      </c>
      <c r="U617">
        <v>0.19753665322454597</v>
      </c>
      <c r="V617">
        <v>0.52262835137452868</v>
      </c>
      <c r="W617">
        <v>0.27822273999644026</v>
      </c>
      <c r="X617">
        <v>0.19914890862903095</v>
      </c>
      <c r="Y617">
        <v>0.52279340446168776</v>
      </c>
      <c r="Z617">
        <v>0.28516003879728424</v>
      </c>
      <c r="AA617">
        <v>0.19204655674102816</v>
      </c>
      <c r="AB617">
        <v>0.53713252000630141</v>
      </c>
      <c r="AC617">
        <v>0.26662344046216357</v>
      </c>
      <c r="AD617">
        <v>0.19624403953153502</v>
      </c>
      <c r="AE617" t="s">
        <v>62</v>
      </c>
      <c r="AF617" t="s">
        <v>63</v>
      </c>
      <c r="AG617">
        <v>18.350000000000001</v>
      </c>
      <c r="AH617">
        <v>29</v>
      </c>
      <c r="AI617">
        <v>3</v>
      </c>
      <c r="AJ617">
        <v>1</v>
      </c>
      <c r="AK617">
        <v>27.4</v>
      </c>
      <c r="AL617">
        <v>66</v>
      </c>
      <c r="AM617">
        <v>5865</v>
      </c>
      <c r="AN617">
        <v>67</v>
      </c>
      <c r="AO617">
        <v>68</v>
      </c>
      <c r="AP617">
        <v>66</v>
      </c>
      <c r="AQ617">
        <v>2.5</v>
      </c>
      <c r="AR617" t="s">
        <v>29</v>
      </c>
      <c r="AS617" t="s">
        <v>68</v>
      </c>
      <c r="AT617" t="s">
        <v>63</v>
      </c>
      <c r="AU617">
        <v>16.600000000000001</v>
      </c>
      <c r="AV617">
        <v>36</v>
      </c>
      <c r="AW617">
        <v>2</v>
      </c>
      <c r="AX617">
        <v>1</v>
      </c>
      <c r="AY617">
        <v>25.1</v>
      </c>
      <c r="AZ617">
        <v>129</v>
      </c>
      <c r="BA617">
        <v>4227</v>
      </c>
      <c r="BB617">
        <v>62</v>
      </c>
      <c r="BC617">
        <v>66</v>
      </c>
      <c r="BD617">
        <v>64</v>
      </c>
      <c r="BE617">
        <v>2</v>
      </c>
      <c r="BF617" t="s">
        <v>46</v>
      </c>
      <c r="BG617">
        <v>-7</v>
      </c>
      <c r="BH617">
        <v>20</v>
      </c>
      <c r="BI617">
        <v>0.4</v>
      </c>
      <c r="BJ617" t="s">
        <v>63</v>
      </c>
      <c r="BK617">
        <v>0.4375</v>
      </c>
      <c r="BL617">
        <v>0.38890000000000002</v>
      </c>
      <c r="BM617">
        <v>1.25</v>
      </c>
      <c r="BN617">
        <v>1.39</v>
      </c>
    </row>
    <row r="618" spans="1:66" x14ac:dyDescent="0.25">
      <c r="A618">
        <v>1</v>
      </c>
      <c r="B618">
        <v>3</v>
      </c>
      <c r="C618">
        <v>5</v>
      </c>
      <c r="D618">
        <v>2.02</v>
      </c>
      <c r="E618">
        <v>3.4166666666666665</v>
      </c>
      <c r="F618">
        <v>3.85</v>
      </c>
      <c r="G618" s="40">
        <v>0.39</v>
      </c>
      <c r="H618" s="40">
        <v>0.35</v>
      </c>
      <c r="I618" s="40">
        <v>0.26</v>
      </c>
      <c r="J618">
        <v>2.02</v>
      </c>
      <c r="K618">
        <v>3.4</v>
      </c>
      <c r="L618">
        <v>3.95</v>
      </c>
      <c r="M618">
        <v>2.04</v>
      </c>
      <c r="N618">
        <v>3.3</v>
      </c>
      <c r="O618">
        <v>3.75</v>
      </c>
      <c r="P618">
        <v>2</v>
      </c>
      <c r="Q618">
        <v>3.55</v>
      </c>
      <c r="R618">
        <v>3.85</v>
      </c>
      <c r="S618">
        <v>0.49665659321484784</v>
      </c>
      <c r="T618">
        <v>0.24935699709047043</v>
      </c>
      <c r="U618">
        <v>0.25398640969468167</v>
      </c>
      <c r="V618">
        <v>0.46249579549276826</v>
      </c>
      <c r="W618">
        <v>0.28590649175916588</v>
      </c>
      <c r="X618">
        <v>0.25159771274806592</v>
      </c>
      <c r="Y618">
        <v>0.48010889610959873</v>
      </c>
      <c r="Z618">
        <v>0.27048388513216826</v>
      </c>
      <c r="AA618">
        <v>0.24940721875823307</v>
      </c>
      <c r="AB618">
        <v>0.47975376160573829</v>
      </c>
      <c r="AC618">
        <v>0.26858245799393482</v>
      </c>
      <c r="AD618">
        <v>0.25166378040032689</v>
      </c>
      <c r="AE618" t="s">
        <v>152</v>
      </c>
      <c r="AF618" t="s">
        <v>141</v>
      </c>
      <c r="AG618">
        <v>223.4</v>
      </c>
      <c r="AH618">
        <v>28</v>
      </c>
      <c r="AI618">
        <v>11</v>
      </c>
      <c r="AJ618">
        <v>11</v>
      </c>
      <c r="AK618">
        <v>28.5</v>
      </c>
      <c r="AL618">
        <v>125</v>
      </c>
      <c r="AM618">
        <v>4257</v>
      </c>
      <c r="AN618">
        <v>79</v>
      </c>
      <c r="AO618">
        <v>79</v>
      </c>
      <c r="AP618">
        <v>78</v>
      </c>
      <c r="AQ618">
        <v>4</v>
      </c>
      <c r="AR618" t="s">
        <v>29</v>
      </c>
      <c r="AS618" t="s">
        <v>142</v>
      </c>
      <c r="AT618" t="s">
        <v>141</v>
      </c>
      <c r="AU618">
        <v>251.9</v>
      </c>
      <c r="AV618">
        <v>27</v>
      </c>
      <c r="AW618">
        <v>17</v>
      </c>
      <c r="AX618">
        <v>12</v>
      </c>
      <c r="AY618">
        <v>25.5</v>
      </c>
      <c r="AZ618">
        <v>11</v>
      </c>
      <c r="BA618">
        <v>9770</v>
      </c>
      <c r="BB618">
        <v>77</v>
      </c>
      <c r="BC618">
        <v>78</v>
      </c>
      <c r="BD618">
        <v>77</v>
      </c>
      <c r="BE618">
        <v>4</v>
      </c>
      <c r="BF618" t="s">
        <v>29</v>
      </c>
      <c r="BG618">
        <v>-53</v>
      </c>
      <c r="BH618">
        <v>132</v>
      </c>
      <c r="BI618">
        <v>0.308</v>
      </c>
      <c r="BJ618" t="s">
        <v>270</v>
      </c>
      <c r="BK618">
        <v>0.4884</v>
      </c>
      <c r="BL618">
        <v>0.3095</v>
      </c>
      <c r="BM618">
        <v>1.42</v>
      </c>
      <c r="BN618">
        <v>1.43</v>
      </c>
    </row>
    <row r="619" spans="1:66" x14ac:dyDescent="0.25">
      <c r="A619">
        <v>2</v>
      </c>
      <c r="B619">
        <v>0</v>
      </c>
      <c r="C619">
        <v>0</v>
      </c>
      <c r="D619">
        <v>1.29</v>
      </c>
      <c r="E619">
        <v>5.833333333333333</v>
      </c>
      <c r="F619">
        <v>9.8333333333333339</v>
      </c>
      <c r="G619" s="40">
        <v>0.39</v>
      </c>
      <c r="H619" s="40">
        <v>0.31</v>
      </c>
      <c r="I619" s="40">
        <v>0.3</v>
      </c>
      <c r="J619">
        <v>1.29</v>
      </c>
      <c r="K619">
        <v>6.25</v>
      </c>
      <c r="L619">
        <v>9.5</v>
      </c>
      <c r="M619">
        <v>1.3</v>
      </c>
      <c r="N619">
        <v>5.25</v>
      </c>
      <c r="O619">
        <v>10</v>
      </c>
      <c r="P619">
        <v>1.28</v>
      </c>
      <c r="Q619">
        <v>6</v>
      </c>
      <c r="R619">
        <v>10</v>
      </c>
      <c r="S619">
        <v>0.7858009362771885</v>
      </c>
      <c r="T619">
        <v>0.10749556816517214</v>
      </c>
      <c r="U619">
        <v>0.10670349555763929</v>
      </c>
      <c r="V619">
        <v>0.72589007950224671</v>
      </c>
      <c r="W619">
        <v>0.17974421016246109</v>
      </c>
      <c r="X619">
        <v>9.4365710335292063E-2</v>
      </c>
      <c r="Y619">
        <v>0.74552683896620275</v>
      </c>
      <c r="Z619">
        <v>0.15904572564612326</v>
      </c>
      <c r="AA619">
        <v>9.5427435387673967E-2</v>
      </c>
      <c r="AB619">
        <v>0.75240595158187917</v>
      </c>
      <c r="AC619">
        <v>0.14876183465791884</v>
      </c>
      <c r="AD619">
        <v>9.8832213760201779E-2</v>
      </c>
      <c r="AE619" t="s">
        <v>144</v>
      </c>
      <c r="AF619" t="s">
        <v>141</v>
      </c>
      <c r="AG619">
        <v>783.5</v>
      </c>
      <c r="AH619">
        <v>25</v>
      </c>
      <c r="AI619">
        <v>18</v>
      </c>
      <c r="AJ619">
        <v>17</v>
      </c>
      <c r="AK619">
        <v>27.6</v>
      </c>
      <c r="AL619">
        <v>18</v>
      </c>
      <c r="AM619">
        <v>8949</v>
      </c>
      <c r="AN619">
        <v>84</v>
      </c>
      <c r="AO619">
        <v>86</v>
      </c>
      <c r="AP619">
        <v>84</v>
      </c>
      <c r="AQ619">
        <v>5</v>
      </c>
      <c r="AR619" t="s">
        <v>28</v>
      </c>
      <c r="AS619" t="s">
        <v>157</v>
      </c>
      <c r="AT619" t="s">
        <v>141</v>
      </c>
      <c r="AU619">
        <v>93.5</v>
      </c>
      <c r="AV619">
        <v>27</v>
      </c>
      <c r="AW619">
        <v>4</v>
      </c>
      <c r="AX619">
        <v>1</v>
      </c>
      <c r="AY619">
        <v>27.7</v>
      </c>
      <c r="AZ619">
        <v>202</v>
      </c>
      <c r="BA619">
        <v>3267</v>
      </c>
      <c r="BB619">
        <v>76</v>
      </c>
      <c r="BC619">
        <v>77</v>
      </c>
      <c r="BD619">
        <v>75</v>
      </c>
      <c r="BE619">
        <v>4</v>
      </c>
      <c r="BF619" t="s">
        <v>46</v>
      </c>
      <c r="BG619">
        <v>98</v>
      </c>
      <c r="BH619">
        <v>167</v>
      </c>
      <c r="BI619">
        <v>0.625</v>
      </c>
      <c r="BJ619" t="s">
        <v>270</v>
      </c>
      <c r="BK619">
        <v>0.59619999999999995</v>
      </c>
      <c r="BL619">
        <v>0.33329999999999999</v>
      </c>
      <c r="BM619">
        <v>1.69</v>
      </c>
      <c r="BN619">
        <v>1.1399999999999999</v>
      </c>
    </row>
    <row r="620" spans="1:66" x14ac:dyDescent="0.25">
      <c r="A620">
        <v>2</v>
      </c>
      <c r="B620">
        <v>0</v>
      </c>
      <c r="C620">
        <v>2</v>
      </c>
      <c r="D620">
        <v>2.6233333333333331</v>
      </c>
      <c r="E620">
        <v>2.8533333333333335</v>
      </c>
      <c r="F620">
        <v>3.1666666666666665</v>
      </c>
      <c r="G620" s="40">
        <v>0.44</v>
      </c>
      <c r="H620" s="40">
        <v>0.37</v>
      </c>
      <c r="I620" s="40">
        <v>0.19000000000000006</v>
      </c>
      <c r="J620">
        <v>2.63</v>
      </c>
      <c r="K620">
        <v>2.85</v>
      </c>
      <c r="L620">
        <v>3.25</v>
      </c>
      <c r="M620">
        <v>2.6</v>
      </c>
      <c r="N620">
        <v>2.85</v>
      </c>
      <c r="O620">
        <v>3.1</v>
      </c>
      <c r="P620">
        <v>2.64</v>
      </c>
      <c r="Q620">
        <v>2.86</v>
      </c>
      <c r="R620">
        <v>3.15</v>
      </c>
      <c r="S620">
        <v>0.38226603118020808</v>
      </c>
      <c r="T620">
        <v>0.30839253435703901</v>
      </c>
      <c r="U620">
        <v>0.30934143446275297</v>
      </c>
      <c r="V620">
        <v>0.36350545155317843</v>
      </c>
      <c r="W620">
        <v>0.3316190084344785</v>
      </c>
      <c r="X620">
        <v>0.30487554001234318</v>
      </c>
      <c r="Y620">
        <v>0.36216503051207216</v>
      </c>
      <c r="Z620">
        <v>0.33430618201114354</v>
      </c>
      <c r="AA620">
        <v>0.3035287874767843</v>
      </c>
      <c r="AB620">
        <v>0.36931217108181952</v>
      </c>
      <c r="AC620">
        <v>0.32477257493422035</v>
      </c>
      <c r="AD620">
        <v>0.30591525398396019</v>
      </c>
      <c r="AE620" t="s">
        <v>150</v>
      </c>
      <c r="AF620" t="s">
        <v>141</v>
      </c>
      <c r="AG620">
        <v>88.35</v>
      </c>
      <c r="AH620">
        <v>25</v>
      </c>
      <c r="AI620">
        <v>11</v>
      </c>
      <c r="AJ620">
        <v>6</v>
      </c>
      <c r="AK620">
        <v>28.4</v>
      </c>
      <c r="AL620">
        <v>103</v>
      </c>
      <c r="AM620">
        <v>4803</v>
      </c>
      <c r="AN620">
        <v>77</v>
      </c>
      <c r="AO620">
        <v>78</v>
      </c>
      <c r="AP620">
        <v>77</v>
      </c>
      <c r="AQ620">
        <v>4</v>
      </c>
      <c r="AR620" t="s">
        <v>46</v>
      </c>
      <c r="AS620" t="s">
        <v>145</v>
      </c>
      <c r="AT620" t="s">
        <v>141</v>
      </c>
      <c r="AU620">
        <v>159.44999999999999</v>
      </c>
      <c r="AV620">
        <v>25</v>
      </c>
      <c r="AW620">
        <v>13</v>
      </c>
      <c r="AX620">
        <v>9</v>
      </c>
      <c r="AY620">
        <v>27.1</v>
      </c>
      <c r="AZ620">
        <v>27</v>
      </c>
      <c r="BA620">
        <v>7881</v>
      </c>
      <c r="BB620">
        <v>77</v>
      </c>
      <c r="BC620">
        <v>78</v>
      </c>
      <c r="BD620">
        <v>77</v>
      </c>
      <c r="BE620">
        <v>4</v>
      </c>
      <c r="BF620" t="s">
        <v>46</v>
      </c>
      <c r="BG620">
        <v>4</v>
      </c>
      <c r="BH620">
        <v>32</v>
      </c>
      <c r="BI620">
        <v>0.5</v>
      </c>
      <c r="BJ620" t="s">
        <v>270</v>
      </c>
      <c r="BK620">
        <v>0.43099999999999999</v>
      </c>
      <c r="BL620">
        <v>0.25</v>
      </c>
      <c r="BM620">
        <v>1.43</v>
      </c>
      <c r="BN620">
        <v>0.75</v>
      </c>
    </row>
    <row r="621" spans="1:66" x14ac:dyDescent="0.25">
      <c r="A621">
        <v>2</v>
      </c>
      <c r="B621">
        <v>0</v>
      </c>
      <c r="C621">
        <v>4</v>
      </c>
      <c r="D621">
        <v>5.4333333333333336</v>
      </c>
      <c r="E621">
        <v>3.6666666666666665</v>
      </c>
      <c r="F621">
        <v>1.6866666666666665</v>
      </c>
      <c r="G621" s="40">
        <v>0.15</v>
      </c>
      <c r="H621" s="40">
        <v>0.28000000000000003</v>
      </c>
      <c r="I621" s="40">
        <v>0.56999999999999995</v>
      </c>
      <c r="J621">
        <v>5.8</v>
      </c>
      <c r="K621">
        <v>3.6</v>
      </c>
      <c r="L621">
        <v>1.68</v>
      </c>
      <c r="M621">
        <v>5</v>
      </c>
      <c r="N621">
        <v>3.65</v>
      </c>
      <c r="O621">
        <v>1.71</v>
      </c>
      <c r="P621">
        <v>5.5</v>
      </c>
      <c r="Q621">
        <v>3.75</v>
      </c>
      <c r="R621">
        <v>1.67</v>
      </c>
      <c r="S621">
        <v>0.17660372062014232</v>
      </c>
      <c r="T621">
        <v>0.21369295819127096</v>
      </c>
      <c r="U621">
        <v>0.60970332118858661</v>
      </c>
      <c r="V621">
        <v>0.18889880907343798</v>
      </c>
      <c r="W621">
        <v>0.25876549188142184</v>
      </c>
      <c r="X621">
        <v>0.55233569904514024</v>
      </c>
      <c r="Y621">
        <v>0.17360870469193984</v>
      </c>
      <c r="Z621">
        <v>0.25462610021484511</v>
      </c>
      <c r="AA621">
        <v>0.57176519509321511</v>
      </c>
      <c r="AB621">
        <v>0.17970374479517337</v>
      </c>
      <c r="AC621">
        <v>0.24236151676251264</v>
      </c>
      <c r="AD621">
        <v>0.57793473844231391</v>
      </c>
      <c r="AE621" t="s">
        <v>151</v>
      </c>
      <c r="AF621" t="s">
        <v>141</v>
      </c>
      <c r="AG621">
        <v>111.8</v>
      </c>
      <c r="AH621">
        <v>27</v>
      </c>
      <c r="AI621">
        <v>8</v>
      </c>
      <c r="AJ621">
        <v>4</v>
      </c>
      <c r="AK621">
        <v>28.3</v>
      </c>
      <c r="AL621">
        <v>116</v>
      </c>
      <c r="AM621">
        <v>4556</v>
      </c>
      <c r="AN621">
        <v>79</v>
      </c>
      <c r="AO621">
        <v>76</v>
      </c>
      <c r="AP621">
        <v>75</v>
      </c>
      <c r="AQ621">
        <v>4</v>
      </c>
      <c r="AR621" t="s">
        <v>29</v>
      </c>
      <c r="AS621" t="s">
        <v>143</v>
      </c>
      <c r="AT621" t="s">
        <v>141</v>
      </c>
      <c r="AU621">
        <v>755.2</v>
      </c>
      <c r="AV621">
        <v>22</v>
      </c>
      <c r="AW621">
        <v>19</v>
      </c>
      <c r="AX621">
        <v>19</v>
      </c>
      <c r="AY621">
        <v>28</v>
      </c>
      <c r="AZ621">
        <v>13</v>
      </c>
      <c r="BA621">
        <v>9329</v>
      </c>
      <c r="BB621">
        <v>85</v>
      </c>
      <c r="BC621">
        <v>82</v>
      </c>
      <c r="BD621">
        <v>83</v>
      </c>
      <c r="BE621">
        <v>5</v>
      </c>
      <c r="BF621" t="s">
        <v>29</v>
      </c>
      <c r="BG621">
        <v>-28</v>
      </c>
      <c r="BH621">
        <v>33</v>
      </c>
      <c r="BI621">
        <v>0.25</v>
      </c>
      <c r="BJ621" t="s">
        <v>270</v>
      </c>
      <c r="BK621">
        <v>0.28889999999999999</v>
      </c>
      <c r="BL621">
        <v>0.60419999999999996</v>
      </c>
      <c r="BM621">
        <v>1.36</v>
      </c>
      <c r="BN621">
        <v>1.6</v>
      </c>
    </row>
    <row r="622" spans="1:66" x14ac:dyDescent="0.25">
      <c r="A622">
        <v>3</v>
      </c>
      <c r="B622">
        <v>-1</v>
      </c>
      <c r="C622">
        <v>3</v>
      </c>
      <c r="D622">
        <v>1.4233333333333331</v>
      </c>
      <c r="E622">
        <v>4.7166666666666659</v>
      </c>
      <c r="F622">
        <v>7.0666666666666664</v>
      </c>
      <c r="G622" s="40">
        <v>0.51</v>
      </c>
      <c r="H622" s="40">
        <v>0.31</v>
      </c>
      <c r="I622" s="40">
        <v>0.18</v>
      </c>
      <c r="J622">
        <v>1.41</v>
      </c>
      <c r="K622">
        <v>4.8</v>
      </c>
      <c r="L622">
        <v>7</v>
      </c>
      <c r="M622">
        <v>1.46</v>
      </c>
      <c r="N622">
        <v>4.3</v>
      </c>
      <c r="O622">
        <v>7</v>
      </c>
      <c r="P622">
        <v>1.4</v>
      </c>
      <c r="Q622">
        <v>5.05</v>
      </c>
      <c r="R622">
        <v>7.2</v>
      </c>
      <c r="S622">
        <v>0.70832983202262711</v>
      </c>
      <c r="T622">
        <v>0.14899230181281511</v>
      </c>
      <c r="U622">
        <v>0.14267786616455772</v>
      </c>
      <c r="V622">
        <v>0.64595046997725225</v>
      </c>
      <c r="W622">
        <v>0.21932271771320658</v>
      </c>
      <c r="X622">
        <v>0.13472681230954117</v>
      </c>
      <c r="Y622">
        <v>0.67949915903569424</v>
      </c>
      <c r="Z622">
        <v>0.18837600448514294</v>
      </c>
      <c r="AA622">
        <v>0.13212483647916276</v>
      </c>
      <c r="AB622">
        <v>0.67792648701185787</v>
      </c>
      <c r="AC622">
        <v>0.18556367467038823</v>
      </c>
      <c r="AD622">
        <v>0.13650983831775387</v>
      </c>
      <c r="AE622" t="s">
        <v>306</v>
      </c>
      <c r="AF622" t="s">
        <v>307</v>
      </c>
      <c r="AG622">
        <v>640.4</v>
      </c>
      <c r="AH622">
        <v>25</v>
      </c>
      <c r="AI622">
        <v>14</v>
      </c>
      <c r="AJ622">
        <v>20</v>
      </c>
      <c r="AK622">
        <v>27.3</v>
      </c>
      <c r="AL622">
        <v>14</v>
      </c>
      <c r="AM622">
        <v>9319</v>
      </c>
      <c r="AN622">
        <v>87</v>
      </c>
      <c r="AO622">
        <v>81</v>
      </c>
      <c r="AP622">
        <v>83</v>
      </c>
      <c r="AQ622">
        <v>5</v>
      </c>
      <c r="AR622" t="s">
        <v>28</v>
      </c>
      <c r="AS622" t="s">
        <v>317</v>
      </c>
      <c r="AT622" t="s">
        <v>307</v>
      </c>
      <c r="AU622">
        <v>216.9</v>
      </c>
      <c r="AV622">
        <v>27</v>
      </c>
      <c r="AW622">
        <v>15</v>
      </c>
      <c r="AX622">
        <v>12</v>
      </c>
      <c r="AY622">
        <v>27.2</v>
      </c>
      <c r="AZ622">
        <v>218</v>
      </c>
      <c r="BA622">
        <v>3086</v>
      </c>
      <c r="BB622">
        <v>79</v>
      </c>
      <c r="BC622">
        <v>77</v>
      </c>
      <c r="BD622">
        <v>72</v>
      </c>
      <c r="BE622">
        <v>4</v>
      </c>
      <c r="BF622" t="s">
        <v>29</v>
      </c>
      <c r="BG622">
        <v>28</v>
      </c>
      <c r="BH622">
        <v>49</v>
      </c>
      <c r="BI622">
        <v>0.75</v>
      </c>
      <c r="BJ622" t="s">
        <v>322</v>
      </c>
      <c r="BK622">
        <v>0.65380000000000005</v>
      </c>
      <c r="BL622">
        <v>0.43590000000000001</v>
      </c>
      <c r="BM622">
        <v>2.08</v>
      </c>
      <c r="BN622">
        <v>1.64</v>
      </c>
    </row>
    <row r="623" spans="1:66" x14ac:dyDescent="0.25">
      <c r="A623">
        <v>3</v>
      </c>
      <c r="B623">
        <v>-2</v>
      </c>
      <c r="C623">
        <v>4</v>
      </c>
      <c r="D623">
        <v>4.1333333333333329</v>
      </c>
      <c r="E623">
        <v>3.7833333333333337</v>
      </c>
      <c r="F623">
        <v>1.8133333333333335</v>
      </c>
      <c r="G623" s="40">
        <v>0.22</v>
      </c>
      <c r="H623" s="40">
        <v>0.3</v>
      </c>
      <c r="I623" s="40">
        <v>0.48000000000000004</v>
      </c>
      <c r="J623">
        <v>4.25</v>
      </c>
      <c r="K623">
        <v>3.75</v>
      </c>
      <c r="L623">
        <v>1.78</v>
      </c>
      <c r="M623">
        <v>3.95</v>
      </c>
      <c r="N623">
        <v>3.7</v>
      </c>
      <c r="O623">
        <v>1.86</v>
      </c>
      <c r="P623">
        <v>4.2</v>
      </c>
      <c r="Q623">
        <v>3.9</v>
      </c>
      <c r="R623">
        <v>1.8</v>
      </c>
      <c r="S623">
        <v>0.23094737387191708</v>
      </c>
      <c r="T623">
        <v>0.21763333457996623</v>
      </c>
      <c r="U623">
        <v>0.55141929154811664</v>
      </c>
      <c r="V623">
        <v>0.23859381500485374</v>
      </c>
      <c r="W623">
        <v>0.2547150187213979</v>
      </c>
      <c r="X623">
        <v>0.50669116627374855</v>
      </c>
      <c r="Y623">
        <v>0.22674418604651161</v>
      </c>
      <c r="Z623">
        <v>0.24418604651162792</v>
      </c>
      <c r="AA623">
        <v>0.52906976744186041</v>
      </c>
      <c r="AB623">
        <v>0.2320951249744275</v>
      </c>
      <c r="AC623">
        <v>0.23884479993766403</v>
      </c>
      <c r="AD623">
        <v>0.52906007508790853</v>
      </c>
      <c r="AE623" t="s">
        <v>321</v>
      </c>
      <c r="AF623" t="s">
        <v>307</v>
      </c>
      <c r="AG623">
        <v>124.8</v>
      </c>
      <c r="AH623">
        <v>27</v>
      </c>
      <c r="AI623">
        <v>12</v>
      </c>
      <c r="AJ623">
        <v>8</v>
      </c>
      <c r="AK623">
        <v>27.1</v>
      </c>
      <c r="AL623">
        <v>279</v>
      </c>
      <c r="AM623">
        <v>2588</v>
      </c>
      <c r="AN623">
        <v>76</v>
      </c>
      <c r="AO623">
        <v>75</v>
      </c>
      <c r="AP623">
        <v>73</v>
      </c>
      <c r="AQ623">
        <v>4</v>
      </c>
      <c r="AR623" t="s">
        <v>43</v>
      </c>
      <c r="AS623" t="s">
        <v>308</v>
      </c>
      <c r="AT623" t="s">
        <v>307</v>
      </c>
      <c r="AU623">
        <v>415.35</v>
      </c>
      <c r="AV623">
        <v>26</v>
      </c>
      <c r="AW623">
        <v>16</v>
      </c>
      <c r="AX623">
        <v>17</v>
      </c>
      <c r="AY623">
        <v>27.1</v>
      </c>
      <c r="AZ623">
        <v>26</v>
      </c>
      <c r="BA623">
        <v>7928</v>
      </c>
      <c r="BB623">
        <v>82</v>
      </c>
      <c r="BC623">
        <v>79</v>
      </c>
      <c r="BD623">
        <v>78</v>
      </c>
      <c r="BE623">
        <v>4.5</v>
      </c>
      <c r="BF623" t="s">
        <v>29</v>
      </c>
      <c r="BG623">
        <v>35</v>
      </c>
      <c r="BH623">
        <v>178</v>
      </c>
      <c r="BI623">
        <v>0.42</v>
      </c>
      <c r="BJ623" t="s">
        <v>322</v>
      </c>
      <c r="BK623">
        <v>0.4</v>
      </c>
      <c r="BL623">
        <v>0.56859999999999999</v>
      </c>
      <c r="BM623">
        <v>1.35</v>
      </c>
      <c r="BN623">
        <v>2.1800000000000002</v>
      </c>
    </row>
    <row r="624" spans="1:66" x14ac:dyDescent="0.25">
      <c r="A624">
        <v>3</v>
      </c>
      <c r="B624">
        <v>-1</v>
      </c>
      <c r="C624">
        <v>3</v>
      </c>
      <c r="D624">
        <v>5.6499999999999995</v>
      </c>
      <c r="E624">
        <v>4.1166666666666663</v>
      </c>
      <c r="F624">
        <v>1.5733333333333335</v>
      </c>
      <c r="G624" s="40">
        <v>0.27</v>
      </c>
      <c r="H624" s="40">
        <v>0.23</v>
      </c>
      <c r="I624" s="40">
        <v>0.5</v>
      </c>
      <c r="J624">
        <v>5.75</v>
      </c>
      <c r="K624">
        <v>4.0999999999999996</v>
      </c>
      <c r="L624">
        <v>1.55</v>
      </c>
      <c r="M624">
        <v>5.5</v>
      </c>
      <c r="N624">
        <v>3.95</v>
      </c>
      <c r="O624">
        <v>1.6</v>
      </c>
      <c r="P624">
        <v>5.7</v>
      </c>
      <c r="Q624">
        <v>4.3</v>
      </c>
      <c r="R624">
        <v>1.57</v>
      </c>
      <c r="S624">
        <v>0.17317539957585476</v>
      </c>
      <c r="T624">
        <v>0.18439973102984533</v>
      </c>
      <c r="U624">
        <v>0.64242486939429977</v>
      </c>
      <c r="V624">
        <v>0.17152937983444158</v>
      </c>
      <c r="W624">
        <v>0.23883837698466551</v>
      </c>
      <c r="X624">
        <v>0.58963224318089291</v>
      </c>
      <c r="Y624">
        <v>0.16789355881621487</v>
      </c>
      <c r="Z624">
        <v>0.22255657796568018</v>
      </c>
      <c r="AA624">
        <v>0.60954986321810489</v>
      </c>
      <c r="AB624">
        <v>0.17086611274217037</v>
      </c>
      <c r="AC624">
        <v>0.21526489532673032</v>
      </c>
      <c r="AD624">
        <v>0.61386899193109923</v>
      </c>
      <c r="AE624" t="s">
        <v>319</v>
      </c>
      <c r="AF624" t="s">
        <v>307</v>
      </c>
      <c r="AG624">
        <v>153.53</v>
      </c>
      <c r="AH624">
        <v>29</v>
      </c>
      <c r="AI624">
        <v>17</v>
      </c>
      <c r="AJ624">
        <v>11</v>
      </c>
      <c r="AK624">
        <v>26.9</v>
      </c>
      <c r="AL624">
        <v>246</v>
      </c>
      <c r="AM624">
        <v>2866</v>
      </c>
      <c r="AN624">
        <v>76</v>
      </c>
      <c r="AO624">
        <v>73</v>
      </c>
      <c r="AP624">
        <v>73</v>
      </c>
      <c r="AQ624">
        <v>4</v>
      </c>
      <c r="AR624" t="s">
        <v>29</v>
      </c>
      <c r="AS624" t="s">
        <v>312</v>
      </c>
      <c r="AT624" t="s">
        <v>307</v>
      </c>
      <c r="AU624">
        <v>418.35</v>
      </c>
      <c r="AV624">
        <v>31</v>
      </c>
      <c r="AW624">
        <v>20</v>
      </c>
      <c r="AX624">
        <v>19</v>
      </c>
      <c r="AY624">
        <v>25.4</v>
      </c>
      <c r="AZ624">
        <v>44</v>
      </c>
      <c r="BA624">
        <v>6735</v>
      </c>
      <c r="BB624">
        <v>79</v>
      </c>
      <c r="BC624">
        <v>77</v>
      </c>
      <c r="BD624">
        <v>76</v>
      </c>
      <c r="BE624">
        <v>4</v>
      </c>
      <c r="BF624" t="s">
        <v>29</v>
      </c>
      <c r="BG624">
        <v>-35</v>
      </c>
      <c r="BH624">
        <v>100</v>
      </c>
      <c r="BI624">
        <v>0.25800000000000001</v>
      </c>
      <c r="BJ624" t="s">
        <v>322</v>
      </c>
      <c r="BK624">
        <v>0.26829999999999998</v>
      </c>
      <c r="BL624">
        <v>0.52829999999999999</v>
      </c>
      <c r="BM624">
        <v>1.1499999999999999</v>
      </c>
      <c r="BN624">
        <v>1.87</v>
      </c>
    </row>
    <row r="625" spans="1:66" x14ac:dyDescent="0.25">
      <c r="A625">
        <v>1</v>
      </c>
      <c r="B625">
        <v>1</v>
      </c>
      <c r="C625">
        <v>1</v>
      </c>
      <c r="D625">
        <v>1.9866666666666666</v>
      </c>
      <c r="E625">
        <v>3.5333333333333337</v>
      </c>
      <c r="F625">
        <v>3.7333333333333329</v>
      </c>
      <c r="G625" s="40">
        <v>0.47</v>
      </c>
      <c r="H625" s="40">
        <v>0.26</v>
      </c>
      <c r="I625" s="40">
        <v>0.27</v>
      </c>
      <c r="J625">
        <v>1.95</v>
      </c>
      <c r="K625">
        <v>3.55</v>
      </c>
      <c r="L625">
        <v>3.75</v>
      </c>
      <c r="M625">
        <v>2.0099999999999998</v>
      </c>
      <c r="N625">
        <v>3.45</v>
      </c>
      <c r="O625">
        <v>3.65</v>
      </c>
      <c r="P625">
        <v>2</v>
      </c>
      <c r="Q625">
        <v>3.6</v>
      </c>
      <c r="R625">
        <v>3.8</v>
      </c>
      <c r="S625">
        <v>0.50206494452992145</v>
      </c>
      <c r="T625">
        <v>0.23686128431451944</v>
      </c>
      <c r="U625">
        <v>0.26107377115555919</v>
      </c>
      <c r="V625">
        <v>0.4687587246635771</v>
      </c>
      <c r="W625">
        <v>0.27310290915182306</v>
      </c>
      <c r="X625">
        <v>0.25813836618459995</v>
      </c>
      <c r="Y625">
        <v>0.4803370786516854</v>
      </c>
      <c r="Z625">
        <v>0.26685393258426965</v>
      </c>
      <c r="AA625">
        <v>0.25280898876404495</v>
      </c>
      <c r="AB625">
        <v>0.48372024928172802</v>
      </c>
      <c r="AC625">
        <v>0.25893937535020406</v>
      </c>
      <c r="AD625">
        <v>0.25734037536806803</v>
      </c>
      <c r="AE625" t="s">
        <v>311</v>
      </c>
      <c r="AF625" t="s">
        <v>307</v>
      </c>
      <c r="AG625">
        <v>326.60000000000002</v>
      </c>
      <c r="AH625">
        <v>33</v>
      </c>
      <c r="AI625">
        <v>26</v>
      </c>
      <c r="AJ625">
        <v>12</v>
      </c>
      <c r="AK625">
        <v>27.4</v>
      </c>
      <c r="AL625">
        <v>41</v>
      </c>
      <c r="AM625">
        <v>6846</v>
      </c>
      <c r="AN625">
        <v>82</v>
      </c>
      <c r="AO625">
        <v>80</v>
      </c>
      <c r="AP625">
        <v>79</v>
      </c>
      <c r="AQ625">
        <v>4.5</v>
      </c>
      <c r="AR625" t="s">
        <v>46</v>
      </c>
      <c r="AS625" t="s">
        <v>320</v>
      </c>
      <c r="AT625" t="s">
        <v>307</v>
      </c>
      <c r="AU625">
        <v>248.8</v>
      </c>
      <c r="AV625">
        <v>26</v>
      </c>
      <c r="AW625">
        <v>16</v>
      </c>
      <c r="AX625">
        <v>14</v>
      </c>
      <c r="AY625">
        <v>26.8</v>
      </c>
      <c r="AZ625">
        <v>268</v>
      </c>
      <c r="BA625">
        <v>2679</v>
      </c>
      <c r="BB625">
        <v>78</v>
      </c>
      <c r="BC625">
        <v>76</v>
      </c>
      <c r="BD625">
        <v>75</v>
      </c>
      <c r="BE625">
        <v>4</v>
      </c>
      <c r="BF625" t="s">
        <v>29</v>
      </c>
      <c r="BG625">
        <v>20</v>
      </c>
      <c r="BH625">
        <v>235</v>
      </c>
      <c r="BI625">
        <v>0.40300000000000002</v>
      </c>
      <c r="BJ625" t="s">
        <v>322</v>
      </c>
      <c r="BK625">
        <v>0.5</v>
      </c>
      <c r="BL625">
        <v>0.26829999999999998</v>
      </c>
      <c r="BM625">
        <v>1.63</v>
      </c>
      <c r="BN625">
        <v>1.24</v>
      </c>
    </row>
    <row r="626" spans="1:66" x14ac:dyDescent="0.25">
      <c r="A626">
        <v>1</v>
      </c>
      <c r="B626">
        <v>3</v>
      </c>
      <c r="C626">
        <v>3</v>
      </c>
      <c r="D626">
        <v>1.3166666666666667</v>
      </c>
      <c r="E626">
        <v>5.4833333333333334</v>
      </c>
      <c r="F626">
        <v>8.7999999999999989</v>
      </c>
      <c r="G626" s="40">
        <v>0.59</v>
      </c>
      <c r="H626" s="40">
        <v>0.28000000000000003</v>
      </c>
      <c r="I626" s="40">
        <v>0.13</v>
      </c>
      <c r="J626">
        <v>1.3</v>
      </c>
      <c r="K626">
        <v>5.75</v>
      </c>
      <c r="L626">
        <v>8.5</v>
      </c>
      <c r="M626">
        <v>1.33</v>
      </c>
      <c r="N626">
        <v>5.0999999999999996</v>
      </c>
      <c r="O626">
        <v>9</v>
      </c>
      <c r="P626">
        <v>1.32</v>
      </c>
      <c r="Q626">
        <v>5.6</v>
      </c>
      <c r="R626">
        <v>8.9</v>
      </c>
      <c r="S626">
        <v>0.76505745490768085</v>
      </c>
      <c r="T626">
        <v>0.11793375787114448</v>
      </c>
      <c r="U626">
        <v>0.11700878722117472</v>
      </c>
      <c r="V626">
        <v>0.70994385411349814</v>
      </c>
      <c r="W626">
        <v>0.18514222077861817</v>
      </c>
      <c r="X626">
        <v>0.10491392510788362</v>
      </c>
      <c r="Y626">
        <v>0.72252826906349676</v>
      </c>
      <c r="Z626">
        <v>0.17031023485068139</v>
      </c>
      <c r="AA626">
        <v>0.107161496085822</v>
      </c>
      <c r="AB626">
        <v>0.73250985936155866</v>
      </c>
      <c r="AC626">
        <v>0.15779540450014801</v>
      </c>
      <c r="AD626">
        <v>0.10969473613829345</v>
      </c>
      <c r="AE626" t="s">
        <v>310</v>
      </c>
      <c r="AF626" t="s">
        <v>307</v>
      </c>
      <c r="AG626">
        <v>517.75</v>
      </c>
      <c r="AH626">
        <v>25</v>
      </c>
      <c r="AI626">
        <v>18</v>
      </c>
      <c r="AJ626">
        <v>17</v>
      </c>
      <c r="AK626">
        <v>27.6</v>
      </c>
      <c r="AL626">
        <v>38</v>
      </c>
      <c r="AM626">
        <v>7165</v>
      </c>
      <c r="AN626">
        <v>82</v>
      </c>
      <c r="AO626">
        <v>80</v>
      </c>
      <c r="AP626">
        <v>80</v>
      </c>
      <c r="AQ626">
        <v>4.5</v>
      </c>
      <c r="AR626" t="s">
        <v>29</v>
      </c>
      <c r="AS626" t="s">
        <v>314</v>
      </c>
      <c r="AT626" t="s">
        <v>307</v>
      </c>
      <c r="AU626">
        <v>142.47999999999999</v>
      </c>
      <c r="AV626">
        <v>28</v>
      </c>
      <c r="AW626">
        <v>18</v>
      </c>
      <c r="AX626">
        <v>11</v>
      </c>
      <c r="AY626">
        <v>25.6</v>
      </c>
      <c r="AZ626">
        <v>161</v>
      </c>
      <c r="BA626">
        <v>3818</v>
      </c>
      <c r="BB626">
        <v>75</v>
      </c>
      <c r="BC626">
        <v>75</v>
      </c>
      <c r="BD626">
        <v>73</v>
      </c>
      <c r="BE626">
        <v>3.5</v>
      </c>
      <c r="BF626" t="s">
        <v>46</v>
      </c>
      <c r="BG626">
        <v>18</v>
      </c>
      <c r="BH626">
        <v>211</v>
      </c>
      <c r="BI626">
        <v>0.39600000000000002</v>
      </c>
      <c r="BJ626" t="s">
        <v>322</v>
      </c>
      <c r="BK626">
        <v>0.58819999999999995</v>
      </c>
      <c r="BL626">
        <v>0.27500000000000002</v>
      </c>
      <c r="BM626">
        <v>2.02</v>
      </c>
      <c r="BN626">
        <v>1.38</v>
      </c>
    </row>
    <row r="627" spans="1:66" x14ac:dyDescent="0.25">
      <c r="A627">
        <v>2</v>
      </c>
      <c r="B627">
        <v>0</v>
      </c>
      <c r="C627">
        <v>2</v>
      </c>
      <c r="D627">
        <v>2.7983333333333333</v>
      </c>
      <c r="E627">
        <v>3.2999999999999994</v>
      </c>
      <c r="F627">
        <v>2.5566666666666666</v>
      </c>
      <c r="G627" s="40">
        <v>0.32</v>
      </c>
      <c r="H627" s="40">
        <v>0.35</v>
      </c>
      <c r="I627" s="40">
        <v>0.32999999999999996</v>
      </c>
      <c r="J627">
        <v>2.7</v>
      </c>
      <c r="K627">
        <v>3.3</v>
      </c>
      <c r="L627">
        <v>2.5</v>
      </c>
      <c r="M627">
        <v>2.875</v>
      </c>
      <c r="N627">
        <v>3.3</v>
      </c>
      <c r="O627">
        <v>2.6</v>
      </c>
      <c r="P627">
        <v>2.82</v>
      </c>
      <c r="Q627">
        <v>3.3</v>
      </c>
      <c r="R627">
        <v>2.57</v>
      </c>
      <c r="S627">
        <v>0.35421812036916678</v>
      </c>
      <c r="T627">
        <v>0.26322630963213317</v>
      </c>
      <c r="U627">
        <v>0.38255556999870011</v>
      </c>
      <c r="V627">
        <v>0.33591073700694923</v>
      </c>
      <c r="W627">
        <v>0.29264950572575121</v>
      </c>
      <c r="X627">
        <v>0.37143975726729961</v>
      </c>
      <c r="Y627">
        <v>0.33877384718627168</v>
      </c>
      <c r="Z627">
        <v>0.28949765123190485</v>
      </c>
      <c r="AA627">
        <v>0.37172850158182341</v>
      </c>
      <c r="AB627">
        <v>0.3429675681874626</v>
      </c>
      <c r="AC627">
        <v>0.28179115552992973</v>
      </c>
      <c r="AD627">
        <v>0.37524127628260767</v>
      </c>
      <c r="AE627" t="s">
        <v>40</v>
      </c>
      <c r="AF627" t="s">
        <v>23</v>
      </c>
      <c r="AG627">
        <v>218.25</v>
      </c>
      <c r="AH627">
        <v>26</v>
      </c>
      <c r="AI627">
        <v>17</v>
      </c>
      <c r="AJ627">
        <v>8</v>
      </c>
      <c r="AK627">
        <v>24.1</v>
      </c>
      <c r="AL627">
        <v>255</v>
      </c>
      <c r="AM627">
        <v>2803</v>
      </c>
      <c r="AN627">
        <v>77</v>
      </c>
      <c r="AO627">
        <v>74</v>
      </c>
      <c r="AP627">
        <v>73</v>
      </c>
      <c r="AQ627">
        <v>4</v>
      </c>
      <c r="AR627" t="s">
        <v>28</v>
      </c>
      <c r="AS627" t="s">
        <v>34</v>
      </c>
      <c r="AT627" t="s">
        <v>23</v>
      </c>
      <c r="AU627">
        <v>262.89999999999998</v>
      </c>
      <c r="AV627">
        <v>31</v>
      </c>
      <c r="AW627">
        <v>18</v>
      </c>
      <c r="AX627">
        <v>8</v>
      </c>
      <c r="AY627">
        <v>23.3</v>
      </c>
      <c r="AZ627">
        <v>145</v>
      </c>
      <c r="BA627">
        <v>4008</v>
      </c>
      <c r="BB627">
        <v>77</v>
      </c>
      <c r="BC627">
        <v>76</v>
      </c>
      <c r="BD627">
        <v>76</v>
      </c>
      <c r="BE627">
        <v>4</v>
      </c>
      <c r="BF627" t="s">
        <v>29</v>
      </c>
      <c r="BG627">
        <v>-37</v>
      </c>
      <c r="BH627">
        <v>50</v>
      </c>
      <c r="BI627">
        <v>0.25</v>
      </c>
      <c r="BJ627" t="s">
        <v>266</v>
      </c>
      <c r="BK627">
        <v>0.36959999999999998</v>
      </c>
      <c r="BL627">
        <v>0.38300000000000001</v>
      </c>
      <c r="BM627">
        <v>1.33</v>
      </c>
      <c r="BN627">
        <v>1.28</v>
      </c>
    </row>
    <row r="628" spans="1:66" x14ac:dyDescent="0.25">
      <c r="A628">
        <v>1</v>
      </c>
      <c r="B628">
        <v>1</v>
      </c>
      <c r="C628">
        <v>3</v>
      </c>
      <c r="D628">
        <v>1.3866666666666667</v>
      </c>
      <c r="E628">
        <v>5.0166666666666666</v>
      </c>
      <c r="F628">
        <v>7.4666666666666659</v>
      </c>
      <c r="G628" s="40">
        <v>0.52</v>
      </c>
      <c r="H628" s="40">
        <v>0.28000000000000003</v>
      </c>
      <c r="I628" s="40">
        <v>0.19999999999999996</v>
      </c>
      <c r="J628">
        <v>1.36</v>
      </c>
      <c r="K628">
        <v>4.8</v>
      </c>
      <c r="L628">
        <v>7.5</v>
      </c>
      <c r="M628">
        <v>1.4</v>
      </c>
      <c r="N628">
        <v>5.25</v>
      </c>
      <c r="O628">
        <v>7.5</v>
      </c>
      <c r="P628">
        <v>1.4</v>
      </c>
      <c r="Q628">
        <v>5</v>
      </c>
      <c r="R628">
        <v>7.4</v>
      </c>
      <c r="S628">
        <v>0.72475484297918413</v>
      </c>
      <c r="T628">
        <v>0.14382294549392372</v>
      </c>
      <c r="U628">
        <v>0.13142221152689207</v>
      </c>
      <c r="V628">
        <v>0.68807339449541283</v>
      </c>
      <c r="W628">
        <v>0.18348623853211007</v>
      </c>
      <c r="X628">
        <v>0.12844036697247704</v>
      </c>
      <c r="Y628">
        <v>0.68064753495217079</v>
      </c>
      <c r="Z628">
        <v>0.19058130978660781</v>
      </c>
      <c r="AA628">
        <v>0.12877115526122149</v>
      </c>
      <c r="AB628">
        <v>0.69782525747558921</v>
      </c>
      <c r="AC628">
        <v>0.17263016460421388</v>
      </c>
      <c r="AD628">
        <v>0.12954457792019689</v>
      </c>
      <c r="AE628" t="s">
        <v>10</v>
      </c>
      <c r="AF628" t="s">
        <v>23</v>
      </c>
      <c r="AG628">
        <v>997.75</v>
      </c>
      <c r="AH628">
        <v>35</v>
      </c>
      <c r="AI628">
        <v>24</v>
      </c>
      <c r="AJ628">
        <v>19</v>
      </c>
      <c r="AK628">
        <v>26.1</v>
      </c>
      <c r="AL628">
        <v>12</v>
      </c>
      <c r="AM628">
        <v>9495</v>
      </c>
      <c r="AN628">
        <v>87</v>
      </c>
      <c r="AO628">
        <v>82</v>
      </c>
      <c r="AP628">
        <v>82</v>
      </c>
      <c r="AQ628">
        <v>5</v>
      </c>
      <c r="AR628" t="s">
        <v>28</v>
      </c>
      <c r="AS628" t="s">
        <v>33</v>
      </c>
      <c r="AT628" t="s">
        <v>23</v>
      </c>
      <c r="AU628">
        <v>272</v>
      </c>
      <c r="AV628">
        <v>26</v>
      </c>
      <c r="AW628">
        <v>20</v>
      </c>
      <c r="AX628">
        <v>12</v>
      </c>
      <c r="AY628">
        <v>25.4</v>
      </c>
      <c r="AZ628">
        <v>131</v>
      </c>
      <c r="BA628">
        <v>4207</v>
      </c>
      <c r="BB628">
        <v>78</v>
      </c>
      <c r="BC628">
        <v>78</v>
      </c>
      <c r="BD628">
        <v>78</v>
      </c>
      <c r="BE628">
        <v>4</v>
      </c>
      <c r="BF628" t="s">
        <v>29</v>
      </c>
      <c r="BG628">
        <v>26</v>
      </c>
      <c r="BH628">
        <v>127</v>
      </c>
      <c r="BI628">
        <v>0.41199999999999998</v>
      </c>
      <c r="BJ628" t="s">
        <v>266</v>
      </c>
      <c r="BK628">
        <v>0.66669999999999996</v>
      </c>
      <c r="BL628">
        <v>0.59179999999999999</v>
      </c>
      <c r="BM628">
        <v>2.21</v>
      </c>
      <c r="BN628">
        <v>1.71</v>
      </c>
    </row>
    <row r="629" spans="1:66" x14ac:dyDescent="0.25">
      <c r="A629">
        <v>2</v>
      </c>
      <c r="B629">
        <v>0</v>
      </c>
      <c r="C629">
        <v>2</v>
      </c>
      <c r="D629">
        <v>2.5833333333333335</v>
      </c>
      <c r="E629">
        <v>3.4</v>
      </c>
      <c r="F629">
        <v>2.69</v>
      </c>
      <c r="G629" s="40">
        <v>0.31</v>
      </c>
      <c r="H629" s="40">
        <v>0.39</v>
      </c>
      <c r="I629" s="40">
        <v>0.29999999999999993</v>
      </c>
      <c r="J629">
        <v>2.5499999999999998</v>
      </c>
      <c r="K629">
        <v>3.4</v>
      </c>
      <c r="L629">
        <v>2.6</v>
      </c>
      <c r="M629">
        <v>2.6</v>
      </c>
      <c r="N629">
        <v>3.4</v>
      </c>
      <c r="O629">
        <v>2.75</v>
      </c>
      <c r="P629">
        <v>2.6</v>
      </c>
      <c r="Q629">
        <v>3.4</v>
      </c>
      <c r="R629">
        <v>2.72</v>
      </c>
      <c r="S629">
        <v>0.37583116507661168</v>
      </c>
      <c r="T629">
        <v>0.25556519225209595</v>
      </c>
      <c r="U629">
        <v>0.36860364267129225</v>
      </c>
      <c r="V629">
        <v>0.36898184688239938</v>
      </c>
      <c r="W629">
        <v>0.28216258879242306</v>
      </c>
      <c r="X629">
        <v>0.34885556432517756</v>
      </c>
      <c r="Y629">
        <v>0.36756756756756753</v>
      </c>
      <c r="Z629">
        <v>0.28108108108108104</v>
      </c>
      <c r="AA629">
        <v>0.35135135135135132</v>
      </c>
      <c r="AB629">
        <v>0.37079352650885955</v>
      </c>
      <c r="AC629">
        <v>0.27293628737520004</v>
      </c>
      <c r="AD629">
        <v>0.35627018611594036</v>
      </c>
      <c r="AE629" t="s">
        <v>48</v>
      </c>
      <c r="AF629" t="s">
        <v>23</v>
      </c>
      <c r="AG629">
        <v>85.63</v>
      </c>
      <c r="AH629">
        <v>28</v>
      </c>
      <c r="AI629">
        <v>16</v>
      </c>
      <c r="AJ629">
        <v>8</v>
      </c>
      <c r="AK629">
        <v>25</v>
      </c>
      <c r="AL629">
        <v>426</v>
      </c>
      <c r="AM629">
        <v>1736</v>
      </c>
      <c r="AN629">
        <v>70</v>
      </c>
      <c r="AO629">
        <v>70</v>
      </c>
      <c r="AP629">
        <v>73</v>
      </c>
      <c r="AQ629">
        <v>3.5</v>
      </c>
      <c r="AR629" t="s">
        <v>46</v>
      </c>
      <c r="AS629" t="s">
        <v>35</v>
      </c>
      <c r="AT629" t="s">
        <v>23</v>
      </c>
      <c r="AU629">
        <v>93.2</v>
      </c>
      <c r="AV629">
        <v>28</v>
      </c>
      <c r="AW629">
        <v>13</v>
      </c>
      <c r="AX629">
        <v>9</v>
      </c>
      <c r="AY629">
        <v>23.9</v>
      </c>
      <c r="AZ629">
        <v>169</v>
      </c>
      <c r="BA629">
        <v>3749</v>
      </c>
      <c r="BB629">
        <v>74</v>
      </c>
      <c r="BC629">
        <v>74</v>
      </c>
      <c r="BD629">
        <v>73</v>
      </c>
      <c r="BE629">
        <v>3.5</v>
      </c>
      <c r="BF629" t="s">
        <v>29</v>
      </c>
      <c r="BG629">
        <v>-21</v>
      </c>
      <c r="BH629">
        <v>54</v>
      </c>
      <c r="BI629">
        <v>0.25</v>
      </c>
      <c r="BJ629" t="s">
        <v>266</v>
      </c>
      <c r="BK629">
        <v>0.34150000000000003</v>
      </c>
      <c r="BL629">
        <v>0.30769999999999997</v>
      </c>
      <c r="BM629">
        <v>1.22</v>
      </c>
      <c r="BN629">
        <v>1.08</v>
      </c>
    </row>
    <row r="630" spans="1:66" x14ac:dyDescent="0.25">
      <c r="A630">
        <v>3</v>
      </c>
      <c r="B630">
        <v>-1</v>
      </c>
      <c r="C630">
        <v>3</v>
      </c>
      <c r="D630">
        <v>2.86</v>
      </c>
      <c r="E630">
        <v>3.3166666666666664</v>
      </c>
      <c r="F630">
        <v>2.4833333333333334</v>
      </c>
      <c r="G630" s="40">
        <v>0.26</v>
      </c>
      <c r="H630" s="40">
        <v>0.38</v>
      </c>
      <c r="I630" s="40">
        <v>0.36</v>
      </c>
      <c r="J630">
        <v>2.75</v>
      </c>
      <c r="K630">
        <v>3.3</v>
      </c>
      <c r="L630">
        <v>2.4500000000000002</v>
      </c>
      <c r="M630">
        <v>2.95</v>
      </c>
      <c r="N630">
        <v>3.3</v>
      </c>
      <c r="O630">
        <v>2.5</v>
      </c>
      <c r="P630">
        <v>2.88</v>
      </c>
      <c r="Q630">
        <v>3.35</v>
      </c>
      <c r="R630">
        <v>2.5</v>
      </c>
      <c r="S630">
        <v>0.34730305296355296</v>
      </c>
      <c r="T630">
        <v>0.26286698962837729</v>
      </c>
      <c r="U630">
        <v>0.38982995740806964</v>
      </c>
      <c r="V630">
        <v>0.32531545741324919</v>
      </c>
      <c r="W630">
        <v>0.2908123028391168</v>
      </c>
      <c r="X630">
        <v>0.38387223974763413</v>
      </c>
      <c r="Y630">
        <v>0.33203821908575504</v>
      </c>
      <c r="Z630">
        <v>0.28545375252745503</v>
      </c>
      <c r="AA630">
        <v>0.38250802838678977</v>
      </c>
      <c r="AB630">
        <v>0.3348855764875191</v>
      </c>
      <c r="AC630">
        <v>0.27971101499831635</v>
      </c>
      <c r="AD630">
        <v>0.38540340851416449</v>
      </c>
      <c r="AE630" t="s">
        <v>41</v>
      </c>
      <c r="AF630" t="s">
        <v>23</v>
      </c>
      <c r="AG630">
        <v>66.7</v>
      </c>
      <c r="AH630">
        <v>28</v>
      </c>
      <c r="AI630">
        <v>11</v>
      </c>
      <c r="AJ630">
        <v>6</v>
      </c>
      <c r="AK630">
        <v>26</v>
      </c>
      <c r="AL630">
        <v>266</v>
      </c>
      <c r="AM630">
        <v>2690</v>
      </c>
      <c r="AN630">
        <v>75</v>
      </c>
      <c r="AO630">
        <v>75</v>
      </c>
      <c r="AP630">
        <v>74</v>
      </c>
      <c r="AQ630">
        <v>4</v>
      </c>
      <c r="AR630" t="s">
        <v>29</v>
      </c>
      <c r="AS630" t="s">
        <v>40</v>
      </c>
      <c r="AT630" t="s">
        <v>23</v>
      </c>
      <c r="AU630">
        <v>218.25</v>
      </c>
      <c r="AV630">
        <v>26</v>
      </c>
      <c r="AW630">
        <v>17</v>
      </c>
      <c r="AX630">
        <v>8</v>
      </c>
      <c r="AY630">
        <v>24.1</v>
      </c>
      <c r="AZ630">
        <v>255</v>
      </c>
      <c r="BA630">
        <v>2803</v>
      </c>
      <c r="BB630">
        <v>77</v>
      </c>
      <c r="BC630">
        <v>74</v>
      </c>
      <c r="BD630">
        <v>73</v>
      </c>
      <c r="BE630">
        <v>4</v>
      </c>
      <c r="BF630" t="s">
        <v>28</v>
      </c>
      <c r="BG630">
        <v>-6</v>
      </c>
      <c r="BH630">
        <v>18</v>
      </c>
      <c r="BI630">
        <v>0.158</v>
      </c>
      <c r="BJ630" t="s">
        <v>266</v>
      </c>
      <c r="BK630">
        <v>0.35709999999999997</v>
      </c>
      <c r="BL630">
        <v>0.36959999999999998</v>
      </c>
      <c r="BM630">
        <v>1.1399999999999999</v>
      </c>
      <c r="BN630">
        <v>1.33</v>
      </c>
    </row>
    <row r="631" spans="1:66" x14ac:dyDescent="0.25">
      <c r="A631">
        <v>1</v>
      </c>
      <c r="B631">
        <v>1</v>
      </c>
      <c r="C631">
        <v>5</v>
      </c>
      <c r="D631">
        <v>2.4933333333333332</v>
      </c>
      <c r="E631">
        <v>3.2000000000000006</v>
      </c>
      <c r="F631">
        <v>2.9466666666666668</v>
      </c>
      <c r="G631" s="40">
        <v>0.2</v>
      </c>
      <c r="H631" s="40">
        <v>0.53</v>
      </c>
      <c r="I631" s="40">
        <v>0.27</v>
      </c>
      <c r="J631">
        <v>2.4</v>
      </c>
      <c r="K631">
        <v>3.2</v>
      </c>
      <c r="L631">
        <v>2.88</v>
      </c>
      <c r="M631">
        <v>2.5499999999999998</v>
      </c>
      <c r="N631">
        <v>3.2</v>
      </c>
      <c r="O631">
        <v>3</v>
      </c>
      <c r="P631">
        <v>2.5299999999999998</v>
      </c>
      <c r="Q631">
        <v>3.2</v>
      </c>
      <c r="R631">
        <v>2.96</v>
      </c>
      <c r="S631">
        <v>0.39779420980072694</v>
      </c>
      <c r="T631">
        <v>0.27071061536533397</v>
      </c>
      <c r="U631">
        <v>0.33149517483393909</v>
      </c>
      <c r="V631">
        <v>0.37780401416765058</v>
      </c>
      <c r="W631">
        <v>0.30106257378984652</v>
      </c>
      <c r="X631">
        <v>0.32113341204250295</v>
      </c>
      <c r="Y631">
        <v>0.37802113597905551</v>
      </c>
      <c r="Z631">
        <v>0.29887296063344077</v>
      </c>
      <c r="AA631">
        <v>0.32310590338750356</v>
      </c>
      <c r="AB631">
        <v>0.3845397866491444</v>
      </c>
      <c r="AC631">
        <v>0.29021538326287377</v>
      </c>
      <c r="AD631">
        <v>0.32524483008798188</v>
      </c>
      <c r="AE631" t="s">
        <v>44</v>
      </c>
      <c r="AF631" t="s">
        <v>23</v>
      </c>
      <c r="AG631">
        <v>87.7</v>
      </c>
      <c r="AH631">
        <v>29</v>
      </c>
      <c r="AI631">
        <v>16</v>
      </c>
      <c r="AJ631">
        <v>10</v>
      </c>
      <c r="AK631">
        <v>25.1</v>
      </c>
      <c r="AL631">
        <v>326</v>
      </c>
      <c r="AM631">
        <v>2298</v>
      </c>
      <c r="AN631">
        <v>74</v>
      </c>
      <c r="AO631">
        <v>73</v>
      </c>
      <c r="AP631">
        <v>72</v>
      </c>
      <c r="AQ631">
        <v>3.5</v>
      </c>
      <c r="AR631" t="s">
        <v>29</v>
      </c>
      <c r="AS631" t="s">
        <v>37</v>
      </c>
      <c r="AT631" t="s">
        <v>23</v>
      </c>
      <c r="AU631">
        <v>90.78</v>
      </c>
      <c r="AV631">
        <v>27</v>
      </c>
      <c r="AW631">
        <v>19</v>
      </c>
      <c r="AX631">
        <v>10</v>
      </c>
      <c r="AY631">
        <v>24.4</v>
      </c>
      <c r="AZ631">
        <v>223</v>
      </c>
      <c r="BA631">
        <v>3054</v>
      </c>
      <c r="BB631">
        <v>73</v>
      </c>
      <c r="BC631">
        <v>73</v>
      </c>
      <c r="BD631">
        <v>74</v>
      </c>
      <c r="BE631">
        <v>3.5</v>
      </c>
      <c r="BF631" t="s">
        <v>29</v>
      </c>
      <c r="BG631">
        <v>-7</v>
      </c>
      <c r="BH631">
        <v>12</v>
      </c>
      <c r="BI631">
        <v>0.14299999999999999</v>
      </c>
      <c r="BJ631" t="s">
        <v>266</v>
      </c>
      <c r="BK631">
        <v>0.33329999999999999</v>
      </c>
      <c r="BL631">
        <v>0.24390000000000001</v>
      </c>
      <c r="BM631">
        <v>1.08</v>
      </c>
      <c r="BN631">
        <v>1.1200000000000001</v>
      </c>
    </row>
    <row r="632" spans="1:66" x14ac:dyDescent="0.25">
      <c r="A632">
        <v>1</v>
      </c>
      <c r="B632">
        <v>2</v>
      </c>
      <c r="C632">
        <v>2</v>
      </c>
      <c r="D632">
        <v>2.3483333333333332</v>
      </c>
      <c r="E632">
        <v>3.4166666666666665</v>
      </c>
      <c r="F632">
        <v>2.9766666666666666</v>
      </c>
      <c r="G632" s="40">
        <v>0.3</v>
      </c>
      <c r="H632" s="40">
        <v>0.33</v>
      </c>
      <c r="I632" s="40">
        <v>0.36999999999999994</v>
      </c>
      <c r="J632">
        <v>2.2999999999999998</v>
      </c>
      <c r="K632">
        <v>3.3</v>
      </c>
      <c r="L632">
        <v>2.95</v>
      </c>
      <c r="M632">
        <v>2.375</v>
      </c>
      <c r="N632">
        <v>3.5</v>
      </c>
      <c r="O632">
        <v>3</v>
      </c>
      <c r="P632">
        <v>2.37</v>
      </c>
      <c r="Q632">
        <v>3.45</v>
      </c>
      <c r="R632">
        <v>2.98</v>
      </c>
      <c r="S632">
        <v>0.41497254070719725</v>
      </c>
      <c r="T632">
        <v>0.26148954619905573</v>
      </c>
      <c r="U632">
        <v>0.32353791309374696</v>
      </c>
      <c r="V632">
        <v>0.40481927710843368</v>
      </c>
      <c r="W632">
        <v>0.27469879518072282</v>
      </c>
      <c r="X632">
        <v>0.32048192771084333</v>
      </c>
      <c r="Y632">
        <v>0.40285892296660281</v>
      </c>
      <c r="Z632">
        <v>0.27674656447270979</v>
      </c>
      <c r="AA632">
        <v>0.32039451256068746</v>
      </c>
      <c r="AB632">
        <v>0.40755024692741121</v>
      </c>
      <c r="AC632">
        <v>0.27097830195082945</v>
      </c>
      <c r="AD632">
        <v>0.32147145112175929</v>
      </c>
      <c r="AE632" t="s">
        <v>38</v>
      </c>
      <c r="AF632" t="s">
        <v>23</v>
      </c>
      <c r="AG632">
        <v>88.7</v>
      </c>
      <c r="AH632">
        <v>24</v>
      </c>
      <c r="AI632">
        <v>10</v>
      </c>
      <c r="AJ632">
        <v>5</v>
      </c>
      <c r="AK632">
        <v>25.1</v>
      </c>
      <c r="AL632">
        <v>228</v>
      </c>
      <c r="AM632">
        <v>3029</v>
      </c>
      <c r="AN632">
        <v>80</v>
      </c>
      <c r="AO632">
        <v>76</v>
      </c>
      <c r="AP632">
        <v>73</v>
      </c>
      <c r="AQ632">
        <v>4</v>
      </c>
      <c r="AR632" t="s">
        <v>29</v>
      </c>
      <c r="AS632" t="s">
        <v>39</v>
      </c>
      <c r="AT632" t="s">
        <v>23</v>
      </c>
      <c r="AU632">
        <v>87.45</v>
      </c>
      <c r="AV632">
        <v>29</v>
      </c>
      <c r="AW632">
        <v>14</v>
      </c>
      <c r="AX632">
        <v>7</v>
      </c>
      <c r="AY632">
        <v>26.2</v>
      </c>
      <c r="AZ632">
        <v>229</v>
      </c>
      <c r="BA632">
        <v>3029</v>
      </c>
      <c r="BB632">
        <v>71</v>
      </c>
      <c r="BC632">
        <v>73</v>
      </c>
      <c r="BD632">
        <v>73</v>
      </c>
      <c r="BE632">
        <v>3.5</v>
      </c>
      <c r="BF632" t="s">
        <v>29</v>
      </c>
      <c r="BG632">
        <v>-11</v>
      </c>
      <c r="BH632">
        <v>73</v>
      </c>
      <c r="BI632">
        <v>0.33300000000000002</v>
      </c>
      <c r="BJ632" t="s">
        <v>266</v>
      </c>
      <c r="BK632">
        <v>0.41860000000000003</v>
      </c>
      <c r="BL632">
        <v>0.24390000000000001</v>
      </c>
      <c r="BM632">
        <v>1.6</v>
      </c>
      <c r="BN632">
        <v>1.24</v>
      </c>
    </row>
    <row r="633" spans="1:66" x14ac:dyDescent="0.25">
      <c r="A633">
        <v>1</v>
      </c>
      <c r="B633">
        <v>2</v>
      </c>
      <c r="C633">
        <v>2</v>
      </c>
      <c r="D633">
        <v>1.6719999999999999</v>
      </c>
      <c r="E633">
        <v>4.1000000000000005</v>
      </c>
      <c r="F633">
        <v>4.8999999999999995</v>
      </c>
      <c r="G633" s="40">
        <v>0.41</v>
      </c>
      <c r="H633" s="40">
        <v>0.28999999999999998</v>
      </c>
      <c r="I633" s="40">
        <v>0.3000000000000001</v>
      </c>
      <c r="J633">
        <v>1.67</v>
      </c>
      <c r="K633">
        <v>4</v>
      </c>
      <c r="L633">
        <v>4.9000000000000004</v>
      </c>
      <c r="M633">
        <v>1.6659999999999999</v>
      </c>
      <c r="N633">
        <v>4.2</v>
      </c>
      <c r="O633">
        <v>5</v>
      </c>
      <c r="P633">
        <v>1.68</v>
      </c>
      <c r="Q633">
        <v>4.0999999999999996</v>
      </c>
      <c r="R633">
        <v>4.8</v>
      </c>
      <c r="S633">
        <v>0.59763400289254753</v>
      </c>
      <c r="T633">
        <v>0.19868257163182904</v>
      </c>
      <c r="U633">
        <v>0.20368342547562335</v>
      </c>
      <c r="V633">
        <v>0.57807923539386474</v>
      </c>
      <c r="W633">
        <v>0.22930476337289962</v>
      </c>
      <c r="X633">
        <v>0.19261600123323572</v>
      </c>
      <c r="Y633">
        <v>0.56826056826056837</v>
      </c>
      <c r="Z633">
        <v>0.23284823284823289</v>
      </c>
      <c r="AA633">
        <v>0.19889119889119894</v>
      </c>
      <c r="AB633">
        <v>0.58132460218232684</v>
      </c>
      <c r="AC633">
        <v>0.22027852261765382</v>
      </c>
      <c r="AD633">
        <v>0.19839687520001933</v>
      </c>
      <c r="AE633" t="s">
        <v>54</v>
      </c>
      <c r="AF633" t="s">
        <v>26</v>
      </c>
      <c r="AG633">
        <v>207.65</v>
      </c>
      <c r="AH633">
        <v>32</v>
      </c>
      <c r="AI633">
        <v>20</v>
      </c>
      <c r="AJ633">
        <v>16</v>
      </c>
      <c r="AK633">
        <v>25.8</v>
      </c>
      <c r="AL633">
        <v>194</v>
      </c>
      <c r="AM633">
        <v>3438</v>
      </c>
      <c r="AN633">
        <v>75</v>
      </c>
      <c r="AO633">
        <v>77</v>
      </c>
      <c r="AP633">
        <v>76</v>
      </c>
      <c r="AQ633">
        <v>4</v>
      </c>
      <c r="AR633" t="s">
        <v>29</v>
      </c>
      <c r="AS633" t="s">
        <v>59</v>
      </c>
      <c r="AT633" t="s">
        <v>26</v>
      </c>
      <c r="AU633">
        <v>137.05000000000001</v>
      </c>
      <c r="AV633">
        <v>28</v>
      </c>
      <c r="AW633">
        <v>15</v>
      </c>
      <c r="AX633">
        <v>8</v>
      </c>
      <c r="AY633">
        <v>26.3</v>
      </c>
      <c r="AZ633">
        <v>258</v>
      </c>
      <c r="BA633">
        <v>2751</v>
      </c>
      <c r="BB633">
        <v>77</v>
      </c>
      <c r="BC633">
        <v>76</v>
      </c>
      <c r="BD633">
        <v>75</v>
      </c>
      <c r="BE633">
        <v>4</v>
      </c>
      <c r="BF633" t="s">
        <v>29</v>
      </c>
      <c r="BG633">
        <v>14</v>
      </c>
      <c r="BH633">
        <v>38</v>
      </c>
      <c r="BI633">
        <v>0.5</v>
      </c>
      <c r="BJ633" t="s">
        <v>273</v>
      </c>
      <c r="BK633">
        <v>0.36359999999999998</v>
      </c>
      <c r="BL633">
        <v>0.2286</v>
      </c>
      <c r="BM633">
        <v>1.73</v>
      </c>
      <c r="BN633">
        <v>1.29</v>
      </c>
    </row>
    <row r="634" spans="1:66" x14ac:dyDescent="0.25">
      <c r="A634">
        <v>3</v>
      </c>
      <c r="B634">
        <v>-3</v>
      </c>
      <c r="C634">
        <v>7</v>
      </c>
      <c r="D634">
        <v>8.4666666666666668</v>
      </c>
      <c r="E634">
        <v>5.6166666666666671</v>
      </c>
      <c r="F634">
        <v>1.3310000000000002</v>
      </c>
      <c r="G634" s="40">
        <v>0.23</v>
      </c>
      <c r="H634" s="40">
        <v>0.38</v>
      </c>
      <c r="I634" s="40">
        <v>0.39</v>
      </c>
      <c r="J634">
        <v>8.5</v>
      </c>
      <c r="K634">
        <v>5.5</v>
      </c>
      <c r="L634">
        <v>1.32</v>
      </c>
      <c r="M634">
        <v>8.5</v>
      </c>
      <c r="N634">
        <v>5.75</v>
      </c>
      <c r="O634">
        <v>1.333</v>
      </c>
      <c r="P634">
        <v>8.4</v>
      </c>
      <c r="Q634">
        <v>5.6</v>
      </c>
      <c r="R634">
        <v>1.34</v>
      </c>
      <c r="S634">
        <v>0.11781458178583279</v>
      </c>
      <c r="T634">
        <v>0.12353091429024408</v>
      </c>
      <c r="U634">
        <v>0.7586545039239232</v>
      </c>
      <c r="V634">
        <v>0.11293239674231347</v>
      </c>
      <c r="W634">
        <v>0.16694354301037645</v>
      </c>
      <c r="X634">
        <v>0.72012406024731024</v>
      </c>
      <c r="Y634">
        <v>0.11404255319148936</v>
      </c>
      <c r="Z634">
        <v>0.17106382978723406</v>
      </c>
      <c r="AA634">
        <v>0.71489361702127652</v>
      </c>
      <c r="AB634">
        <v>0.1149298439065452</v>
      </c>
      <c r="AC634">
        <v>0.15384609569595153</v>
      </c>
      <c r="AD634">
        <v>0.73122406039750343</v>
      </c>
      <c r="AE634" t="s">
        <v>58</v>
      </c>
      <c r="AF634" t="s">
        <v>26</v>
      </c>
      <c r="AG634">
        <v>77.8</v>
      </c>
      <c r="AH634">
        <v>31</v>
      </c>
      <c r="AI634">
        <v>13</v>
      </c>
      <c r="AJ634">
        <v>7</v>
      </c>
      <c r="AK634">
        <v>26.9</v>
      </c>
      <c r="AL634">
        <v>243</v>
      </c>
      <c r="AM634">
        <v>2873</v>
      </c>
      <c r="AN634">
        <v>75</v>
      </c>
      <c r="AO634">
        <v>72</v>
      </c>
      <c r="AP634">
        <v>73</v>
      </c>
      <c r="AQ634">
        <v>3.5</v>
      </c>
      <c r="AR634" t="s">
        <v>46</v>
      </c>
      <c r="AS634" t="s">
        <v>31</v>
      </c>
      <c r="AT634" t="s">
        <v>26</v>
      </c>
      <c r="AU634">
        <v>852.4</v>
      </c>
      <c r="AV634">
        <v>25</v>
      </c>
      <c r="AW634">
        <v>15</v>
      </c>
      <c r="AX634">
        <v>17</v>
      </c>
      <c r="AY634">
        <v>26.1</v>
      </c>
      <c r="AZ634">
        <v>6</v>
      </c>
      <c r="BA634">
        <v>10885</v>
      </c>
      <c r="BB634">
        <v>92</v>
      </c>
      <c r="BC634">
        <v>85</v>
      </c>
      <c r="BD634">
        <v>82</v>
      </c>
      <c r="BE634">
        <v>5</v>
      </c>
      <c r="BF634" t="s">
        <v>29</v>
      </c>
      <c r="BG634">
        <v>4</v>
      </c>
      <c r="BH634">
        <v>8</v>
      </c>
      <c r="BI634">
        <v>0.4</v>
      </c>
      <c r="BJ634" t="s">
        <v>273</v>
      </c>
      <c r="BK634">
        <v>0.36109999999999998</v>
      </c>
      <c r="BL634">
        <v>0.72919999999999996</v>
      </c>
      <c r="BM634">
        <v>1.47</v>
      </c>
      <c r="BN634">
        <v>2.83</v>
      </c>
    </row>
    <row r="635" spans="1:66" x14ac:dyDescent="0.25">
      <c r="A635">
        <v>3</v>
      </c>
      <c r="B635">
        <v>-2</v>
      </c>
      <c r="C635">
        <v>2</v>
      </c>
      <c r="D635">
        <v>1.9333333333333333</v>
      </c>
      <c r="E635">
        <v>3.6666666666666665</v>
      </c>
      <c r="F635">
        <v>3.9166666666666665</v>
      </c>
      <c r="G635" s="40">
        <v>0.45</v>
      </c>
      <c r="H635" s="40">
        <v>0.26</v>
      </c>
      <c r="I635" s="40">
        <v>0.29000000000000004</v>
      </c>
      <c r="J635">
        <v>1.9</v>
      </c>
      <c r="K635">
        <v>3.7</v>
      </c>
      <c r="L635">
        <v>3.9</v>
      </c>
      <c r="M635">
        <v>1.95</v>
      </c>
      <c r="N635">
        <v>3.7</v>
      </c>
      <c r="O635">
        <v>3.95</v>
      </c>
      <c r="P635">
        <v>1.95</v>
      </c>
      <c r="Q635">
        <v>3.6</v>
      </c>
      <c r="R635">
        <v>3.9</v>
      </c>
      <c r="S635">
        <v>0.52021179105997351</v>
      </c>
      <c r="T635">
        <v>0.22635169534670602</v>
      </c>
      <c r="U635">
        <v>0.25343651359332048</v>
      </c>
      <c r="V635">
        <v>0.49487852366037421</v>
      </c>
      <c r="W635">
        <v>0.26081435706425121</v>
      </c>
      <c r="X635">
        <v>0.24430711927537457</v>
      </c>
      <c r="Y635">
        <v>0.48979591836734693</v>
      </c>
      <c r="Z635">
        <v>0.26530612244897955</v>
      </c>
      <c r="AA635">
        <v>0.24489795918367346</v>
      </c>
      <c r="AB635">
        <v>0.50162874436256488</v>
      </c>
      <c r="AC635">
        <v>0.25082405828664561</v>
      </c>
      <c r="AD635">
        <v>0.24754719735078953</v>
      </c>
      <c r="AE635" t="s">
        <v>49</v>
      </c>
      <c r="AF635" t="s">
        <v>26</v>
      </c>
      <c r="AG635">
        <v>352.75</v>
      </c>
      <c r="AH635">
        <v>27</v>
      </c>
      <c r="AI635">
        <v>19</v>
      </c>
      <c r="AJ635">
        <v>15</v>
      </c>
      <c r="AK635">
        <v>24.7</v>
      </c>
      <c r="AL635">
        <v>22</v>
      </c>
      <c r="AM635">
        <v>8083</v>
      </c>
      <c r="AN635">
        <v>78</v>
      </c>
      <c r="AO635">
        <v>78</v>
      </c>
      <c r="AP635">
        <v>78</v>
      </c>
      <c r="AQ635">
        <v>4.5</v>
      </c>
      <c r="AR635" t="s">
        <v>46</v>
      </c>
      <c r="AS635" t="s">
        <v>274</v>
      </c>
      <c r="AT635" t="s">
        <v>26</v>
      </c>
      <c r="AU635">
        <v>287.75</v>
      </c>
      <c r="AV635">
        <v>31</v>
      </c>
      <c r="AW635">
        <v>20</v>
      </c>
      <c r="AX635">
        <v>11</v>
      </c>
      <c r="AY635">
        <v>25.4</v>
      </c>
      <c r="AZ635">
        <v>65</v>
      </c>
      <c r="BA635">
        <v>5919</v>
      </c>
      <c r="BB635">
        <v>78</v>
      </c>
      <c r="BC635">
        <v>78</v>
      </c>
      <c r="BD635">
        <v>77</v>
      </c>
      <c r="BE635">
        <v>4</v>
      </c>
      <c r="BF635" t="s">
        <v>46</v>
      </c>
      <c r="BG635">
        <v>11</v>
      </c>
      <c r="BH635">
        <v>77</v>
      </c>
      <c r="BI635">
        <v>0.45100000000000001</v>
      </c>
      <c r="BJ635" t="s">
        <v>273</v>
      </c>
      <c r="BK635">
        <v>0.4667</v>
      </c>
      <c r="BL635">
        <v>0.53659999999999997</v>
      </c>
      <c r="BM635">
        <v>1.98</v>
      </c>
      <c r="BN635">
        <v>1.88</v>
      </c>
    </row>
    <row r="636" spans="1:66" x14ac:dyDescent="0.25">
      <c r="A636">
        <v>1</v>
      </c>
      <c r="B636">
        <v>2</v>
      </c>
      <c r="C636">
        <v>2</v>
      </c>
      <c r="D636">
        <v>1.4766666666666666</v>
      </c>
      <c r="E636">
        <v>4.9333333333333336</v>
      </c>
      <c r="F636">
        <v>5.9333333333333336</v>
      </c>
      <c r="G636" s="40">
        <v>0.56000000000000005</v>
      </c>
      <c r="H636" s="40">
        <v>0.31</v>
      </c>
      <c r="I636" s="40">
        <v>0.12999999999999995</v>
      </c>
      <c r="J636">
        <v>1.47</v>
      </c>
      <c r="K636">
        <v>4.9000000000000004</v>
      </c>
      <c r="L636">
        <v>6</v>
      </c>
      <c r="M636">
        <v>1.48</v>
      </c>
      <c r="N636">
        <v>5</v>
      </c>
      <c r="O636">
        <v>6</v>
      </c>
      <c r="P636">
        <v>1.48</v>
      </c>
      <c r="Q636">
        <v>4.9000000000000004</v>
      </c>
      <c r="R636">
        <v>5.8</v>
      </c>
      <c r="S636">
        <v>0.68011252960505164</v>
      </c>
      <c r="T636">
        <v>0.15325990064171066</v>
      </c>
      <c r="U636">
        <v>0.16662756975323767</v>
      </c>
      <c r="V636">
        <v>0.64822817631806395</v>
      </c>
      <c r="W636">
        <v>0.19187554019014691</v>
      </c>
      <c r="X636">
        <v>0.15989628349178911</v>
      </c>
      <c r="Y636">
        <v>0.64217281272595805</v>
      </c>
      <c r="Z636">
        <v>0.1939624005784526</v>
      </c>
      <c r="AA636">
        <v>0.16386478669558932</v>
      </c>
      <c r="AB636">
        <v>0.65683783954969122</v>
      </c>
      <c r="AC636">
        <v>0.17969928047010339</v>
      </c>
      <c r="AD636">
        <v>0.16346287998020537</v>
      </c>
      <c r="AE636" t="s">
        <v>50</v>
      </c>
      <c r="AF636" t="s">
        <v>26</v>
      </c>
      <c r="AG636">
        <v>565.79999999999995</v>
      </c>
      <c r="AH636">
        <v>33</v>
      </c>
      <c r="AI636">
        <v>18</v>
      </c>
      <c r="AJ636">
        <v>17</v>
      </c>
      <c r="AK636">
        <v>24.7</v>
      </c>
      <c r="AL636">
        <v>36</v>
      </c>
      <c r="AM636">
        <v>7276</v>
      </c>
      <c r="AN636">
        <v>87</v>
      </c>
      <c r="AO636">
        <v>81</v>
      </c>
      <c r="AP636">
        <v>81</v>
      </c>
      <c r="AQ636">
        <v>4.5</v>
      </c>
      <c r="AR636" t="s">
        <v>29</v>
      </c>
      <c r="AS636" t="s">
        <v>60</v>
      </c>
      <c r="AT636" t="s">
        <v>26</v>
      </c>
      <c r="AU636">
        <v>76.66</v>
      </c>
      <c r="AV636">
        <v>30</v>
      </c>
      <c r="AW636">
        <v>11</v>
      </c>
      <c r="AX636">
        <v>6</v>
      </c>
      <c r="AY636">
        <v>25.1</v>
      </c>
      <c r="AZ636">
        <v>299</v>
      </c>
      <c r="BA636">
        <v>2454</v>
      </c>
      <c r="BB636">
        <v>74</v>
      </c>
      <c r="BC636">
        <v>74</v>
      </c>
      <c r="BD636">
        <v>72</v>
      </c>
      <c r="BE636">
        <v>3.5</v>
      </c>
      <c r="BF636" t="s">
        <v>46</v>
      </c>
      <c r="BG636">
        <v>17</v>
      </c>
      <c r="BH636">
        <v>163</v>
      </c>
      <c r="BI636">
        <v>0.39600000000000002</v>
      </c>
      <c r="BJ636" t="s">
        <v>273</v>
      </c>
      <c r="BK636">
        <v>0.60780000000000001</v>
      </c>
      <c r="BL636">
        <v>0.28210000000000002</v>
      </c>
      <c r="BM636">
        <v>2.27</v>
      </c>
      <c r="BN636">
        <v>1.23</v>
      </c>
    </row>
    <row r="637" spans="1:66" x14ac:dyDescent="0.25">
      <c r="A637">
        <v>2</v>
      </c>
      <c r="B637">
        <v>0</v>
      </c>
      <c r="C637">
        <v>2</v>
      </c>
      <c r="D637">
        <v>4</v>
      </c>
      <c r="E637">
        <v>4.0666666666666664</v>
      </c>
      <c r="F637">
        <v>1.8243333333333334</v>
      </c>
      <c r="G637" s="40">
        <v>0.21</v>
      </c>
      <c r="H637" s="40">
        <v>0.47</v>
      </c>
      <c r="I637" s="40">
        <v>0.32000000000000006</v>
      </c>
      <c r="J637">
        <v>4</v>
      </c>
      <c r="K637">
        <v>4</v>
      </c>
      <c r="L637">
        <v>1.81</v>
      </c>
      <c r="M637">
        <v>4</v>
      </c>
      <c r="N637">
        <v>4.2</v>
      </c>
      <c r="O637">
        <v>1.833</v>
      </c>
      <c r="P637">
        <v>4</v>
      </c>
      <c r="Q637">
        <v>4</v>
      </c>
      <c r="R637">
        <v>1.83</v>
      </c>
      <c r="S637">
        <v>0.24700389372226686</v>
      </c>
      <c r="T637">
        <v>0.20713114777548586</v>
      </c>
      <c r="U637">
        <v>0.54586495850224726</v>
      </c>
      <c r="V637">
        <v>0.2418616048707847</v>
      </c>
      <c r="W637">
        <v>0.2303443855912235</v>
      </c>
      <c r="X637">
        <v>0.52779400953799172</v>
      </c>
      <c r="Y637">
        <v>0.23890339425587467</v>
      </c>
      <c r="Z637">
        <v>0.23890339425587467</v>
      </c>
      <c r="AA637">
        <v>0.5221932114882506</v>
      </c>
      <c r="AB637">
        <v>0.24258963094964206</v>
      </c>
      <c r="AC637">
        <v>0.22545964254086134</v>
      </c>
      <c r="AD637">
        <v>0.5319507265094966</v>
      </c>
      <c r="AE637" t="s">
        <v>51</v>
      </c>
      <c r="AF637" t="s">
        <v>26</v>
      </c>
      <c r="AG637">
        <v>231.25</v>
      </c>
      <c r="AH637">
        <v>32</v>
      </c>
      <c r="AI637">
        <v>21</v>
      </c>
      <c r="AJ637">
        <v>12</v>
      </c>
      <c r="AK637">
        <v>25.4</v>
      </c>
      <c r="AL637">
        <v>45</v>
      </c>
      <c r="AM637">
        <v>6714</v>
      </c>
      <c r="AN637">
        <v>79</v>
      </c>
      <c r="AO637">
        <v>77</v>
      </c>
      <c r="AP637">
        <v>75</v>
      </c>
      <c r="AQ637">
        <v>4</v>
      </c>
      <c r="AR637" t="s">
        <v>46</v>
      </c>
      <c r="AS637" t="s">
        <v>25</v>
      </c>
      <c r="AT637" t="s">
        <v>26</v>
      </c>
      <c r="AU637">
        <v>505.55</v>
      </c>
      <c r="AV637">
        <v>28</v>
      </c>
      <c r="AW637">
        <v>21</v>
      </c>
      <c r="AX637">
        <v>16</v>
      </c>
      <c r="AY637">
        <v>24.1</v>
      </c>
      <c r="AZ637">
        <v>16</v>
      </c>
      <c r="BA637">
        <v>9221</v>
      </c>
      <c r="BB637">
        <v>78</v>
      </c>
      <c r="BC637">
        <v>81</v>
      </c>
      <c r="BD637">
        <v>80</v>
      </c>
      <c r="BE637">
        <v>4.5</v>
      </c>
      <c r="BF637" t="s">
        <v>29</v>
      </c>
      <c r="BG637">
        <v>0</v>
      </c>
      <c r="BH637">
        <v>14</v>
      </c>
      <c r="BI637">
        <v>0.27300000000000002</v>
      </c>
      <c r="BJ637" t="s">
        <v>273</v>
      </c>
      <c r="BK637">
        <v>0.47220000000000001</v>
      </c>
      <c r="BL637">
        <v>0.58330000000000004</v>
      </c>
      <c r="BM637">
        <v>2</v>
      </c>
      <c r="BN637">
        <v>1.79</v>
      </c>
    </row>
    <row r="638" spans="1:66" x14ac:dyDescent="0.25">
      <c r="A638">
        <v>1</v>
      </c>
      <c r="B638">
        <v>3</v>
      </c>
      <c r="C638">
        <v>5</v>
      </c>
      <c r="D638">
        <v>2.9433333333333338</v>
      </c>
      <c r="E638">
        <v>3.2666666666666671</v>
      </c>
      <c r="F638">
        <v>2.4833333333333334</v>
      </c>
      <c r="G638" s="40">
        <v>0.27</v>
      </c>
      <c r="H638" s="40">
        <v>0.4</v>
      </c>
      <c r="I638" s="40">
        <v>0.32999999999999996</v>
      </c>
      <c r="J638">
        <v>2.95</v>
      </c>
      <c r="K638">
        <v>3.2</v>
      </c>
      <c r="L638">
        <v>2.5</v>
      </c>
      <c r="M638">
        <v>2.95</v>
      </c>
      <c r="N638">
        <v>3.35</v>
      </c>
      <c r="O638">
        <v>2.4500000000000002</v>
      </c>
      <c r="P638">
        <v>2.93</v>
      </c>
      <c r="Q638">
        <v>3.25</v>
      </c>
      <c r="R638">
        <v>2.5</v>
      </c>
      <c r="S638">
        <v>0.33297196840638071</v>
      </c>
      <c r="T638">
        <v>0.27412110887409014</v>
      </c>
      <c r="U638">
        <v>0.39290692271952926</v>
      </c>
      <c r="V638">
        <v>0.32418287745630486</v>
      </c>
      <c r="W638">
        <v>0.28547447417794014</v>
      </c>
      <c r="X638">
        <v>0.39034264836575489</v>
      </c>
      <c r="Y638">
        <v>0.32535789368305135</v>
      </c>
      <c r="Z638">
        <v>0.29332265492041248</v>
      </c>
      <c r="AA638">
        <v>0.38131945139653622</v>
      </c>
      <c r="AB638">
        <v>0.32750424651524562</v>
      </c>
      <c r="AC638">
        <v>0.28430607932414759</v>
      </c>
      <c r="AD638">
        <v>0.38818967416060679</v>
      </c>
      <c r="AE638" t="s">
        <v>275</v>
      </c>
      <c r="AF638" t="s">
        <v>26</v>
      </c>
      <c r="AG638">
        <v>97.1</v>
      </c>
      <c r="AH638">
        <v>28</v>
      </c>
      <c r="AI638">
        <v>18</v>
      </c>
      <c r="AJ638">
        <v>10</v>
      </c>
      <c r="AK638">
        <v>26</v>
      </c>
      <c r="AL638">
        <v>276</v>
      </c>
      <c r="AM638">
        <v>2599</v>
      </c>
      <c r="AN638">
        <v>73</v>
      </c>
      <c r="AO638">
        <v>74</v>
      </c>
      <c r="AP638">
        <v>74</v>
      </c>
      <c r="AQ638">
        <v>3.5</v>
      </c>
      <c r="AR638" t="s">
        <v>46</v>
      </c>
      <c r="AS638" t="s">
        <v>61</v>
      </c>
      <c r="AT638" t="s">
        <v>26</v>
      </c>
      <c r="AU638">
        <v>169.63</v>
      </c>
      <c r="AV638">
        <v>33</v>
      </c>
      <c r="AW638">
        <v>18</v>
      </c>
      <c r="AX638">
        <v>4</v>
      </c>
      <c r="AY638">
        <v>23.3</v>
      </c>
      <c r="AZ638">
        <v>671</v>
      </c>
      <c r="BA638">
        <v>828</v>
      </c>
      <c r="BB638">
        <v>74</v>
      </c>
      <c r="BC638">
        <v>73</v>
      </c>
      <c r="BD638">
        <v>72</v>
      </c>
      <c r="BE638">
        <v>3.5</v>
      </c>
      <c r="BF638" t="s">
        <v>29</v>
      </c>
      <c r="BG638">
        <v>8</v>
      </c>
      <c r="BH638">
        <v>36</v>
      </c>
      <c r="BI638">
        <v>0.45800000000000002</v>
      </c>
      <c r="BJ638" t="s">
        <v>273</v>
      </c>
      <c r="BK638">
        <v>0.30559999999999998</v>
      </c>
      <c r="BL638">
        <v>0.37840000000000001</v>
      </c>
      <c r="BM638">
        <v>1.19</v>
      </c>
      <c r="BN638">
        <v>1.59</v>
      </c>
    </row>
    <row r="639" spans="1:66" x14ac:dyDescent="0.25">
      <c r="A639">
        <v>3</v>
      </c>
      <c r="B639">
        <v>-1</v>
      </c>
      <c r="C639">
        <v>1</v>
      </c>
      <c r="D639">
        <v>2.1433333333333335</v>
      </c>
      <c r="E639">
        <v>3.15</v>
      </c>
      <c r="F639">
        <v>3.4333333333333336</v>
      </c>
      <c r="G639" s="40">
        <v>0.37</v>
      </c>
      <c r="H639" s="40">
        <v>0.34</v>
      </c>
      <c r="I639" s="40">
        <v>0.28999999999999998</v>
      </c>
      <c r="J639">
        <v>2.06</v>
      </c>
      <c r="K639">
        <v>3.1</v>
      </c>
      <c r="L639">
        <v>3.3</v>
      </c>
      <c r="M639">
        <v>2.2000000000000002</v>
      </c>
      <c r="N639">
        <v>3.2</v>
      </c>
      <c r="O639">
        <v>3.45</v>
      </c>
      <c r="P639">
        <v>2.17</v>
      </c>
      <c r="Q639">
        <v>3.15</v>
      </c>
      <c r="R639">
        <v>3.55</v>
      </c>
      <c r="S639">
        <v>0.44911895324960605</v>
      </c>
      <c r="T639">
        <v>0.27052194260063989</v>
      </c>
      <c r="U639">
        <v>0.28035910414975407</v>
      </c>
      <c r="V639">
        <v>0.43007401636151155</v>
      </c>
      <c r="W639">
        <v>0.29567588624853919</v>
      </c>
      <c r="X639">
        <v>0.27425009738994938</v>
      </c>
      <c r="Y639">
        <v>0.43475302762280588</v>
      </c>
      <c r="Z639">
        <v>0.29949653014015515</v>
      </c>
      <c r="AA639">
        <v>0.26575044223703909</v>
      </c>
      <c r="AB639">
        <v>0.43798199907797447</v>
      </c>
      <c r="AC639">
        <v>0.28856478632977806</v>
      </c>
      <c r="AD639">
        <v>0.27345321459224753</v>
      </c>
      <c r="AE639" t="s">
        <v>111</v>
      </c>
      <c r="AF639" t="s">
        <v>108</v>
      </c>
      <c r="AG639">
        <v>56.2</v>
      </c>
      <c r="AH639">
        <v>28</v>
      </c>
      <c r="AI639">
        <v>2</v>
      </c>
      <c r="AJ639">
        <v>2</v>
      </c>
      <c r="AK639">
        <v>25.9</v>
      </c>
      <c r="AL639">
        <v>15</v>
      </c>
      <c r="AM639">
        <v>9286</v>
      </c>
      <c r="AN639">
        <v>74</v>
      </c>
      <c r="AO639">
        <v>71</v>
      </c>
      <c r="AP639">
        <v>72</v>
      </c>
      <c r="AQ639">
        <v>3.5</v>
      </c>
      <c r="AR639" t="s">
        <v>29</v>
      </c>
      <c r="AS639" t="s">
        <v>114</v>
      </c>
      <c r="AT639" t="s">
        <v>108</v>
      </c>
      <c r="AU639">
        <v>59.75</v>
      </c>
      <c r="AV639">
        <v>40</v>
      </c>
      <c r="AW639">
        <v>3</v>
      </c>
      <c r="AX639">
        <v>0</v>
      </c>
      <c r="AY639">
        <v>24.7</v>
      </c>
      <c r="AZ639">
        <v>40</v>
      </c>
      <c r="BA639">
        <v>7098</v>
      </c>
      <c r="BB639">
        <v>74</v>
      </c>
      <c r="BC639">
        <v>72</v>
      </c>
      <c r="BD639">
        <v>73</v>
      </c>
      <c r="BE639">
        <v>3.5</v>
      </c>
      <c r="BF639" t="s">
        <v>29</v>
      </c>
      <c r="BG639">
        <v>-20</v>
      </c>
      <c r="BH639">
        <v>50</v>
      </c>
      <c r="BI639">
        <v>0.32600000000000001</v>
      </c>
      <c r="BJ639" t="s">
        <v>108</v>
      </c>
      <c r="BK639">
        <v>0.43940000000000001</v>
      </c>
      <c r="BL639">
        <v>0.39389999999999997</v>
      </c>
      <c r="BM639">
        <v>1.29</v>
      </c>
      <c r="BN639">
        <v>1.3</v>
      </c>
    </row>
    <row r="640" spans="1:66" x14ac:dyDescent="0.25">
      <c r="A640">
        <v>1</v>
      </c>
      <c r="B640">
        <v>1</v>
      </c>
      <c r="C640">
        <v>1</v>
      </c>
      <c r="D640">
        <v>2.273333333333333</v>
      </c>
      <c r="E640">
        <v>3.2833333333333332</v>
      </c>
      <c r="F640">
        <v>3.01</v>
      </c>
      <c r="G640" s="40">
        <v>0.31</v>
      </c>
      <c r="H640" s="40">
        <v>0.35</v>
      </c>
      <c r="I640" s="40">
        <v>0.33999999999999997</v>
      </c>
      <c r="J640">
        <v>2.2000000000000002</v>
      </c>
      <c r="K640">
        <v>3.25</v>
      </c>
      <c r="L640">
        <v>2.88</v>
      </c>
      <c r="M640">
        <v>2.2999999999999998</v>
      </c>
      <c r="N640">
        <v>3.3</v>
      </c>
      <c r="O640">
        <v>3.1</v>
      </c>
      <c r="P640">
        <v>2.3199999999999998</v>
      </c>
      <c r="Q640">
        <v>3.3</v>
      </c>
      <c r="R640">
        <v>3.05</v>
      </c>
      <c r="S640">
        <v>0.41881178320486456</v>
      </c>
      <c r="T640">
        <v>0.26126254906919716</v>
      </c>
      <c r="U640">
        <v>0.31992566772593822</v>
      </c>
      <c r="V640">
        <v>0.4100200400801603</v>
      </c>
      <c r="W640">
        <v>0.28577154308617231</v>
      </c>
      <c r="X640">
        <v>0.30420841683366728</v>
      </c>
      <c r="Y640">
        <v>0.40589587450094766</v>
      </c>
      <c r="Z640">
        <v>0.28535709964915112</v>
      </c>
      <c r="AA640">
        <v>0.30874702584990121</v>
      </c>
      <c r="AB640">
        <v>0.41157589926199084</v>
      </c>
      <c r="AC640">
        <v>0.27746373060150686</v>
      </c>
      <c r="AD640">
        <v>0.31096037013650224</v>
      </c>
      <c r="AE640" t="s">
        <v>107</v>
      </c>
      <c r="AF640" t="s">
        <v>108</v>
      </c>
      <c r="AG640">
        <v>148.6</v>
      </c>
      <c r="AH640">
        <v>32</v>
      </c>
      <c r="AI640">
        <v>2</v>
      </c>
      <c r="AJ640">
        <v>7</v>
      </c>
      <c r="AK640">
        <v>27.2</v>
      </c>
      <c r="AL640">
        <v>2</v>
      </c>
      <c r="AM640">
        <v>13486</v>
      </c>
      <c r="AN640">
        <v>77</v>
      </c>
      <c r="AO640">
        <v>75</v>
      </c>
      <c r="AP640">
        <v>75</v>
      </c>
      <c r="AQ640">
        <v>4</v>
      </c>
      <c r="AR640" t="s">
        <v>29</v>
      </c>
      <c r="AS640" t="s">
        <v>113</v>
      </c>
      <c r="AT640" t="s">
        <v>108</v>
      </c>
      <c r="AU640">
        <v>98.45</v>
      </c>
      <c r="AV640">
        <v>29</v>
      </c>
      <c r="AW640">
        <v>8</v>
      </c>
      <c r="AX640">
        <v>7</v>
      </c>
      <c r="AY640">
        <v>27.3</v>
      </c>
      <c r="AZ640">
        <v>33</v>
      </c>
      <c r="BA640">
        <v>7418</v>
      </c>
      <c r="BB640">
        <v>81</v>
      </c>
      <c r="BC640">
        <v>75</v>
      </c>
      <c r="BD640">
        <v>75</v>
      </c>
      <c r="BE640">
        <v>4</v>
      </c>
      <c r="BF640" t="s">
        <v>29</v>
      </c>
      <c r="BG640">
        <v>-16</v>
      </c>
      <c r="BH640">
        <v>50</v>
      </c>
      <c r="BI640">
        <v>0.32500000000000001</v>
      </c>
      <c r="BJ640" t="s">
        <v>108</v>
      </c>
      <c r="BK640">
        <v>0.62860000000000005</v>
      </c>
      <c r="BL640">
        <v>0.54390000000000005</v>
      </c>
      <c r="BM640">
        <v>1.87</v>
      </c>
      <c r="BN640">
        <v>1.68</v>
      </c>
    </row>
    <row r="641" spans="1:66" x14ac:dyDescent="0.25">
      <c r="A641">
        <v>3</v>
      </c>
      <c r="B641">
        <v>-2</v>
      </c>
      <c r="C641">
        <v>4</v>
      </c>
      <c r="D641">
        <v>2.9066666666666663</v>
      </c>
      <c r="E641">
        <v>3.1666666666666665</v>
      </c>
      <c r="F641">
        <v>2.41</v>
      </c>
      <c r="G641" s="40">
        <v>0.25</v>
      </c>
      <c r="H641" s="40">
        <v>0.26</v>
      </c>
      <c r="I641" s="40">
        <v>0.49</v>
      </c>
      <c r="J641">
        <v>2.85</v>
      </c>
      <c r="K641">
        <v>3.1</v>
      </c>
      <c r="L641">
        <v>2.2799999999999998</v>
      </c>
      <c r="M641">
        <v>2.95</v>
      </c>
      <c r="N641">
        <v>3.2</v>
      </c>
      <c r="O641">
        <v>2.5</v>
      </c>
      <c r="P641">
        <v>2.92</v>
      </c>
      <c r="Q641">
        <v>3.2</v>
      </c>
      <c r="R641">
        <v>2.4500000000000002</v>
      </c>
      <c r="S641">
        <v>0.32232666505985375</v>
      </c>
      <c r="T641">
        <v>0.27476500361532891</v>
      </c>
      <c r="U641">
        <v>0.40290833132481724</v>
      </c>
      <c r="V641">
        <v>0.32238565383840412</v>
      </c>
      <c r="W641">
        <v>0.29719927463227885</v>
      </c>
      <c r="X641">
        <v>0.38041507152931692</v>
      </c>
      <c r="Y641">
        <v>0.32213000246528067</v>
      </c>
      <c r="Z641">
        <v>0.29394362724956863</v>
      </c>
      <c r="AA641">
        <v>0.38392637028515081</v>
      </c>
      <c r="AB641">
        <v>0.3222807737878462</v>
      </c>
      <c r="AC641">
        <v>0.28863596849905876</v>
      </c>
      <c r="AD641">
        <v>0.38908325771309499</v>
      </c>
      <c r="AE641" t="s">
        <v>110</v>
      </c>
      <c r="AF641" t="s">
        <v>108</v>
      </c>
      <c r="AG641">
        <v>84.95</v>
      </c>
      <c r="AH641">
        <v>33</v>
      </c>
      <c r="AI641">
        <v>5</v>
      </c>
      <c r="AJ641">
        <v>4</v>
      </c>
      <c r="AK641">
        <v>26.9</v>
      </c>
      <c r="AL641">
        <v>9</v>
      </c>
      <c r="AM641">
        <v>10366</v>
      </c>
      <c r="AN641">
        <v>75</v>
      </c>
      <c r="AO641">
        <v>72</v>
      </c>
      <c r="AP641">
        <v>75</v>
      </c>
      <c r="AQ641">
        <v>3.5</v>
      </c>
      <c r="AR641" t="s">
        <v>29</v>
      </c>
      <c r="AS641" t="s">
        <v>109</v>
      </c>
      <c r="AT641" t="s">
        <v>108</v>
      </c>
      <c r="AU641">
        <v>143.19999999999999</v>
      </c>
      <c r="AV641">
        <v>31</v>
      </c>
      <c r="AW641">
        <v>3</v>
      </c>
      <c r="AX641">
        <v>4</v>
      </c>
      <c r="AY641">
        <v>27</v>
      </c>
      <c r="AZ641">
        <v>5</v>
      </c>
      <c r="BA641">
        <v>11026</v>
      </c>
      <c r="BB641">
        <v>74</v>
      </c>
      <c r="BC641">
        <v>76</v>
      </c>
      <c r="BD641">
        <v>74</v>
      </c>
      <c r="BE641">
        <v>3.5</v>
      </c>
      <c r="BF641" t="s">
        <v>29</v>
      </c>
      <c r="BG641">
        <v>-18</v>
      </c>
      <c r="BH641">
        <v>40</v>
      </c>
      <c r="BI641">
        <v>0.22</v>
      </c>
      <c r="BJ641" t="s">
        <v>108</v>
      </c>
      <c r="BK641">
        <v>0.47299999999999998</v>
      </c>
      <c r="BL641">
        <v>0.50649999999999995</v>
      </c>
      <c r="BM641">
        <v>1.36</v>
      </c>
      <c r="BN641">
        <v>1.65</v>
      </c>
    </row>
    <row r="642" spans="1:66" x14ac:dyDescent="0.25">
      <c r="A642">
        <v>1</v>
      </c>
      <c r="B642">
        <v>1</v>
      </c>
      <c r="C642">
        <v>1</v>
      </c>
      <c r="D642">
        <v>2.0866666666666664</v>
      </c>
      <c r="E642">
        <v>3.1833333333333336</v>
      </c>
      <c r="F642">
        <v>3.5333333333333332</v>
      </c>
      <c r="G642" s="40">
        <v>0.25</v>
      </c>
      <c r="H642" s="40">
        <v>0.45</v>
      </c>
      <c r="I642" s="40">
        <v>0.3</v>
      </c>
      <c r="J642">
        <v>2.04</v>
      </c>
      <c r="K642">
        <v>3.1</v>
      </c>
      <c r="L642">
        <v>3.35</v>
      </c>
      <c r="M642">
        <v>2.1</v>
      </c>
      <c r="N642">
        <v>3.25</v>
      </c>
      <c r="O642">
        <v>3.65</v>
      </c>
      <c r="P642">
        <v>2.12</v>
      </c>
      <c r="Q642">
        <v>3.2</v>
      </c>
      <c r="R642">
        <v>3.6</v>
      </c>
      <c r="S642">
        <v>0.4537807493177789</v>
      </c>
      <c r="T642">
        <v>0.2698870928887081</v>
      </c>
      <c r="U642">
        <v>0.27633215779351311</v>
      </c>
      <c r="V642">
        <v>0.45014704487240292</v>
      </c>
      <c r="W642">
        <v>0.29086424437909114</v>
      </c>
      <c r="X642">
        <v>0.25898871074850582</v>
      </c>
      <c r="Y642">
        <v>0.44417026526835285</v>
      </c>
      <c r="Z642">
        <v>0.29426280074028377</v>
      </c>
      <c r="AA642">
        <v>0.26156693399136338</v>
      </c>
      <c r="AB642">
        <v>0.44936601981951158</v>
      </c>
      <c r="AC642">
        <v>0.28500471266936095</v>
      </c>
      <c r="AD642">
        <v>0.26562926751112742</v>
      </c>
      <c r="AE642" t="s">
        <v>116</v>
      </c>
      <c r="AF642" t="s">
        <v>108</v>
      </c>
      <c r="AG642">
        <v>83.05</v>
      </c>
      <c r="AH642">
        <v>34</v>
      </c>
      <c r="AI642">
        <v>9</v>
      </c>
      <c r="AJ642">
        <v>5</v>
      </c>
      <c r="AK642">
        <v>26.4</v>
      </c>
      <c r="AL642">
        <v>75</v>
      </c>
      <c r="AM642">
        <v>5476</v>
      </c>
      <c r="AN642">
        <v>78</v>
      </c>
      <c r="AO642">
        <v>75</v>
      </c>
      <c r="AP642">
        <v>76</v>
      </c>
      <c r="AQ642">
        <v>4</v>
      </c>
      <c r="AR642" t="s">
        <v>29</v>
      </c>
      <c r="AS642" t="s">
        <v>112</v>
      </c>
      <c r="AT642" t="s">
        <v>108</v>
      </c>
      <c r="AU642">
        <v>59.75</v>
      </c>
      <c r="AV642">
        <v>28</v>
      </c>
      <c r="AW642">
        <v>8</v>
      </c>
      <c r="AX642">
        <v>4</v>
      </c>
      <c r="AY642">
        <v>26</v>
      </c>
      <c r="AZ642">
        <v>17</v>
      </c>
      <c r="BA642">
        <v>9035</v>
      </c>
      <c r="BB642">
        <v>71</v>
      </c>
      <c r="BC642">
        <v>75</v>
      </c>
      <c r="BD642">
        <v>75</v>
      </c>
      <c r="BE642">
        <v>3.5</v>
      </c>
      <c r="BF642" t="s">
        <v>29</v>
      </c>
      <c r="BG642">
        <v>-7</v>
      </c>
      <c r="BH642">
        <v>54</v>
      </c>
      <c r="BI642">
        <v>0.33300000000000002</v>
      </c>
      <c r="BJ642" t="s">
        <v>108</v>
      </c>
      <c r="BK642">
        <v>0.44619999999999999</v>
      </c>
      <c r="BL642">
        <v>0.52939999999999998</v>
      </c>
      <c r="BM642">
        <v>1.69</v>
      </c>
      <c r="BN642">
        <v>1.5</v>
      </c>
    </row>
    <row r="643" spans="1:66" x14ac:dyDescent="0.25">
      <c r="A643">
        <v>3</v>
      </c>
      <c r="B643">
        <v>-1</v>
      </c>
      <c r="C643">
        <v>3</v>
      </c>
      <c r="D643">
        <v>2.8166666666666664</v>
      </c>
      <c r="E643">
        <v>3.1166666666666667</v>
      </c>
      <c r="F643">
        <v>2.523333333333333</v>
      </c>
      <c r="G643" s="40">
        <v>0.19</v>
      </c>
      <c r="H643" s="40">
        <v>0.49</v>
      </c>
      <c r="I643" s="40">
        <v>0.32000000000000006</v>
      </c>
      <c r="J643">
        <v>2.63</v>
      </c>
      <c r="K643">
        <v>3.15</v>
      </c>
      <c r="L643">
        <v>2.5</v>
      </c>
      <c r="M643">
        <v>2.9</v>
      </c>
      <c r="N643">
        <v>3.1</v>
      </c>
      <c r="O643">
        <v>2.5499999999999998</v>
      </c>
      <c r="P643">
        <v>2.92</v>
      </c>
      <c r="Q643">
        <v>3.1</v>
      </c>
      <c r="R643">
        <v>2.52</v>
      </c>
      <c r="S643">
        <v>0.35420033820419394</v>
      </c>
      <c r="T643">
        <v>0.27318090600499412</v>
      </c>
      <c r="U643">
        <v>0.372618755790812</v>
      </c>
      <c r="V643">
        <v>0.32544256895841911</v>
      </c>
      <c r="W643">
        <v>0.30444627418690817</v>
      </c>
      <c r="X643">
        <v>0.37011115685467272</v>
      </c>
      <c r="Y643">
        <v>0.32251139441178417</v>
      </c>
      <c r="Z643">
        <v>0.30378492634916443</v>
      </c>
      <c r="AA643">
        <v>0.37370367923905146</v>
      </c>
      <c r="AB643">
        <v>0.33405143385813241</v>
      </c>
      <c r="AC643">
        <v>0.29380403551368889</v>
      </c>
      <c r="AD643">
        <v>0.37214453062817876</v>
      </c>
      <c r="AE643" t="s">
        <v>91</v>
      </c>
      <c r="AF643" t="s">
        <v>85</v>
      </c>
      <c r="AG643">
        <v>41.05</v>
      </c>
      <c r="AH643">
        <v>29</v>
      </c>
      <c r="AI643">
        <v>5</v>
      </c>
      <c r="AJ643">
        <v>3</v>
      </c>
      <c r="AK643">
        <v>27.6</v>
      </c>
      <c r="AL643">
        <v>97</v>
      </c>
      <c r="AM643">
        <v>4926</v>
      </c>
      <c r="AN643">
        <v>71</v>
      </c>
      <c r="AO643">
        <v>74</v>
      </c>
      <c r="AP643">
        <v>73</v>
      </c>
      <c r="AQ643">
        <v>3.5</v>
      </c>
      <c r="AR643" t="s">
        <v>29</v>
      </c>
      <c r="AS643" t="s">
        <v>341</v>
      </c>
      <c r="AT643" t="s">
        <v>85</v>
      </c>
      <c r="AU643">
        <v>28.25</v>
      </c>
      <c r="AV643">
        <v>30</v>
      </c>
      <c r="AW643">
        <v>5</v>
      </c>
      <c r="AX643">
        <v>0</v>
      </c>
      <c r="AY643">
        <v>26.1</v>
      </c>
      <c r="AZ643">
        <v>126</v>
      </c>
      <c r="BA643">
        <v>4236</v>
      </c>
      <c r="BB643">
        <v>74</v>
      </c>
      <c r="BC643">
        <v>71</v>
      </c>
      <c r="BD643">
        <v>71</v>
      </c>
      <c r="BE643">
        <v>3.5</v>
      </c>
      <c r="BF643" t="s">
        <v>28</v>
      </c>
      <c r="BG643">
        <v>0</v>
      </c>
      <c r="BH643">
        <v>7</v>
      </c>
      <c r="BI643">
        <v>0.14299999999999999</v>
      </c>
      <c r="BJ643" t="s">
        <v>85</v>
      </c>
      <c r="BK643">
        <v>0.42859999999999998</v>
      </c>
      <c r="BL643">
        <v>0.4239</v>
      </c>
      <c r="BM643">
        <v>1.35</v>
      </c>
      <c r="BN643">
        <v>1.29</v>
      </c>
    </row>
    <row r="644" spans="1:66" x14ac:dyDescent="0.25">
      <c r="A644">
        <v>3</v>
      </c>
      <c r="B644">
        <v>-1</v>
      </c>
      <c r="C644">
        <v>1</v>
      </c>
      <c r="D644">
        <v>2.3266666666666667</v>
      </c>
      <c r="E644">
        <v>3.1666666666666665</v>
      </c>
      <c r="F644">
        <v>3.0500000000000003</v>
      </c>
      <c r="G644" s="40">
        <v>0.32</v>
      </c>
      <c r="H644" s="40">
        <v>0.28999999999999998</v>
      </c>
      <c r="I644" s="40">
        <v>0.38999999999999996</v>
      </c>
      <c r="J644">
        <v>2.2999999999999998</v>
      </c>
      <c r="K644">
        <v>3.1</v>
      </c>
      <c r="L644">
        <v>2.95</v>
      </c>
      <c r="M644">
        <v>2.35</v>
      </c>
      <c r="N644">
        <v>3.2</v>
      </c>
      <c r="O644">
        <v>3.1</v>
      </c>
      <c r="P644">
        <v>2.33</v>
      </c>
      <c r="Q644">
        <v>3.2</v>
      </c>
      <c r="R644">
        <v>3.1</v>
      </c>
      <c r="S644">
        <v>0.40659266048816928</v>
      </c>
      <c r="T644">
        <v>0.27640289235156329</v>
      </c>
      <c r="U644">
        <v>0.31700444716026749</v>
      </c>
      <c r="V644">
        <v>0.40121334681496462</v>
      </c>
      <c r="W644">
        <v>0.29464105156723963</v>
      </c>
      <c r="X644">
        <v>0.3041456016177958</v>
      </c>
      <c r="Y644">
        <v>0.40326842554575387</v>
      </c>
      <c r="Z644">
        <v>0.293629822350502</v>
      </c>
      <c r="AA644">
        <v>0.30310175210374407</v>
      </c>
      <c r="AB644">
        <v>0.40369147761629592</v>
      </c>
      <c r="AC644">
        <v>0.28822458875643497</v>
      </c>
      <c r="AD644">
        <v>0.30808393362726916</v>
      </c>
      <c r="AE644" t="s">
        <v>89</v>
      </c>
      <c r="AF644" t="s">
        <v>85</v>
      </c>
      <c r="AG644">
        <v>31.6</v>
      </c>
      <c r="AH644">
        <v>27</v>
      </c>
      <c r="AI644">
        <v>3</v>
      </c>
      <c r="AJ644">
        <v>1</v>
      </c>
      <c r="AK644">
        <v>27.6</v>
      </c>
      <c r="AL644">
        <v>78</v>
      </c>
      <c r="AM644">
        <v>5364</v>
      </c>
      <c r="AN644">
        <v>71</v>
      </c>
      <c r="AO644">
        <v>71</v>
      </c>
      <c r="AP644">
        <v>72</v>
      </c>
      <c r="AQ644">
        <v>3.5</v>
      </c>
      <c r="AR644" t="s">
        <v>29</v>
      </c>
      <c r="AS644" t="s">
        <v>88</v>
      </c>
      <c r="AT644" t="s">
        <v>85</v>
      </c>
      <c r="AU644">
        <v>44.55</v>
      </c>
      <c r="AV644">
        <v>22</v>
      </c>
      <c r="AW644">
        <v>1</v>
      </c>
      <c r="AX644">
        <v>1</v>
      </c>
      <c r="AY644">
        <v>25.7</v>
      </c>
      <c r="AZ644">
        <v>69</v>
      </c>
      <c r="BA644">
        <v>5669</v>
      </c>
      <c r="BB644">
        <v>74</v>
      </c>
      <c r="BC644">
        <v>71</v>
      </c>
      <c r="BD644">
        <v>69</v>
      </c>
      <c r="BE644">
        <v>3</v>
      </c>
      <c r="BF644" t="s">
        <v>29</v>
      </c>
      <c r="BG644">
        <v>-5</v>
      </c>
      <c r="BH644">
        <v>37</v>
      </c>
      <c r="BI644">
        <v>0.37</v>
      </c>
      <c r="BJ644" t="s">
        <v>85</v>
      </c>
      <c r="BK644">
        <v>0.47499999999999998</v>
      </c>
      <c r="BL644">
        <v>0.41670000000000001</v>
      </c>
      <c r="BM644">
        <v>1</v>
      </c>
      <c r="BN644">
        <v>1.54</v>
      </c>
    </row>
    <row r="645" spans="1:66" x14ac:dyDescent="0.25">
      <c r="A645">
        <v>1</v>
      </c>
      <c r="B645">
        <v>1</v>
      </c>
      <c r="C645">
        <v>3</v>
      </c>
      <c r="D645">
        <v>3.6500000000000004</v>
      </c>
      <c r="E645">
        <v>3.2166666666666663</v>
      </c>
      <c r="F645">
        <v>2.0533333333333332</v>
      </c>
      <c r="G645" s="40">
        <v>0.14000000000000001</v>
      </c>
      <c r="H645" s="40">
        <v>0.31</v>
      </c>
      <c r="I645" s="40">
        <v>0.55000000000000004</v>
      </c>
      <c r="J645">
        <v>3.7</v>
      </c>
      <c r="K645">
        <v>3.15</v>
      </c>
      <c r="L645">
        <v>1.96</v>
      </c>
      <c r="M645">
        <v>3.65</v>
      </c>
      <c r="N645">
        <v>3.2</v>
      </c>
      <c r="O645">
        <v>2.1</v>
      </c>
      <c r="P645">
        <v>3.6</v>
      </c>
      <c r="Q645">
        <v>3.3</v>
      </c>
      <c r="R645">
        <v>2.1</v>
      </c>
      <c r="S645">
        <v>0.2551441125800894</v>
      </c>
      <c r="T645">
        <v>0.26320628714117039</v>
      </c>
      <c r="U645">
        <v>0.48164960027874026</v>
      </c>
      <c r="V645">
        <v>0.25781699597160945</v>
      </c>
      <c r="W645">
        <v>0.294072511030117</v>
      </c>
      <c r="X645">
        <v>0.44811049299827349</v>
      </c>
      <c r="Y645">
        <v>0.26279863481228671</v>
      </c>
      <c r="Z645">
        <v>0.28668941979522189</v>
      </c>
      <c r="AA645">
        <v>0.45051194539249145</v>
      </c>
      <c r="AB645">
        <v>0.25858658112132854</v>
      </c>
      <c r="AC645">
        <v>0.28132273932216978</v>
      </c>
      <c r="AD645">
        <v>0.46009067955650168</v>
      </c>
      <c r="AE645" t="s">
        <v>102</v>
      </c>
      <c r="AF645" t="s">
        <v>85</v>
      </c>
      <c r="AG645">
        <v>27.13</v>
      </c>
      <c r="AH645">
        <v>27</v>
      </c>
      <c r="AI645">
        <v>2</v>
      </c>
      <c r="AJ645">
        <v>0</v>
      </c>
      <c r="AK645">
        <v>25.3</v>
      </c>
      <c r="AL645">
        <v>232</v>
      </c>
      <c r="AM645">
        <v>3005</v>
      </c>
      <c r="AN645">
        <v>65</v>
      </c>
      <c r="AO645">
        <v>70</v>
      </c>
      <c r="AP645">
        <v>65</v>
      </c>
      <c r="AQ645">
        <v>3</v>
      </c>
      <c r="AR645" t="s">
        <v>46</v>
      </c>
      <c r="AS645" t="s">
        <v>92</v>
      </c>
      <c r="AT645" t="s">
        <v>85</v>
      </c>
      <c r="AU645">
        <v>64.430000000000007</v>
      </c>
      <c r="AV645">
        <v>26</v>
      </c>
      <c r="AW645">
        <v>3</v>
      </c>
      <c r="AX645">
        <v>1</v>
      </c>
      <c r="AY645">
        <v>26.8</v>
      </c>
      <c r="AZ645">
        <v>98</v>
      </c>
      <c r="BA645">
        <v>4872</v>
      </c>
      <c r="BB645">
        <v>74</v>
      </c>
      <c r="BC645">
        <v>73</v>
      </c>
      <c r="BD645">
        <v>73</v>
      </c>
      <c r="BE645">
        <v>3.5</v>
      </c>
      <c r="BF645" t="s">
        <v>28</v>
      </c>
      <c r="BG645">
        <v>-12</v>
      </c>
      <c r="BH645">
        <v>25</v>
      </c>
      <c r="BI645">
        <v>0.25</v>
      </c>
      <c r="BJ645" t="s">
        <v>85</v>
      </c>
      <c r="BK645">
        <v>0.3846</v>
      </c>
      <c r="BL645">
        <v>0.46810000000000002</v>
      </c>
      <c r="BM645">
        <v>1.1299999999999999</v>
      </c>
      <c r="BN645">
        <v>1.3</v>
      </c>
    </row>
    <row r="646" spans="1:66" x14ac:dyDescent="0.25">
      <c r="A646">
        <v>3</v>
      </c>
      <c r="B646">
        <v>-1</v>
      </c>
      <c r="C646">
        <v>1</v>
      </c>
      <c r="D646">
        <v>1.8033333333333335</v>
      </c>
      <c r="E646">
        <v>3.4</v>
      </c>
      <c r="F646">
        <v>4.45</v>
      </c>
      <c r="G646" s="40">
        <v>0.45</v>
      </c>
      <c r="H646" s="40">
        <v>0.35</v>
      </c>
      <c r="I646" s="40">
        <v>0.20000000000000007</v>
      </c>
      <c r="J646">
        <v>1.79</v>
      </c>
      <c r="K646">
        <v>3.25</v>
      </c>
      <c r="L646">
        <v>4.3499999999999996</v>
      </c>
      <c r="M646">
        <v>1.8</v>
      </c>
      <c r="N646">
        <v>3.5</v>
      </c>
      <c r="O646">
        <v>4.5</v>
      </c>
      <c r="P646">
        <v>1.82</v>
      </c>
      <c r="Q646">
        <v>3.45</v>
      </c>
      <c r="R646">
        <v>4.5</v>
      </c>
      <c r="S646">
        <v>0.53395002167056316</v>
      </c>
      <c r="T646">
        <v>0.24633261309028556</v>
      </c>
      <c r="U646">
        <v>0.21971736523915128</v>
      </c>
      <c r="V646">
        <v>0.52238805970149249</v>
      </c>
      <c r="W646">
        <v>0.26865671641791045</v>
      </c>
      <c r="X646">
        <v>0.20895522388059701</v>
      </c>
      <c r="Y646">
        <v>0.51760352070414084</v>
      </c>
      <c r="Z646">
        <v>0.27305461092218442</v>
      </c>
      <c r="AA646">
        <v>0.20934186837367474</v>
      </c>
      <c r="AB646">
        <v>0.5246472006920655</v>
      </c>
      <c r="AC646">
        <v>0.26268131347679347</v>
      </c>
      <c r="AD646">
        <v>0.21267148583114101</v>
      </c>
      <c r="AE646" t="s">
        <v>86</v>
      </c>
      <c r="AF646" t="s">
        <v>85</v>
      </c>
      <c r="AG646">
        <v>86.53</v>
      </c>
      <c r="AH646">
        <v>28</v>
      </c>
      <c r="AI646">
        <v>7</v>
      </c>
      <c r="AJ646">
        <v>8</v>
      </c>
      <c r="AK646">
        <v>26.1</v>
      </c>
      <c r="AL646">
        <v>10</v>
      </c>
      <c r="AM646">
        <v>9954</v>
      </c>
      <c r="AN646">
        <v>76</v>
      </c>
      <c r="AO646">
        <v>73</v>
      </c>
      <c r="AP646">
        <v>75</v>
      </c>
      <c r="AQ646">
        <v>4</v>
      </c>
      <c r="AR646" t="s">
        <v>46</v>
      </c>
      <c r="AS646" t="s">
        <v>100</v>
      </c>
      <c r="AT646" t="s">
        <v>85</v>
      </c>
      <c r="AU646">
        <v>15.1</v>
      </c>
      <c r="AV646">
        <v>31</v>
      </c>
      <c r="AW646">
        <v>4</v>
      </c>
      <c r="AX646">
        <v>0</v>
      </c>
      <c r="AY646">
        <v>26.5</v>
      </c>
      <c r="AZ646">
        <v>224</v>
      </c>
      <c r="BA646">
        <v>3048</v>
      </c>
      <c r="BB646">
        <v>69</v>
      </c>
      <c r="BC646">
        <v>68</v>
      </c>
      <c r="BD646">
        <v>68</v>
      </c>
      <c r="BE646">
        <v>2.5</v>
      </c>
      <c r="BF646" t="s">
        <v>46</v>
      </c>
      <c r="BG646">
        <v>20</v>
      </c>
      <c r="BH646">
        <v>43</v>
      </c>
      <c r="BI646">
        <v>0.46200000000000002</v>
      </c>
      <c r="BJ646" t="s">
        <v>85</v>
      </c>
      <c r="BK646">
        <v>0.54900000000000004</v>
      </c>
      <c r="BL646">
        <v>0.31580000000000003</v>
      </c>
      <c r="BM646">
        <v>1.47</v>
      </c>
      <c r="BN646">
        <v>1.21</v>
      </c>
    </row>
    <row r="647" spans="1:66" x14ac:dyDescent="0.25">
      <c r="A647">
        <v>1</v>
      </c>
      <c r="B647">
        <v>1</v>
      </c>
      <c r="C647">
        <v>1</v>
      </c>
      <c r="D647">
        <v>2.7533333333333334</v>
      </c>
      <c r="E647">
        <v>3.2833333333333332</v>
      </c>
      <c r="F647">
        <v>2.4666666666666663</v>
      </c>
      <c r="G647" s="40">
        <v>0.28000000000000003</v>
      </c>
      <c r="H647" s="40">
        <v>0.34</v>
      </c>
      <c r="I647" s="40">
        <v>0.37999999999999995</v>
      </c>
      <c r="J647">
        <v>2.7</v>
      </c>
      <c r="K647">
        <v>3.3</v>
      </c>
      <c r="L647">
        <v>2.33</v>
      </c>
      <c r="M647">
        <v>2.8</v>
      </c>
      <c r="N647">
        <v>3.25</v>
      </c>
      <c r="O647">
        <v>2.5499999999999998</v>
      </c>
      <c r="P647">
        <v>2.76</v>
      </c>
      <c r="Q647">
        <v>3.3</v>
      </c>
      <c r="R647">
        <v>2.52</v>
      </c>
      <c r="S647">
        <v>0.34320728012530727</v>
      </c>
      <c r="T647">
        <v>0.25908471286253398</v>
      </c>
      <c r="U647">
        <v>0.39770800701215864</v>
      </c>
      <c r="V647">
        <v>0.33788604627458979</v>
      </c>
      <c r="W647">
        <v>0.29110182448272348</v>
      </c>
      <c r="X647">
        <v>0.37101212924268678</v>
      </c>
      <c r="Y647">
        <v>0.34111045481393976</v>
      </c>
      <c r="Z647">
        <v>0.28529238038984051</v>
      </c>
      <c r="AA647">
        <v>0.37359716479621968</v>
      </c>
      <c r="AB647">
        <v>0.34073459373794557</v>
      </c>
      <c r="AC647">
        <v>0.27849297257836597</v>
      </c>
      <c r="AD647">
        <v>0.38077243368368835</v>
      </c>
      <c r="AE647" t="s">
        <v>90</v>
      </c>
      <c r="AF647" t="s">
        <v>85</v>
      </c>
      <c r="AG647">
        <v>29.75</v>
      </c>
      <c r="AH647">
        <v>24</v>
      </c>
      <c r="AI647">
        <v>3</v>
      </c>
      <c r="AJ647">
        <v>0</v>
      </c>
      <c r="AK647">
        <v>26.6</v>
      </c>
      <c r="AL647">
        <v>88</v>
      </c>
      <c r="AM647">
        <v>5121</v>
      </c>
      <c r="AN647">
        <v>73</v>
      </c>
      <c r="AO647">
        <v>71</v>
      </c>
      <c r="AP647">
        <v>71</v>
      </c>
      <c r="AQ647">
        <v>3.5</v>
      </c>
      <c r="AR647" t="s">
        <v>29</v>
      </c>
      <c r="AS647" t="s">
        <v>103</v>
      </c>
      <c r="AT647" t="s">
        <v>85</v>
      </c>
      <c r="AU647">
        <v>15.98</v>
      </c>
      <c r="AV647">
        <v>29</v>
      </c>
      <c r="AW647">
        <v>3</v>
      </c>
      <c r="AX647">
        <v>0</v>
      </c>
      <c r="AY647">
        <v>25.8</v>
      </c>
      <c r="AZ647">
        <v>235</v>
      </c>
      <c r="BA647">
        <v>2968</v>
      </c>
      <c r="BB647">
        <v>67</v>
      </c>
      <c r="BC647">
        <v>68</v>
      </c>
      <c r="BD647">
        <v>67</v>
      </c>
      <c r="BE647">
        <v>2.5</v>
      </c>
      <c r="BF647" t="s">
        <v>43</v>
      </c>
      <c r="BG647">
        <v>2</v>
      </c>
      <c r="BH647">
        <v>34</v>
      </c>
      <c r="BI647">
        <v>0.40899999999999997</v>
      </c>
      <c r="BJ647" t="s">
        <v>85</v>
      </c>
      <c r="BK647">
        <v>0.45950000000000002</v>
      </c>
      <c r="BL647">
        <v>0.22220000000000001</v>
      </c>
      <c r="BM647">
        <v>1.43</v>
      </c>
      <c r="BN647">
        <v>0.92</v>
      </c>
    </row>
    <row r="648" spans="1:66" x14ac:dyDescent="0.25">
      <c r="A648">
        <v>2</v>
      </c>
      <c r="B648">
        <v>0</v>
      </c>
      <c r="C648">
        <v>2</v>
      </c>
      <c r="D648">
        <v>3.7000000000000006</v>
      </c>
      <c r="E648">
        <v>3.3833333333333333</v>
      </c>
      <c r="F648">
        <v>1.97</v>
      </c>
      <c r="G648" s="40">
        <v>0.2</v>
      </c>
      <c r="H648" s="40">
        <v>0.34</v>
      </c>
      <c r="I648" s="40">
        <v>0.46</v>
      </c>
      <c r="J648">
        <v>3.7</v>
      </c>
      <c r="K648">
        <v>3.25</v>
      </c>
      <c r="L648">
        <v>1.91</v>
      </c>
      <c r="M648">
        <v>3.7</v>
      </c>
      <c r="N648">
        <v>3.45</v>
      </c>
      <c r="O648">
        <v>2</v>
      </c>
      <c r="P648">
        <v>3.7</v>
      </c>
      <c r="Q648">
        <v>3.45</v>
      </c>
      <c r="R648">
        <v>2</v>
      </c>
      <c r="S648">
        <v>0.25404744032247828</v>
      </c>
      <c r="T648">
        <v>0.25381877475963177</v>
      </c>
      <c r="U648">
        <v>0.49213378491788989</v>
      </c>
      <c r="V648">
        <v>0.25494180676150008</v>
      </c>
      <c r="W648">
        <v>0.27341585072972469</v>
      </c>
      <c r="X648">
        <v>0.47164234250877518</v>
      </c>
      <c r="Y648">
        <v>0.25494180676150008</v>
      </c>
      <c r="Z648">
        <v>0.27341585072972469</v>
      </c>
      <c r="AA648">
        <v>0.47164234250877518</v>
      </c>
      <c r="AB648">
        <v>0.25464368461515946</v>
      </c>
      <c r="AC648">
        <v>0.26688349207302703</v>
      </c>
      <c r="AD648">
        <v>0.4784728233118134</v>
      </c>
      <c r="AE648" t="s">
        <v>97</v>
      </c>
      <c r="AF648" t="s">
        <v>85</v>
      </c>
      <c r="AG648">
        <v>28.93</v>
      </c>
      <c r="AH648">
        <v>23</v>
      </c>
      <c r="AI648">
        <v>4</v>
      </c>
      <c r="AJ648">
        <v>0</v>
      </c>
      <c r="AK648">
        <v>26.5</v>
      </c>
      <c r="AL648">
        <v>151</v>
      </c>
      <c r="AM648">
        <v>3948</v>
      </c>
      <c r="AN648">
        <v>69</v>
      </c>
      <c r="AO648">
        <v>72</v>
      </c>
      <c r="AP648">
        <v>69</v>
      </c>
      <c r="AQ648">
        <v>3</v>
      </c>
      <c r="AR648" t="s">
        <v>29</v>
      </c>
      <c r="AS648" t="s">
        <v>84</v>
      </c>
      <c r="AT648" t="s">
        <v>85</v>
      </c>
      <c r="AU648">
        <v>103.93</v>
      </c>
      <c r="AV648">
        <v>29</v>
      </c>
      <c r="AW648">
        <v>5</v>
      </c>
      <c r="AX648">
        <v>6</v>
      </c>
      <c r="AY648">
        <v>27.7</v>
      </c>
      <c r="AZ648">
        <v>4</v>
      </c>
      <c r="BA648">
        <v>11425</v>
      </c>
      <c r="BB648">
        <v>76</v>
      </c>
      <c r="BC648">
        <v>76</v>
      </c>
      <c r="BD648">
        <v>75</v>
      </c>
      <c r="BE648">
        <v>4</v>
      </c>
      <c r="BF648" t="s">
        <v>29</v>
      </c>
      <c r="BG648">
        <v>0</v>
      </c>
      <c r="BH648">
        <v>48</v>
      </c>
      <c r="BI648">
        <v>0.438</v>
      </c>
      <c r="BJ648" t="s">
        <v>85</v>
      </c>
      <c r="BK648">
        <v>0.2571</v>
      </c>
      <c r="BL648">
        <v>0.64</v>
      </c>
      <c r="BM648">
        <v>0.83</v>
      </c>
      <c r="BN648">
        <v>2.08</v>
      </c>
    </row>
    <row r="649" spans="1:66" x14ac:dyDescent="0.25">
      <c r="A649">
        <v>1</v>
      </c>
      <c r="B649">
        <v>1</v>
      </c>
      <c r="C649">
        <v>1</v>
      </c>
      <c r="D649">
        <v>3.0333333333333332</v>
      </c>
      <c r="E649">
        <v>3.1833333333333336</v>
      </c>
      <c r="F649">
        <v>2.3433333333333333</v>
      </c>
      <c r="G649" s="40">
        <v>0.21</v>
      </c>
      <c r="H649" s="40">
        <v>0.4</v>
      </c>
      <c r="I649" s="40">
        <v>0.39</v>
      </c>
      <c r="J649">
        <v>3</v>
      </c>
      <c r="K649">
        <v>3.15</v>
      </c>
      <c r="L649">
        <v>2.23</v>
      </c>
      <c r="M649">
        <v>3.1</v>
      </c>
      <c r="N649">
        <v>3.2</v>
      </c>
      <c r="O649">
        <v>2.4</v>
      </c>
      <c r="P649">
        <v>3</v>
      </c>
      <c r="Q649">
        <v>3.2</v>
      </c>
      <c r="R649">
        <v>2.4</v>
      </c>
      <c r="S649">
        <v>0.31089304536418344</v>
      </c>
      <c r="T649">
        <v>0.27086518957189265</v>
      </c>
      <c r="U649">
        <v>0.41824176506392391</v>
      </c>
      <c r="V649">
        <v>0.30670926517571884</v>
      </c>
      <c r="W649">
        <v>0.29712460063897761</v>
      </c>
      <c r="X649">
        <v>0.39616613418530355</v>
      </c>
      <c r="Y649">
        <v>0.31372549019607848</v>
      </c>
      <c r="Z649">
        <v>0.29411764705882348</v>
      </c>
      <c r="AA649">
        <v>0.39215686274509809</v>
      </c>
      <c r="AB649">
        <v>0.31044260024532688</v>
      </c>
      <c r="AC649">
        <v>0.28736914575656458</v>
      </c>
      <c r="AD649">
        <v>0.40218825399810854</v>
      </c>
      <c r="AE649" t="s">
        <v>96</v>
      </c>
      <c r="AF649" t="s">
        <v>85</v>
      </c>
      <c r="AG649">
        <v>21.6</v>
      </c>
      <c r="AH649">
        <v>31</v>
      </c>
      <c r="AI649">
        <v>2</v>
      </c>
      <c r="AJ649">
        <v>0</v>
      </c>
      <c r="AK649">
        <v>26.5</v>
      </c>
      <c r="AL649">
        <v>146</v>
      </c>
      <c r="AM649">
        <v>4001</v>
      </c>
      <c r="AN649">
        <v>70</v>
      </c>
      <c r="AO649">
        <v>69</v>
      </c>
      <c r="AP649">
        <v>71</v>
      </c>
      <c r="AQ649">
        <v>3.5</v>
      </c>
      <c r="AR649" t="s">
        <v>29</v>
      </c>
      <c r="AS649" t="s">
        <v>87</v>
      </c>
      <c r="AT649" t="s">
        <v>85</v>
      </c>
      <c r="AU649">
        <v>41.68</v>
      </c>
      <c r="AV649">
        <v>25</v>
      </c>
      <c r="AW649">
        <v>4</v>
      </c>
      <c r="AX649">
        <v>0</v>
      </c>
      <c r="AY649">
        <v>26.2</v>
      </c>
      <c r="AZ649">
        <v>67</v>
      </c>
      <c r="BA649">
        <v>5744</v>
      </c>
      <c r="BB649">
        <v>73</v>
      </c>
      <c r="BC649">
        <v>74</v>
      </c>
      <c r="BD649">
        <v>71</v>
      </c>
      <c r="BE649">
        <v>3.5</v>
      </c>
      <c r="BF649" t="s">
        <v>29</v>
      </c>
      <c r="BG649">
        <v>-10</v>
      </c>
      <c r="BH649">
        <v>27</v>
      </c>
      <c r="BI649">
        <v>0.30399999999999999</v>
      </c>
      <c r="BJ649" t="s">
        <v>85</v>
      </c>
      <c r="BK649">
        <v>0.43240000000000001</v>
      </c>
      <c r="BL649">
        <v>0.42220000000000002</v>
      </c>
      <c r="BM649">
        <v>1.46</v>
      </c>
      <c r="BN649">
        <v>1.22</v>
      </c>
    </row>
    <row r="650" spans="1:66" x14ac:dyDescent="0.25">
      <c r="A650">
        <v>1</v>
      </c>
      <c r="B650">
        <v>2</v>
      </c>
      <c r="C650">
        <v>2</v>
      </c>
      <c r="D650">
        <v>3.0333333333333332</v>
      </c>
      <c r="E650">
        <v>3.1833333333333336</v>
      </c>
      <c r="F650">
        <v>2.3283333333333331</v>
      </c>
      <c r="G650" s="40">
        <v>0.26</v>
      </c>
      <c r="H650" s="40">
        <v>0.36</v>
      </c>
      <c r="I650" s="40">
        <v>0.38</v>
      </c>
      <c r="J650">
        <v>2.9</v>
      </c>
      <c r="K650">
        <v>3.15</v>
      </c>
      <c r="L650">
        <v>2.2799999999999998</v>
      </c>
      <c r="M650">
        <v>3.1</v>
      </c>
      <c r="N650">
        <v>3.2</v>
      </c>
      <c r="O650">
        <v>2.375</v>
      </c>
      <c r="P650">
        <v>3.1</v>
      </c>
      <c r="Q650">
        <v>3.2</v>
      </c>
      <c r="R650">
        <v>2.33</v>
      </c>
      <c r="S650">
        <v>0.32069441099848944</v>
      </c>
      <c r="T650">
        <v>0.27140480308237913</v>
      </c>
      <c r="U650">
        <v>0.40790078591913131</v>
      </c>
      <c r="V650">
        <v>0.30543554707123477</v>
      </c>
      <c r="W650">
        <v>0.29589068622525866</v>
      </c>
      <c r="X650">
        <v>0.39867376670350646</v>
      </c>
      <c r="Y650">
        <v>0.30310175210374407</v>
      </c>
      <c r="Z650">
        <v>0.293629822350502</v>
      </c>
      <c r="AA650">
        <v>0.40326842554575387</v>
      </c>
      <c r="AB650">
        <v>0.30974390339115615</v>
      </c>
      <c r="AC650">
        <v>0.28697510388604658</v>
      </c>
      <c r="AD650">
        <v>0.40328099272279722</v>
      </c>
      <c r="AE650" t="s">
        <v>104</v>
      </c>
      <c r="AF650" t="s">
        <v>85</v>
      </c>
      <c r="AG650">
        <v>8.68</v>
      </c>
      <c r="AH650">
        <v>32</v>
      </c>
      <c r="AI650">
        <v>5</v>
      </c>
      <c r="AJ650">
        <v>0</v>
      </c>
      <c r="AK650">
        <v>27.6</v>
      </c>
      <c r="AL650">
        <v>277</v>
      </c>
      <c r="AM650">
        <v>2592</v>
      </c>
      <c r="AN650">
        <v>65</v>
      </c>
      <c r="AO650">
        <v>66</v>
      </c>
      <c r="AP650">
        <v>66</v>
      </c>
      <c r="AQ650">
        <v>2.5</v>
      </c>
      <c r="AR650" t="s">
        <v>43</v>
      </c>
      <c r="AS650" t="s">
        <v>95</v>
      </c>
      <c r="AT650" t="s">
        <v>85</v>
      </c>
      <c r="AU650">
        <v>36.68</v>
      </c>
      <c r="AV650">
        <v>24</v>
      </c>
      <c r="AW650">
        <v>3</v>
      </c>
      <c r="AX650">
        <v>0</v>
      </c>
      <c r="AY650">
        <v>26.8</v>
      </c>
      <c r="AZ650">
        <v>130</v>
      </c>
      <c r="BA650">
        <v>4218</v>
      </c>
      <c r="BB650">
        <v>71</v>
      </c>
      <c r="BC650">
        <v>71</v>
      </c>
      <c r="BD650">
        <v>70</v>
      </c>
      <c r="BE650">
        <v>3.5</v>
      </c>
      <c r="BF650" t="s">
        <v>46</v>
      </c>
      <c r="BG650">
        <v>-2</v>
      </c>
      <c r="BH650">
        <v>8</v>
      </c>
      <c r="BI650">
        <v>0.4</v>
      </c>
      <c r="BJ650" t="s">
        <v>85</v>
      </c>
      <c r="BK650">
        <v>0.1842</v>
      </c>
      <c r="BL650">
        <v>0.32429999999999998</v>
      </c>
      <c r="BM650">
        <v>0.84</v>
      </c>
      <c r="BN650">
        <v>1.03</v>
      </c>
    </row>
    <row r="651" spans="1:66" x14ac:dyDescent="0.25">
      <c r="A651">
        <v>3</v>
      </c>
      <c r="B651">
        <v>-2</v>
      </c>
      <c r="C651">
        <v>2</v>
      </c>
      <c r="D651">
        <v>2.476666666666667</v>
      </c>
      <c r="E651">
        <v>3.4333333333333336</v>
      </c>
      <c r="F651">
        <v>2.8166666666666664</v>
      </c>
      <c r="G651" s="40">
        <v>0.31</v>
      </c>
      <c r="H651" s="40">
        <v>0.36</v>
      </c>
      <c r="I651" s="40">
        <v>0.32999999999999996</v>
      </c>
      <c r="J651">
        <v>2.48</v>
      </c>
      <c r="K651">
        <v>3.5</v>
      </c>
      <c r="L651">
        <v>2.8</v>
      </c>
      <c r="M651">
        <v>2.4500000000000002</v>
      </c>
      <c r="N651">
        <v>3.4</v>
      </c>
      <c r="O651">
        <v>2.8</v>
      </c>
      <c r="P651">
        <v>2.5</v>
      </c>
      <c r="Q651">
        <v>3.4</v>
      </c>
      <c r="R651">
        <v>2.85</v>
      </c>
      <c r="S651">
        <v>0.39725209080047791</v>
      </c>
      <c r="T651">
        <v>0.25089605734767018</v>
      </c>
      <c r="U651">
        <v>0.35185185185185186</v>
      </c>
      <c r="V651">
        <v>0.38526912181303113</v>
      </c>
      <c r="W651">
        <v>0.27762039660056659</v>
      </c>
      <c r="X651">
        <v>0.33711048158640228</v>
      </c>
      <c r="Y651">
        <v>0.38277700967805645</v>
      </c>
      <c r="Z651">
        <v>0.28145368358680622</v>
      </c>
      <c r="AA651">
        <v>0.33576930673513722</v>
      </c>
      <c r="AB651">
        <v>0.3884327407638552</v>
      </c>
      <c r="AC651">
        <v>0.26999004584501435</v>
      </c>
      <c r="AD651">
        <v>0.3415772133911304</v>
      </c>
      <c r="AE651" t="s">
        <v>260</v>
      </c>
      <c r="AF651" t="s">
        <v>253</v>
      </c>
      <c r="AG651">
        <v>550.1</v>
      </c>
      <c r="AH651">
        <v>28</v>
      </c>
      <c r="AI651">
        <v>18</v>
      </c>
      <c r="AJ651">
        <v>13</v>
      </c>
      <c r="AK651">
        <v>26.9</v>
      </c>
      <c r="AL651">
        <v>85</v>
      </c>
      <c r="AM651">
        <v>5188</v>
      </c>
      <c r="AN651">
        <v>80</v>
      </c>
      <c r="AO651">
        <v>81</v>
      </c>
      <c r="AP651">
        <v>79</v>
      </c>
      <c r="AQ651">
        <v>4.5</v>
      </c>
      <c r="AR651" t="s">
        <v>29</v>
      </c>
      <c r="AS651" t="s">
        <v>256</v>
      </c>
      <c r="AT651" t="s">
        <v>253</v>
      </c>
      <c r="AU651">
        <v>548.5</v>
      </c>
      <c r="AV651">
        <v>26</v>
      </c>
      <c r="AW651">
        <v>17</v>
      </c>
      <c r="AX651">
        <v>16</v>
      </c>
      <c r="AY651">
        <v>25.2</v>
      </c>
      <c r="AZ651">
        <v>25</v>
      </c>
      <c r="BA651">
        <v>7938</v>
      </c>
      <c r="BB651">
        <v>83</v>
      </c>
      <c r="BC651">
        <v>79</v>
      </c>
      <c r="BD651">
        <v>79</v>
      </c>
      <c r="BE651">
        <v>4.5</v>
      </c>
      <c r="BF651" t="s">
        <v>29</v>
      </c>
      <c r="BG651">
        <v>-39</v>
      </c>
      <c r="BH651">
        <v>71</v>
      </c>
      <c r="BI651">
        <v>0.22700000000000001</v>
      </c>
      <c r="BJ651" t="s">
        <v>267</v>
      </c>
      <c r="BK651">
        <v>0.56599999999999995</v>
      </c>
      <c r="BL651">
        <v>0.5</v>
      </c>
      <c r="BM651">
        <v>1.79</v>
      </c>
      <c r="BN651">
        <v>1.62</v>
      </c>
    </row>
    <row r="652" spans="1:66" x14ac:dyDescent="0.25">
      <c r="A652">
        <v>3</v>
      </c>
      <c r="B652">
        <v>-2</v>
      </c>
      <c r="C652">
        <v>2</v>
      </c>
      <c r="D652">
        <v>1.17</v>
      </c>
      <c r="E652">
        <v>7.5</v>
      </c>
      <c r="F652">
        <v>17</v>
      </c>
      <c r="G652" s="40">
        <v>0.62</v>
      </c>
      <c r="H652" s="40">
        <v>0.32</v>
      </c>
      <c r="I652" s="40">
        <v>0.06</v>
      </c>
      <c r="J652">
        <v>1.1599999999999999</v>
      </c>
      <c r="K652">
        <v>8</v>
      </c>
      <c r="L652">
        <v>19</v>
      </c>
      <c r="M652">
        <v>1.19</v>
      </c>
      <c r="N652">
        <v>6.5</v>
      </c>
      <c r="O652">
        <v>15</v>
      </c>
      <c r="P652">
        <v>1.1599999999999999</v>
      </c>
      <c r="Q652">
        <v>8</v>
      </c>
      <c r="R652">
        <v>17</v>
      </c>
      <c r="S652">
        <v>0.87798262038504005</v>
      </c>
      <c r="T652">
        <v>6.8414230159873246E-2</v>
      </c>
      <c r="U652">
        <v>5.3603149455086652E-2</v>
      </c>
      <c r="V652">
        <v>0.79213551610675548</v>
      </c>
      <c r="W652">
        <v>0.14502173294877521</v>
      </c>
      <c r="X652">
        <v>6.2842750944469256E-2</v>
      </c>
      <c r="Y652">
        <v>0.82424242424242422</v>
      </c>
      <c r="Z652">
        <v>0.11951515151515152</v>
      </c>
      <c r="AA652">
        <v>5.624242424242424E-2</v>
      </c>
      <c r="AB652">
        <v>0.83145352024473995</v>
      </c>
      <c r="AC652">
        <v>0.11098370487460001</v>
      </c>
      <c r="AD652">
        <v>5.7562774880660049E-2</v>
      </c>
      <c r="AE652" t="s">
        <v>254</v>
      </c>
      <c r="AF652" t="s">
        <v>253</v>
      </c>
      <c r="AG652">
        <v>1040</v>
      </c>
      <c r="AH652">
        <v>22</v>
      </c>
      <c r="AI652">
        <v>16</v>
      </c>
      <c r="AJ652">
        <v>19</v>
      </c>
      <c r="AK652">
        <v>27.6</v>
      </c>
      <c r="AL652">
        <v>8</v>
      </c>
      <c r="AM652">
        <v>10390</v>
      </c>
      <c r="AN652">
        <v>85</v>
      </c>
      <c r="AO652">
        <v>86</v>
      </c>
      <c r="AP652">
        <v>83</v>
      </c>
      <c r="AQ652">
        <v>5</v>
      </c>
      <c r="AR652" t="s">
        <v>28</v>
      </c>
      <c r="AS652" t="s">
        <v>342</v>
      </c>
      <c r="AT652" t="s">
        <v>253</v>
      </c>
      <c r="AU652">
        <v>239.45</v>
      </c>
      <c r="AV652">
        <v>26</v>
      </c>
      <c r="AW652">
        <v>14</v>
      </c>
      <c r="AX652">
        <v>7</v>
      </c>
      <c r="AY652">
        <v>27.4</v>
      </c>
      <c r="AZ652">
        <v>135</v>
      </c>
      <c r="BA652">
        <v>4146</v>
      </c>
      <c r="BB652">
        <v>77</v>
      </c>
      <c r="BC652">
        <v>75</v>
      </c>
      <c r="BD652">
        <v>75</v>
      </c>
      <c r="BE652">
        <v>4</v>
      </c>
      <c r="BF652" t="s">
        <v>29</v>
      </c>
      <c r="BG652">
        <v>48</v>
      </c>
      <c r="BH652">
        <v>93</v>
      </c>
      <c r="BI652">
        <v>0.58299999999999996</v>
      </c>
      <c r="BJ652" t="s">
        <v>267</v>
      </c>
      <c r="BK652">
        <v>0.77049999999999996</v>
      </c>
      <c r="BL652">
        <v>0.3</v>
      </c>
      <c r="BM652">
        <v>2.15</v>
      </c>
      <c r="BN652">
        <v>1.03</v>
      </c>
    </row>
    <row r="653" spans="1:66" x14ac:dyDescent="0.25">
      <c r="A653">
        <v>3</v>
      </c>
      <c r="B653">
        <v>-3</v>
      </c>
      <c r="C653">
        <v>3</v>
      </c>
      <c r="D653">
        <v>8.4666666666666668</v>
      </c>
      <c r="E653">
        <v>4.75</v>
      </c>
      <c r="F653">
        <v>1.3866666666666667</v>
      </c>
      <c r="G653" s="40">
        <v>0.12</v>
      </c>
      <c r="H653" s="40">
        <v>0.23</v>
      </c>
      <c r="I653" s="40">
        <v>0.65</v>
      </c>
      <c r="J653">
        <v>9.5</v>
      </c>
      <c r="K653">
        <v>4.9000000000000004</v>
      </c>
      <c r="L653">
        <v>1.37</v>
      </c>
      <c r="M653">
        <v>7.5</v>
      </c>
      <c r="N653">
        <v>4.5</v>
      </c>
      <c r="O653">
        <v>1.41</v>
      </c>
      <c r="P653">
        <v>8.4</v>
      </c>
      <c r="Q653">
        <v>4.8499999999999996</v>
      </c>
      <c r="R653">
        <v>1.38</v>
      </c>
      <c r="S653">
        <v>0.10899116783945077</v>
      </c>
      <c r="T653">
        <v>0.13523066101107303</v>
      </c>
      <c r="U653">
        <v>0.7557781711494761</v>
      </c>
      <c r="V653">
        <v>0.12522202486678508</v>
      </c>
      <c r="W653">
        <v>0.20870337477797513</v>
      </c>
      <c r="X653">
        <v>0.6660746003552398</v>
      </c>
      <c r="Y653">
        <v>0.11339263024142313</v>
      </c>
      <c r="Z653">
        <v>0.19639135959339266</v>
      </c>
      <c r="AA653">
        <v>0.6902160101651843</v>
      </c>
      <c r="AB653">
        <v>0.11586860764921965</v>
      </c>
      <c r="AC653">
        <v>0.18010846512748027</v>
      </c>
      <c r="AD653">
        <v>0.70402292722330007</v>
      </c>
      <c r="AE653" t="s">
        <v>263</v>
      </c>
      <c r="AF653" t="s">
        <v>253</v>
      </c>
      <c r="AG653">
        <v>242.9</v>
      </c>
      <c r="AH653">
        <v>26</v>
      </c>
      <c r="AI653">
        <v>15</v>
      </c>
      <c r="AJ653">
        <v>8</v>
      </c>
      <c r="AK653">
        <v>27.8</v>
      </c>
      <c r="AL653">
        <v>156</v>
      </c>
      <c r="AM653">
        <v>3890</v>
      </c>
      <c r="AN653">
        <v>77</v>
      </c>
      <c r="AO653">
        <v>75</v>
      </c>
      <c r="AP653">
        <v>74</v>
      </c>
      <c r="AQ653">
        <v>4</v>
      </c>
      <c r="AR653" t="s">
        <v>46</v>
      </c>
      <c r="AS653" t="s">
        <v>255</v>
      </c>
      <c r="AT653" t="s">
        <v>253</v>
      </c>
      <c r="AU653">
        <v>882.5</v>
      </c>
      <c r="AV653">
        <v>27</v>
      </c>
      <c r="AW653">
        <v>18</v>
      </c>
      <c r="AX653">
        <v>17</v>
      </c>
      <c r="AY653">
        <v>26.7</v>
      </c>
      <c r="AZ653">
        <v>19</v>
      </c>
      <c r="BA653">
        <v>8832</v>
      </c>
      <c r="BB653">
        <v>82</v>
      </c>
      <c r="BC653">
        <v>84</v>
      </c>
      <c r="BD653">
        <v>82</v>
      </c>
      <c r="BE653">
        <v>4.5</v>
      </c>
      <c r="BF653" t="s">
        <v>28</v>
      </c>
      <c r="BG653">
        <v>-35</v>
      </c>
      <c r="BH653">
        <v>97</v>
      </c>
      <c r="BI653">
        <v>0.255</v>
      </c>
      <c r="BJ653" t="s">
        <v>267</v>
      </c>
      <c r="BK653">
        <v>0.3256</v>
      </c>
      <c r="BL653">
        <v>0.57630000000000003</v>
      </c>
      <c r="BM653">
        <v>1.28</v>
      </c>
      <c r="BN653">
        <v>1.68</v>
      </c>
    </row>
    <row r="654" spans="1:66" x14ac:dyDescent="0.25">
      <c r="A654">
        <v>3</v>
      </c>
      <c r="B654">
        <v>-3</v>
      </c>
      <c r="C654">
        <v>3</v>
      </c>
      <c r="D654">
        <v>2.91</v>
      </c>
      <c r="E654">
        <v>3.5166666666666671</v>
      </c>
      <c r="F654">
        <v>2.375</v>
      </c>
      <c r="G654" s="40">
        <v>0.33</v>
      </c>
      <c r="H654" s="40">
        <v>0.3</v>
      </c>
      <c r="I654" s="40">
        <v>0.36999999999999994</v>
      </c>
      <c r="J654">
        <v>3</v>
      </c>
      <c r="K654">
        <v>3.55</v>
      </c>
      <c r="L654">
        <v>2.35</v>
      </c>
      <c r="M654">
        <v>2.85</v>
      </c>
      <c r="N654">
        <v>3.5</v>
      </c>
      <c r="O654">
        <v>2.375</v>
      </c>
      <c r="P654">
        <v>2.88</v>
      </c>
      <c r="Q654">
        <v>3.5</v>
      </c>
      <c r="R654">
        <v>2.4</v>
      </c>
      <c r="S654">
        <v>0.33074429877069522</v>
      </c>
      <c r="T654">
        <v>0.24702893684118316</v>
      </c>
      <c r="U654">
        <v>0.42222676438812157</v>
      </c>
      <c r="V654">
        <v>0.33175355450236971</v>
      </c>
      <c r="W654">
        <v>0.27014218009478674</v>
      </c>
      <c r="X654">
        <v>0.3981042654028436</v>
      </c>
      <c r="Y654">
        <v>0.33081285444234404</v>
      </c>
      <c r="Z654">
        <v>0.27221172022684309</v>
      </c>
      <c r="AA654">
        <v>0.39697542533081287</v>
      </c>
      <c r="AB654">
        <v>0.33110356923846967</v>
      </c>
      <c r="AC654">
        <v>0.26312761238760429</v>
      </c>
      <c r="AD654">
        <v>0.40576881837392603</v>
      </c>
      <c r="AE654" t="s">
        <v>259</v>
      </c>
      <c r="AF654" t="s">
        <v>253</v>
      </c>
      <c r="AG654">
        <v>692</v>
      </c>
      <c r="AH654">
        <v>33</v>
      </c>
      <c r="AI654">
        <v>16</v>
      </c>
      <c r="AJ654">
        <v>18</v>
      </c>
      <c r="AK654">
        <v>25.7</v>
      </c>
      <c r="AL654">
        <v>42</v>
      </c>
      <c r="AM654">
        <v>6821</v>
      </c>
      <c r="AN654">
        <v>89</v>
      </c>
      <c r="AO654">
        <v>82</v>
      </c>
      <c r="AP654">
        <v>81</v>
      </c>
      <c r="AQ654">
        <v>4.5</v>
      </c>
      <c r="AR654" t="s">
        <v>29</v>
      </c>
      <c r="AS654" t="s">
        <v>258</v>
      </c>
      <c r="AT654" t="s">
        <v>253</v>
      </c>
      <c r="AU654">
        <v>937.25</v>
      </c>
      <c r="AV654">
        <v>28</v>
      </c>
      <c r="AW654">
        <v>17</v>
      </c>
      <c r="AX654">
        <v>21</v>
      </c>
      <c r="AY654">
        <v>27.9</v>
      </c>
      <c r="AZ654">
        <v>39</v>
      </c>
      <c r="BA654">
        <v>7151</v>
      </c>
      <c r="BB654">
        <v>83</v>
      </c>
      <c r="BC654">
        <v>82</v>
      </c>
      <c r="BD654">
        <v>82</v>
      </c>
      <c r="BE654">
        <v>4.5</v>
      </c>
      <c r="BF654" t="s">
        <v>29</v>
      </c>
      <c r="BG654">
        <v>-60</v>
      </c>
      <c r="BH654">
        <v>124</v>
      </c>
      <c r="BI654">
        <v>0.246</v>
      </c>
      <c r="BJ654" t="s">
        <v>267</v>
      </c>
      <c r="BK654">
        <v>0.54239999999999999</v>
      </c>
      <c r="BL654">
        <v>0.57379999999999998</v>
      </c>
      <c r="BM654">
        <v>2.1</v>
      </c>
      <c r="BN654">
        <v>1.98</v>
      </c>
    </row>
    <row r="655" spans="1:66" x14ac:dyDescent="0.25">
      <c r="A655">
        <v>1</v>
      </c>
      <c r="B655">
        <v>1</v>
      </c>
      <c r="C655">
        <v>3</v>
      </c>
      <c r="D655">
        <v>2.0166666666666666</v>
      </c>
      <c r="E655">
        <v>3.3000000000000003</v>
      </c>
      <c r="F655">
        <v>3.8666666666666671</v>
      </c>
      <c r="G655" s="40">
        <v>0.3</v>
      </c>
      <c r="H655" s="40">
        <v>0.41</v>
      </c>
      <c r="I655" s="40">
        <v>0.28999999999999998</v>
      </c>
      <c r="J655">
        <v>1.98</v>
      </c>
      <c r="K655">
        <v>3.3</v>
      </c>
      <c r="L655">
        <v>4</v>
      </c>
      <c r="M655">
        <v>2.0499999999999998</v>
      </c>
      <c r="N655">
        <v>3.35</v>
      </c>
      <c r="O655">
        <v>3.7</v>
      </c>
      <c r="P655">
        <v>2.02</v>
      </c>
      <c r="Q655">
        <v>3.25</v>
      </c>
      <c r="R655">
        <v>3.9</v>
      </c>
      <c r="S655">
        <v>0.49911117188568305</v>
      </c>
      <c r="T655">
        <v>0.25382879803090391</v>
      </c>
      <c r="U655">
        <v>0.2470600300834131</v>
      </c>
      <c r="V655">
        <v>0.46168172083061748</v>
      </c>
      <c r="W655">
        <v>0.28252165006052704</v>
      </c>
      <c r="X655">
        <v>0.25579662910885559</v>
      </c>
      <c r="Y655">
        <v>0.46740172579098754</v>
      </c>
      <c r="Z655">
        <v>0.29050814956855225</v>
      </c>
      <c r="AA655">
        <v>0.2420901246404602</v>
      </c>
      <c r="AB655">
        <v>0.47606487283576265</v>
      </c>
      <c r="AC655">
        <v>0.27561953255332772</v>
      </c>
      <c r="AD655">
        <v>0.2483155946109096</v>
      </c>
      <c r="AE655" t="s">
        <v>76</v>
      </c>
      <c r="AF655" t="s">
        <v>63</v>
      </c>
      <c r="AG655">
        <v>10.15</v>
      </c>
      <c r="AH655">
        <v>30</v>
      </c>
      <c r="AI655">
        <v>3</v>
      </c>
      <c r="AJ655">
        <v>0</v>
      </c>
      <c r="AK655">
        <v>27.4</v>
      </c>
      <c r="AL655">
        <v>349</v>
      </c>
      <c r="AM655">
        <v>2119</v>
      </c>
      <c r="AN655">
        <v>59</v>
      </c>
      <c r="AO655">
        <v>64</v>
      </c>
      <c r="AP655">
        <v>65</v>
      </c>
      <c r="AQ655">
        <v>2</v>
      </c>
      <c r="AR655" t="s">
        <v>29</v>
      </c>
      <c r="AS655" t="s">
        <v>77</v>
      </c>
      <c r="AT655" t="s">
        <v>63</v>
      </c>
      <c r="AU655">
        <v>8.4</v>
      </c>
      <c r="AV655">
        <v>32</v>
      </c>
      <c r="AW655">
        <v>3</v>
      </c>
      <c r="AX655">
        <v>0</v>
      </c>
      <c r="AY655">
        <v>23.6</v>
      </c>
      <c r="AZ655">
        <v>362</v>
      </c>
      <c r="BA655">
        <v>2071</v>
      </c>
      <c r="BB655">
        <v>65</v>
      </c>
      <c r="BC655">
        <v>66</v>
      </c>
      <c r="BD655">
        <v>61</v>
      </c>
      <c r="BE655">
        <v>2</v>
      </c>
      <c r="BF655" t="s">
        <v>46</v>
      </c>
      <c r="BG655">
        <v>-4</v>
      </c>
      <c r="BH655">
        <v>14</v>
      </c>
      <c r="BI655">
        <v>0.25</v>
      </c>
      <c r="BJ655" t="s">
        <v>63</v>
      </c>
      <c r="BK655">
        <v>0.2727</v>
      </c>
      <c r="BL655">
        <v>0.26090000000000002</v>
      </c>
      <c r="BM655">
        <v>0.82</v>
      </c>
      <c r="BN655">
        <v>1.22</v>
      </c>
    </row>
    <row r="656" spans="1:66" x14ac:dyDescent="0.25">
      <c r="A656">
        <v>3</v>
      </c>
      <c r="B656">
        <v>-1</v>
      </c>
      <c r="C656">
        <v>1</v>
      </c>
      <c r="D656">
        <v>1.67</v>
      </c>
      <c r="E656">
        <v>3.5</v>
      </c>
      <c r="F656">
        <v>5.6333333333333329</v>
      </c>
      <c r="G656" s="40">
        <v>0.51</v>
      </c>
      <c r="H656" s="40">
        <v>0.3</v>
      </c>
      <c r="I656" s="40">
        <v>0.19</v>
      </c>
      <c r="J656">
        <v>1.65</v>
      </c>
      <c r="K656">
        <v>3.5</v>
      </c>
      <c r="L656">
        <v>5.8</v>
      </c>
      <c r="M656">
        <v>1.68</v>
      </c>
      <c r="N656">
        <v>3.55</v>
      </c>
      <c r="O656">
        <v>5.5</v>
      </c>
      <c r="P656">
        <v>1.68</v>
      </c>
      <c r="Q656">
        <v>3.45</v>
      </c>
      <c r="R656">
        <v>5.6</v>
      </c>
      <c r="S656">
        <v>0.61000848176420697</v>
      </c>
      <c r="T656">
        <v>0.21645462256149275</v>
      </c>
      <c r="U656">
        <v>0.17353689567430022</v>
      </c>
      <c r="V656">
        <v>0.5622102565579199</v>
      </c>
      <c r="W656">
        <v>0.26606006507529734</v>
      </c>
      <c r="X656">
        <v>0.1717296783667828</v>
      </c>
      <c r="Y656">
        <v>0.55961070559610704</v>
      </c>
      <c r="Z656">
        <v>0.27250608272506077</v>
      </c>
      <c r="AA656">
        <v>0.16788321167883211</v>
      </c>
      <c r="AB656">
        <v>0.577276481306078</v>
      </c>
      <c r="AC656">
        <v>0.25167359012061691</v>
      </c>
      <c r="AD656">
        <v>0.17104992857330503</v>
      </c>
      <c r="AE656" t="s">
        <v>70</v>
      </c>
      <c r="AF656" t="s">
        <v>63</v>
      </c>
      <c r="AG656">
        <v>16.38</v>
      </c>
      <c r="AH656">
        <v>28</v>
      </c>
      <c r="AI656">
        <v>1</v>
      </c>
      <c r="AJ656">
        <v>3</v>
      </c>
      <c r="AK656">
        <v>25.3</v>
      </c>
      <c r="AL656">
        <v>200</v>
      </c>
      <c r="AM656">
        <v>3276</v>
      </c>
      <c r="AN656">
        <v>69</v>
      </c>
      <c r="AO656">
        <v>63</v>
      </c>
      <c r="AP656">
        <v>65</v>
      </c>
      <c r="AQ656">
        <v>2</v>
      </c>
      <c r="AR656" t="s">
        <v>29</v>
      </c>
      <c r="AS656" t="s">
        <v>71</v>
      </c>
      <c r="AT656" t="s">
        <v>63</v>
      </c>
      <c r="AU656">
        <v>11.5</v>
      </c>
      <c r="AV656">
        <v>28</v>
      </c>
      <c r="AW656">
        <v>3</v>
      </c>
      <c r="AX656">
        <v>0</v>
      </c>
      <c r="AY656">
        <v>27</v>
      </c>
      <c r="AZ656">
        <v>205</v>
      </c>
      <c r="BA656">
        <v>3223</v>
      </c>
      <c r="BB656">
        <v>65</v>
      </c>
      <c r="BC656">
        <v>67</v>
      </c>
      <c r="BD656">
        <v>63</v>
      </c>
      <c r="BE656">
        <v>2</v>
      </c>
      <c r="BF656" t="s">
        <v>29</v>
      </c>
      <c r="BG656">
        <v>11</v>
      </c>
      <c r="BH656">
        <v>50</v>
      </c>
      <c r="BI656">
        <v>0.48299999999999998</v>
      </c>
      <c r="BJ656" t="s">
        <v>63</v>
      </c>
      <c r="BK656">
        <v>0.36</v>
      </c>
      <c r="BL656">
        <v>0.38479999999999998</v>
      </c>
      <c r="BM656">
        <v>1.44</v>
      </c>
      <c r="BN656">
        <v>1.42</v>
      </c>
    </row>
    <row r="657" spans="1:66" x14ac:dyDescent="0.25">
      <c r="A657">
        <v>2</v>
      </c>
      <c r="B657">
        <v>0</v>
      </c>
      <c r="C657">
        <v>2</v>
      </c>
      <c r="D657">
        <v>1.8466666666666667</v>
      </c>
      <c r="E657">
        <v>3.3333333333333335</v>
      </c>
      <c r="F657">
        <v>4.6499999999999995</v>
      </c>
      <c r="G657" s="40">
        <v>0.4</v>
      </c>
      <c r="H657" s="40">
        <v>0.33</v>
      </c>
      <c r="I657" s="40">
        <v>0.26999999999999996</v>
      </c>
      <c r="J657">
        <v>1.79</v>
      </c>
      <c r="K657">
        <v>3.5</v>
      </c>
      <c r="L657">
        <v>4.75</v>
      </c>
      <c r="M657">
        <v>1.93</v>
      </c>
      <c r="N657">
        <v>3.1</v>
      </c>
      <c r="O657">
        <v>4.5999999999999996</v>
      </c>
      <c r="P657">
        <v>1.82</v>
      </c>
      <c r="Q657">
        <v>3.4</v>
      </c>
      <c r="R657">
        <v>4.5999999999999996</v>
      </c>
      <c r="S657">
        <v>0.55908027053202891</v>
      </c>
      <c r="T657">
        <v>0.23023474330958557</v>
      </c>
      <c r="U657">
        <v>0.21068498615838563</v>
      </c>
      <c r="V657">
        <v>0.4896809862298685</v>
      </c>
      <c r="W657">
        <v>0.30486590433020844</v>
      </c>
      <c r="X657">
        <v>0.20545310943992309</v>
      </c>
      <c r="Y657">
        <v>0.51788079470198678</v>
      </c>
      <c r="Z657">
        <v>0.27721854304635762</v>
      </c>
      <c r="AA657">
        <v>0.20490066225165565</v>
      </c>
      <c r="AB657">
        <v>0.52221401715462801</v>
      </c>
      <c r="AC657">
        <v>0.27077306356205055</v>
      </c>
      <c r="AD657">
        <v>0.20701291928332144</v>
      </c>
      <c r="AE657" t="s">
        <v>73</v>
      </c>
      <c r="AF657" t="s">
        <v>63</v>
      </c>
      <c r="AG657">
        <v>11.68</v>
      </c>
      <c r="AH657">
        <v>34</v>
      </c>
      <c r="AI657">
        <v>4</v>
      </c>
      <c r="AJ657">
        <v>1</v>
      </c>
      <c r="AK657">
        <v>25.7</v>
      </c>
      <c r="AL657">
        <v>237</v>
      </c>
      <c r="AM657">
        <v>2952</v>
      </c>
      <c r="AN657">
        <v>69</v>
      </c>
      <c r="AO657">
        <v>68</v>
      </c>
      <c r="AP657">
        <v>68</v>
      </c>
      <c r="AQ657">
        <v>2.5</v>
      </c>
      <c r="AR657" t="s">
        <v>29</v>
      </c>
      <c r="AS657" t="s">
        <v>78</v>
      </c>
      <c r="AT657" t="s">
        <v>63</v>
      </c>
      <c r="AU657">
        <v>8.07</v>
      </c>
      <c r="AV657">
        <v>31</v>
      </c>
      <c r="AW657">
        <v>4</v>
      </c>
      <c r="AX657">
        <v>0</v>
      </c>
      <c r="AY657">
        <v>25.2</v>
      </c>
      <c r="AZ657">
        <v>433</v>
      </c>
      <c r="BA657">
        <v>1716</v>
      </c>
      <c r="BB657">
        <v>63</v>
      </c>
      <c r="BC657">
        <v>64</v>
      </c>
      <c r="BD657">
        <v>64</v>
      </c>
      <c r="BE657">
        <v>2</v>
      </c>
      <c r="BF657" t="s">
        <v>29</v>
      </c>
      <c r="BG657">
        <v>5</v>
      </c>
      <c r="BH657">
        <v>28</v>
      </c>
      <c r="BI657">
        <v>0.36799999999999999</v>
      </c>
      <c r="BJ657" t="s">
        <v>63</v>
      </c>
      <c r="BK657">
        <v>0.31819999999999998</v>
      </c>
      <c r="BL657">
        <v>0.18179999999999999</v>
      </c>
      <c r="BM657">
        <v>1.23</v>
      </c>
      <c r="BN657">
        <v>0.59</v>
      </c>
    </row>
    <row r="658" spans="1:66" x14ac:dyDescent="0.25">
      <c r="A658">
        <v>2</v>
      </c>
      <c r="B658">
        <v>0</v>
      </c>
      <c r="C658">
        <v>2</v>
      </c>
      <c r="D658">
        <v>1.8066666666666666</v>
      </c>
      <c r="E658">
        <v>3.35</v>
      </c>
      <c r="F658">
        <v>4.46</v>
      </c>
      <c r="G658" s="40">
        <v>0.39</v>
      </c>
      <c r="H658" s="40">
        <v>0.34</v>
      </c>
      <c r="I658" s="40">
        <v>0.26999999999999996</v>
      </c>
      <c r="J658">
        <v>1.79</v>
      </c>
      <c r="K658">
        <v>3.5</v>
      </c>
      <c r="L658">
        <v>4.5999999999999996</v>
      </c>
      <c r="M658">
        <v>1.8</v>
      </c>
      <c r="N658">
        <v>3.1</v>
      </c>
      <c r="O658">
        <v>4.33</v>
      </c>
      <c r="P658">
        <v>1.83</v>
      </c>
      <c r="Q658">
        <v>3.45</v>
      </c>
      <c r="R658">
        <v>4.45</v>
      </c>
      <c r="S658">
        <v>0.55379189700856735</v>
      </c>
      <c r="T658">
        <v>0.23071082132940315</v>
      </c>
      <c r="U658">
        <v>0.2154972816620295</v>
      </c>
      <c r="V658">
        <v>0.50091428144941597</v>
      </c>
      <c r="W658">
        <v>0.29085345374482213</v>
      </c>
      <c r="X658">
        <v>0.20823226480576182</v>
      </c>
      <c r="Y658">
        <v>0.51502037940924872</v>
      </c>
      <c r="Z658">
        <v>0.27318472299099278</v>
      </c>
      <c r="AA658">
        <v>0.21179489759975847</v>
      </c>
      <c r="AB658">
        <v>0.52324218595574401</v>
      </c>
      <c r="AC658">
        <v>0.26491633268840603</v>
      </c>
      <c r="AD658">
        <v>0.21184148135584993</v>
      </c>
      <c r="AE658" t="s">
        <v>68</v>
      </c>
      <c r="AF658" t="s">
        <v>63</v>
      </c>
      <c r="AG658">
        <v>16.600000000000001</v>
      </c>
      <c r="AH658">
        <v>36</v>
      </c>
      <c r="AI658">
        <v>2</v>
      </c>
      <c r="AJ658">
        <v>1</v>
      </c>
      <c r="AK658">
        <v>25.1</v>
      </c>
      <c r="AL658">
        <v>129</v>
      </c>
      <c r="AM658">
        <v>4227</v>
      </c>
      <c r="AN658">
        <v>62</v>
      </c>
      <c r="AO658">
        <v>66</v>
      </c>
      <c r="AP658">
        <v>64</v>
      </c>
      <c r="AQ658">
        <v>2</v>
      </c>
      <c r="AR658" t="s">
        <v>46</v>
      </c>
      <c r="AS658" t="s">
        <v>74</v>
      </c>
      <c r="AT658" t="s">
        <v>63</v>
      </c>
      <c r="AU658">
        <v>9.73</v>
      </c>
      <c r="AV658">
        <v>33</v>
      </c>
      <c r="AW658">
        <v>1</v>
      </c>
      <c r="AX658">
        <v>0</v>
      </c>
      <c r="AY658">
        <v>26.2</v>
      </c>
      <c r="AZ658">
        <v>254</v>
      </c>
      <c r="BA658">
        <v>2813</v>
      </c>
      <c r="BB658">
        <v>67</v>
      </c>
      <c r="BC658">
        <v>64</v>
      </c>
      <c r="BD658">
        <v>65</v>
      </c>
      <c r="BE658">
        <v>2</v>
      </c>
      <c r="BF658" t="s">
        <v>46</v>
      </c>
      <c r="BG658">
        <v>11</v>
      </c>
      <c r="BH658">
        <v>26</v>
      </c>
      <c r="BI658">
        <v>0.8</v>
      </c>
      <c r="BJ658" t="s">
        <v>63</v>
      </c>
      <c r="BK658">
        <v>0.38890000000000002</v>
      </c>
      <c r="BL658">
        <v>0.25</v>
      </c>
      <c r="BM658">
        <v>1.39</v>
      </c>
      <c r="BN658">
        <v>1.17</v>
      </c>
    </row>
    <row r="659" spans="1:66" x14ac:dyDescent="0.25">
      <c r="A659">
        <v>1</v>
      </c>
      <c r="B659">
        <v>1</v>
      </c>
      <c r="C659">
        <v>3</v>
      </c>
      <c r="D659">
        <v>1.4833333333333332</v>
      </c>
      <c r="E659">
        <v>4.1000000000000005</v>
      </c>
      <c r="F659">
        <v>7.0666666666666664</v>
      </c>
      <c r="G659" s="40">
        <v>0.46</v>
      </c>
      <c r="H659" s="40">
        <v>0.32</v>
      </c>
      <c r="I659" s="40">
        <v>0.22000000000000003</v>
      </c>
      <c r="J659">
        <v>1.47</v>
      </c>
      <c r="K659">
        <v>4.25</v>
      </c>
      <c r="L659">
        <v>7</v>
      </c>
      <c r="M659">
        <v>1.48</v>
      </c>
      <c r="N659">
        <v>4</v>
      </c>
      <c r="O659">
        <v>7.5</v>
      </c>
      <c r="P659">
        <v>1.5</v>
      </c>
      <c r="Q659">
        <v>4.05</v>
      </c>
      <c r="R659">
        <v>6.7</v>
      </c>
      <c r="S659">
        <v>0.68709207492630109</v>
      </c>
      <c r="T659">
        <v>0.16861858933917573</v>
      </c>
      <c r="U659">
        <v>0.14428933573452321</v>
      </c>
      <c r="V659">
        <v>0.6380263717566993</v>
      </c>
      <c r="W659">
        <v>0.23606975754997872</v>
      </c>
      <c r="X659">
        <v>0.12590387069332198</v>
      </c>
      <c r="Y659">
        <v>0.62725381414701797</v>
      </c>
      <c r="Z659">
        <v>0.23231622746185854</v>
      </c>
      <c r="AA659">
        <v>0.14042995839112343</v>
      </c>
      <c r="AB659">
        <v>0.65079075361000616</v>
      </c>
      <c r="AC659">
        <v>0.21233485811700434</v>
      </c>
      <c r="AD659">
        <v>0.13687438827298956</v>
      </c>
      <c r="AE659" t="s">
        <v>66</v>
      </c>
      <c r="AF659" t="s">
        <v>63</v>
      </c>
      <c r="AG659">
        <v>22.13</v>
      </c>
      <c r="AH659">
        <v>32</v>
      </c>
      <c r="AI659">
        <v>3</v>
      </c>
      <c r="AJ659">
        <v>0</v>
      </c>
      <c r="AK659">
        <v>27.7</v>
      </c>
      <c r="AL659">
        <v>93</v>
      </c>
      <c r="AM659">
        <v>5011</v>
      </c>
      <c r="AN659">
        <v>70</v>
      </c>
      <c r="AO659">
        <v>70</v>
      </c>
      <c r="AP659">
        <v>67</v>
      </c>
      <c r="AQ659">
        <v>3</v>
      </c>
      <c r="AR659" t="s">
        <v>28</v>
      </c>
      <c r="AS659" t="s">
        <v>69</v>
      </c>
      <c r="AT659" t="s">
        <v>63</v>
      </c>
      <c r="AU659">
        <v>8.83</v>
      </c>
      <c r="AV659">
        <v>30</v>
      </c>
      <c r="AW659">
        <v>1</v>
      </c>
      <c r="AX659">
        <v>0</v>
      </c>
      <c r="AY659">
        <v>27</v>
      </c>
      <c r="AZ659">
        <v>181</v>
      </c>
      <c r="BA659">
        <v>3617</v>
      </c>
      <c r="BB659">
        <v>63</v>
      </c>
      <c r="BC659">
        <v>64</v>
      </c>
      <c r="BD659">
        <v>64</v>
      </c>
      <c r="BE659">
        <v>1.5</v>
      </c>
      <c r="BF659" t="s">
        <v>29</v>
      </c>
      <c r="BG659">
        <v>1</v>
      </c>
      <c r="BH659">
        <v>29</v>
      </c>
      <c r="BI659">
        <v>0.30399999999999999</v>
      </c>
      <c r="BJ659" t="s">
        <v>63</v>
      </c>
      <c r="BK659">
        <v>0.4</v>
      </c>
      <c r="BL659">
        <v>0.37040000000000001</v>
      </c>
      <c r="BM659">
        <v>1.28</v>
      </c>
      <c r="BN659">
        <v>1.1499999999999999</v>
      </c>
    </row>
    <row r="660" spans="1:66" x14ac:dyDescent="0.25">
      <c r="A660">
        <v>2</v>
      </c>
      <c r="B660">
        <v>0</v>
      </c>
      <c r="C660">
        <v>2</v>
      </c>
      <c r="D660">
        <v>3.7000000000000006</v>
      </c>
      <c r="E660">
        <v>2.9433333333333338</v>
      </c>
      <c r="F660">
        <v>2.2233333333333336</v>
      </c>
      <c r="G660" s="40">
        <v>0.18</v>
      </c>
      <c r="H660" s="40">
        <v>0.36</v>
      </c>
      <c r="I660" s="40">
        <v>0.46000000000000008</v>
      </c>
      <c r="J660">
        <v>3.7</v>
      </c>
      <c r="K660">
        <v>2.95</v>
      </c>
      <c r="L660">
        <v>2.23</v>
      </c>
      <c r="M660">
        <v>3.7</v>
      </c>
      <c r="N660">
        <v>2.95</v>
      </c>
      <c r="O660">
        <v>2.2000000000000002</v>
      </c>
      <c r="P660">
        <v>3.7</v>
      </c>
      <c r="Q660">
        <v>2.93</v>
      </c>
      <c r="R660">
        <v>2.2400000000000002</v>
      </c>
      <c r="S660">
        <v>0.26707712408200246</v>
      </c>
      <c r="T660">
        <v>0.28979042788956283</v>
      </c>
      <c r="U660">
        <v>0.44313244802843466</v>
      </c>
      <c r="V660">
        <v>0.25406146016833037</v>
      </c>
      <c r="W660">
        <v>0.31865335682129575</v>
      </c>
      <c r="X660">
        <v>0.42728518301037383</v>
      </c>
      <c r="Y660">
        <v>0.2554549629848748</v>
      </c>
      <c r="Z660">
        <v>0.32258817851332311</v>
      </c>
      <c r="AA660">
        <v>0.42195685850180215</v>
      </c>
      <c r="AB660">
        <v>0.25886451574506925</v>
      </c>
      <c r="AC660">
        <v>0.31034398774139388</v>
      </c>
      <c r="AD660">
        <v>0.43079149651353688</v>
      </c>
      <c r="AE660" t="s">
        <v>75</v>
      </c>
      <c r="AF660" t="s">
        <v>63</v>
      </c>
      <c r="AG660">
        <v>9.3000000000000007</v>
      </c>
      <c r="AH660">
        <v>29</v>
      </c>
      <c r="AI660">
        <v>4</v>
      </c>
      <c r="AJ660">
        <v>0</v>
      </c>
      <c r="AK660">
        <v>25.6</v>
      </c>
      <c r="AL660">
        <v>317</v>
      </c>
      <c r="AM660">
        <v>2374</v>
      </c>
      <c r="AN660">
        <v>69</v>
      </c>
      <c r="AO660">
        <v>66</v>
      </c>
      <c r="AP660">
        <v>64</v>
      </c>
      <c r="AQ660">
        <v>2.5</v>
      </c>
      <c r="AR660" t="s">
        <v>46</v>
      </c>
      <c r="AS660" t="s">
        <v>62</v>
      </c>
      <c r="AT660" t="s">
        <v>63</v>
      </c>
      <c r="AU660">
        <v>18.350000000000001</v>
      </c>
      <c r="AV660">
        <v>29</v>
      </c>
      <c r="AW660">
        <v>3</v>
      </c>
      <c r="AX660">
        <v>1</v>
      </c>
      <c r="AY660">
        <v>27.4</v>
      </c>
      <c r="AZ660">
        <v>66</v>
      </c>
      <c r="BA660">
        <v>5865</v>
      </c>
      <c r="BB660">
        <v>67</v>
      </c>
      <c r="BC660">
        <v>68</v>
      </c>
      <c r="BD660">
        <v>66</v>
      </c>
      <c r="BE660">
        <v>2.5</v>
      </c>
      <c r="BF660" t="s">
        <v>29</v>
      </c>
      <c r="BG660">
        <v>-5</v>
      </c>
      <c r="BH660">
        <v>30</v>
      </c>
      <c r="BI660">
        <v>0.221</v>
      </c>
      <c r="BJ660" t="s">
        <v>63</v>
      </c>
      <c r="BK660">
        <v>0.43480000000000002</v>
      </c>
      <c r="BL660">
        <v>0.4375</v>
      </c>
      <c r="BM660">
        <v>1.43</v>
      </c>
      <c r="BN660">
        <v>1.25</v>
      </c>
    </row>
    <row r="661" spans="1:66" x14ac:dyDescent="0.25">
      <c r="A661">
        <v>1</v>
      </c>
      <c r="B661">
        <v>2</v>
      </c>
      <c r="C661">
        <v>2</v>
      </c>
      <c r="D661">
        <v>1.5266666666666666</v>
      </c>
      <c r="E661">
        <v>4.1500000000000004</v>
      </c>
      <c r="F661">
        <v>6.5666666666666664</v>
      </c>
      <c r="G661" s="40">
        <v>0.37</v>
      </c>
      <c r="H661" s="40">
        <v>0.33</v>
      </c>
      <c r="I661" s="40">
        <v>0.3</v>
      </c>
      <c r="J661">
        <v>1.54</v>
      </c>
      <c r="K661">
        <v>4.3</v>
      </c>
      <c r="L661">
        <v>6.4</v>
      </c>
      <c r="M661">
        <v>1.54</v>
      </c>
      <c r="N661">
        <v>3.9</v>
      </c>
      <c r="O661">
        <v>6.5</v>
      </c>
      <c r="P661">
        <v>1.5</v>
      </c>
      <c r="Q661">
        <v>4.25</v>
      </c>
      <c r="R661">
        <v>6.8</v>
      </c>
      <c r="S661">
        <v>0.66554422105575917</v>
      </c>
      <c r="T661">
        <v>0.17430920075269885</v>
      </c>
      <c r="U661">
        <v>0.16014657819154204</v>
      </c>
      <c r="V661">
        <v>0.61282212445003148</v>
      </c>
      <c r="W661">
        <v>0.24198617221873037</v>
      </c>
      <c r="X661">
        <v>0.14519170333123824</v>
      </c>
      <c r="Y661">
        <v>0.63551401869158874</v>
      </c>
      <c r="Z661">
        <v>0.22429906542056074</v>
      </c>
      <c r="AA661">
        <v>0.14018691588785046</v>
      </c>
      <c r="AB661">
        <v>0.6379601213991265</v>
      </c>
      <c r="AC661">
        <v>0.21353147946399664</v>
      </c>
      <c r="AD661">
        <v>0.14850839913687691</v>
      </c>
      <c r="AE661" t="s">
        <v>146</v>
      </c>
      <c r="AF661" t="s">
        <v>141</v>
      </c>
      <c r="AG661">
        <v>430.9</v>
      </c>
      <c r="AH661">
        <v>27</v>
      </c>
      <c r="AI661">
        <v>20</v>
      </c>
      <c r="AJ661">
        <v>14</v>
      </c>
      <c r="AK661">
        <v>28</v>
      </c>
      <c r="AL661">
        <v>31</v>
      </c>
      <c r="AM661">
        <v>7447</v>
      </c>
      <c r="AN661">
        <v>80</v>
      </c>
      <c r="AO661">
        <v>81</v>
      </c>
      <c r="AP661">
        <v>82</v>
      </c>
      <c r="AQ661">
        <v>4.5</v>
      </c>
      <c r="AR661" t="s">
        <v>29</v>
      </c>
      <c r="AS661" t="s">
        <v>157</v>
      </c>
      <c r="AT661" t="s">
        <v>141</v>
      </c>
      <c r="AU661">
        <v>93.5</v>
      </c>
      <c r="AV661">
        <v>27</v>
      </c>
      <c r="AW661">
        <v>4</v>
      </c>
      <c r="AX661">
        <v>1</v>
      </c>
      <c r="AY661">
        <v>27.7</v>
      </c>
      <c r="AZ661">
        <v>202</v>
      </c>
      <c r="BA661">
        <v>3267</v>
      </c>
      <c r="BB661">
        <v>76</v>
      </c>
      <c r="BC661">
        <v>77</v>
      </c>
      <c r="BD661">
        <v>75</v>
      </c>
      <c r="BE661">
        <v>4</v>
      </c>
      <c r="BF661" t="s">
        <v>46</v>
      </c>
      <c r="BG661">
        <v>16</v>
      </c>
      <c r="BH661">
        <v>143</v>
      </c>
      <c r="BI661">
        <v>0.435</v>
      </c>
      <c r="BJ661" t="s">
        <v>270</v>
      </c>
      <c r="BK661">
        <v>0.62960000000000005</v>
      </c>
      <c r="BL661">
        <v>0.33329999999999999</v>
      </c>
      <c r="BM661">
        <v>1.46</v>
      </c>
      <c r="BN661">
        <v>1.1399999999999999</v>
      </c>
    </row>
    <row r="662" spans="1:66" x14ac:dyDescent="0.25">
      <c r="A662">
        <v>1</v>
      </c>
      <c r="B662">
        <v>2</v>
      </c>
      <c r="C662">
        <v>2</v>
      </c>
      <c r="D662">
        <v>2.9833333333333329</v>
      </c>
      <c r="E662">
        <v>3.4</v>
      </c>
      <c r="F662">
        <v>2.3816666666666664</v>
      </c>
      <c r="G662" s="40">
        <v>0.28000000000000003</v>
      </c>
      <c r="H662" s="40">
        <v>0.49</v>
      </c>
      <c r="I662" s="40">
        <v>0.22999999999999998</v>
      </c>
      <c r="J662">
        <v>3.05</v>
      </c>
      <c r="K662">
        <v>3.45</v>
      </c>
      <c r="L662">
        <v>2.35</v>
      </c>
      <c r="M662">
        <v>2.95</v>
      </c>
      <c r="N662">
        <v>3.35</v>
      </c>
      <c r="O662">
        <v>2.375</v>
      </c>
      <c r="P662">
        <v>2.95</v>
      </c>
      <c r="Q662">
        <v>3.4</v>
      </c>
      <c r="R662">
        <v>2.42</v>
      </c>
      <c r="S662">
        <v>0.3246833761402888</v>
      </c>
      <c r="T662">
        <v>0.25391905057125141</v>
      </c>
      <c r="U662">
        <v>0.42139757328845989</v>
      </c>
      <c r="V662">
        <v>0.32023545985107665</v>
      </c>
      <c r="W662">
        <v>0.28199839001811228</v>
      </c>
      <c r="X662">
        <v>0.39776615013081101</v>
      </c>
      <c r="Y662">
        <v>0.32397527267000037</v>
      </c>
      <c r="Z662">
        <v>0.28109619246367684</v>
      </c>
      <c r="AA662">
        <v>0.39492853486632279</v>
      </c>
      <c r="AB662">
        <v>0.32296470288712192</v>
      </c>
      <c r="AC662">
        <v>0.27233787768434686</v>
      </c>
      <c r="AD662">
        <v>0.40469741942853127</v>
      </c>
      <c r="AE662" t="s">
        <v>142</v>
      </c>
      <c r="AF662" t="s">
        <v>141</v>
      </c>
      <c r="AG662">
        <v>251.9</v>
      </c>
      <c r="AH662">
        <v>27</v>
      </c>
      <c r="AI662">
        <v>17</v>
      </c>
      <c r="AJ662">
        <v>12</v>
      </c>
      <c r="AK662">
        <v>25.5</v>
      </c>
      <c r="AL662">
        <v>11</v>
      </c>
      <c r="AM662">
        <v>9770</v>
      </c>
      <c r="AN662">
        <v>77</v>
      </c>
      <c r="AO662">
        <v>78</v>
      </c>
      <c r="AP662">
        <v>77</v>
      </c>
      <c r="AQ662">
        <v>4</v>
      </c>
      <c r="AR662" t="s">
        <v>29</v>
      </c>
      <c r="AS662" t="s">
        <v>149</v>
      </c>
      <c r="AT662" t="s">
        <v>141</v>
      </c>
      <c r="AU662">
        <v>298.89999999999998</v>
      </c>
      <c r="AV662">
        <v>24</v>
      </c>
      <c r="AW662">
        <v>9</v>
      </c>
      <c r="AX662">
        <v>10</v>
      </c>
      <c r="AY662">
        <v>28.2</v>
      </c>
      <c r="AZ662">
        <v>77</v>
      </c>
      <c r="BA662">
        <v>5396</v>
      </c>
      <c r="BB662">
        <v>82</v>
      </c>
      <c r="BC662">
        <v>79</v>
      </c>
      <c r="BD662">
        <v>79</v>
      </c>
      <c r="BE662">
        <v>4.5</v>
      </c>
      <c r="BF662" t="s">
        <v>29</v>
      </c>
      <c r="BG662">
        <v>12</v>
      </c>
      <c r="BH662">
        <v>79</v>
      </c>
      <c r="BI662">
        <v>0.442</v>
      </c>
      <c r="BJ662" t="s">
        <v>270</v>
      </c>
      <c r="BK662">
        <v>0.3095</v>
      </c>
      <c r="BL662">
        <v>0.53449999999999998</v>
      </c>
      <c r="BM662">
        <v>1.43</v>
      </c>
      <c r="BN662">
        <v>1.78</v>
      </c>
    </row>
    <row r="663" spans="1:66" x14ac:dyDescent="0.25">
      <c r="A663">
        <v>2</v>
      </c>
      <c r="B663">
        <v>0</v>
      </c>
      <c r="C663">
        <v>2</v>
      </c>
      <c r="D663">
        <v>1.2966666666666666</v>
      </c>
      <c r="E663">
        <v>5.583333333333333</v>
      </c>
      <c r="F663">
        <v>9.5</v>
      </c>
      <c r="G663" s="40">
        <v>0.56000000000000005</v>
      </c>
      <c r="H663" s="40">
        <v>0.21</v>
      </c>
      <c r="I663" s="40">
        <v>0.22999999999999995</v>
      </c>
      <c r="J663">
        <v>1.3</v>
      </c>
      <c r="K663">
        <v>5.8</v>
      </c>
      <c r="L663">
        <v>9.5</v>
      </c>
      <c r="M663">
        <v>1.31</v>
      </c>
      <c r="N663">
        <v>5.25</v>
      </c>
      <c r="O663">
        <v>9</v>
      </c>
      <c r="P663">
        <v>1.28</v>
      </c>
      <c r="Q663">
        <v>5.7</v>
      </c>
      <c r="R663">
        <v>10</v>
      </c>
      <c r="S663">
        <v>0.77880897138437744</v>
      </c>
      <c r="T663">
        <v>0.11461716937354989</v>
      </c>
      <c r="U663">
        <v>0.1065738592420727</v>
      </c>
      <c r="V663">
        <v>0.71680509728069175</v>
      </c>
      <c r="W663">
        <v>0.17885993855956309</v>
      </c>
      <c r="X663">
        <v>0.10433496415974514</v>
      </c>
      <c r="Y663">
        <v>0.73933796824737985</v>
      </c>
      <c r="Z663">
        <v>0.16602677181695547</v>
      </c>
      <c r="AA663">
        <v>9.4635259935664615E-2</v>
      </c>
      <c r="AB663">
        <v>0.74498401230414968</v>
      </c>
      <c r="AC663">
        <v>0.15316795991668947</v>
      </c>
      <c r="AD663">
        <v>0.10184802777916081</v>
      </c>
      <c r="AE663" t="s">
        <v>137</v>
      </c>
      <c r="AF663" t="s">
        <v>141</v>
      </c>
      <c r="AG663">
        <v>676</v>
      </c>
      <c r="AH663">
        <v>26</v>
      </c>
      <c r="AI663">
        <v>15</v>
      </c>
      <c r="AJ663">
        <v>21</v>
      </c>
      <c r="AK663">
        <v>26.1</v>
      </c>
      <c r="AL663">
        <v>3</v>
      </c>
      <c r="AM663">
        <v>13105</v>
      </c>
      <c r="AN663">
        <v>84</v>
      </c>
      <c r="AO663">
        <v>82</v>
      </c>
      <c r="AP663">
        <v>81</v>
      </c>
      <c r="AQ663">
        <v>5</v>
      </c>
      <c r="AR663" t="s">
        <v>28</v>
      </c>
      <c r="AS663" t="s">
        <v>156</v>
      </c>
      <c r="AT663" t="s">
        <v>141</v>
      </c>
      <c r="AU663">
        <v>66.099999999999994</v>
      </c>
      <c r="AV663">
        <v>24</v>
      </c>
      <c r="AW663">
        <v>6</v>
      </c>
      <c r="AX663">
        <v>3</v>
      </c>
      <c r="AY663">
        <v>26.8</v>
      </c>
      <c r="AZ663">
        <v>177</v>
      </c>
      <c r="BA663">
        <v>3663</v>
      </c>
      <c r="BB663">
        <v>77</v>
      </c>
      <c r="BC663">
        <v>74</v>
      </c>
      <c r="BD663">
        <v>76</v>
      </c>
      <c r="BE663">
        <v>4</v>
      </c>
      <c r="BF663" t="s">
        <v>43</v>
      </c>
      <c r="BG663">
        <v>76</v>
      </c>
      <c r="BH663">
        <v>93</v>
      </c>
      <c r="BI663">
        <v>0.70699999999999996</v>
      </c>
      <c r="BJ663" t="s">
        <v>270</v>
      </c>
      <c r="BK663">
        <v>0.62960000000000005</v>
      </c>
      <c r="BL663">
        <v>0.26829999999999998</v>
      </c>
      <c r="BM663">
        <v>2.2599999999999998</v>
      </c>
      <c r="BN663">
        <v>0.95</v>
      </c>
    </row>
    <row r="664" spans="1:66" x14ac:dyDescent="0.25">
      <c r="A664">
        <v>1</v>
      </c>
      <c r="B664">
        <v>3</v>
      </c>
      <c r="C664">
        <v>3</v>
      </c>
      <c r="D664">
        <v>1.58</v>
      </c>
      <c r="E664">
        <v>3.9499999999999997</v>
      </c>
      <c r="F664">
        <v>6.083333333333333</v>
      </c>
      <c r="G664" s="40">
        <v>0.34</v>
      </c>
      <c r="H664" s="40">
        <v>0.38</v>
      </c>
      <c r="I664" s="40">
        <v>0.27999999999999992</v>
      </c>
      <c r="J664">
        <v>1.58</v>
      </c>
      <c r="K664">
        <v>4</v>
      </c>
      <c r="L664">
        <v>6.25</v>
      </c>
      <c r="M664">
        <v>1.58</v>
      </c>
      <c r="N664">
        <v>3.85</v>
      </c>
      <c r="O664">
        <v>6</v>
      </c>
      <c r="P664">
        <v>1.58</v>
      </c>
      <c r="Q664">
        <v>4</v>
      </c>
      <c r="R664">
        <v>6</v>
      </c>
      <c r="S664">
        <v>0.6480615459248239</v>
      </c>
      <c r="T664">
        <v>0.18810849526538062</v>
      </c>
      <c r="U664">
        <v>0.16382995880979551</v>
      </c>
      <c r="V664">
        <v>0.5974704497840313</v>
      </c>
      <c r="W664">
        <v>0.24519566510617388</v>
      </c>
      <c r="X664">
        <v>0.15733388510979493</v>
      </c>
      <c r="Y664">
        <v>0.60301507537688448</v>
      </c>
      <c r="Z664">
        <v>0.23819095477386937</v>
      </c>
      <c r="AA664">
        <v>0.15879396984924624</v>
      </c>
      <c r="AB664">
        <v>0.61618235702857982</v>
      </c>
      <c r="AC664">
        <v>0.22383170504847463</v>
      </c>
      <c r="AD664">
        <v>0.15998593792294555</v>
      </c>
      <c r="AE664" t="s">
        <v>143</v>
      </c>
      <c r="AF664" t="s">
        <v>141</v>
      </c>
      <c r="AG664">
        <v>755.2</v>
      </c>
      <c r="AH664">
        <v>22</v>
      </c>
      <c r="AI664">
        <v>19</v>
      </c>
      <c r="AJ664">
        <v>19</v>
      </c>
      <c r="AK664">
        <v>28</v>
      </c>
      <c r="AL664">
        <v>13</v>
      </c>
      <c r="AM664">
        <v>9329</v>
      </c>
      <c r="AN664">
        <v>85</v>
      </c>
      <c r="AO664">
        <v>82</v>
      </c>
      <c r="AP664">
        <v>83</v>
      </c>
      <c r="AQ664">
        <v>5</v>
      </c>
      <c r="AR664" t="s">
        <v>29</v>
      </c>
      <c r="AS664" t="s">
        <v>343</v>
      </c>
      <c r="AT664" t="s">
        <v>141</v>
      </c>
      <c r="AU664">
        <v>223.4</v>
      </c>
      <c r="AV664">
        <v>28</v>
      </c>
      <c r="AW664">
        <v>11</v>
      </c>
      <c r="AX664">
        <v>11</v>
      </c>
      <c r="AY664">
        <v>28.5</v>
      </c>
      <c r="AZ664">
        <v>125</v>
      </c>
      <c r="BA664">
        <v>4257</v>
      </c>
      <c r="BB664">
        <v>79</v>
      </c>
      <c r="BC664">
        <v>79</v>
      </c>
      <c r="BD664">
        <v>78</v>
      </c>
      <c r="BE664">
        <v>4</v>
      </c>
      <c r="BF664" t="s">
        <v>29</v>
      </c>
      <c r="BG664">
        <v>68</v>
      </c>
      <c r="BH664">
        <v>201</v>
      </c>
      <c r="BI664">
        <v>0.50900000000000001</v>
      </c>
      <c r="BJ664" t="s">
        <v>270</v>
      </c>
      <c r="BK664">
        <v>0.60419999999999996</v>
      </c>
      <c r="BL664">
        <v>0.4884</v>
      </c>
      <c r="BM664">
        <v>1.6</v>
      </c>
      <c r="BN664">
        <v>1.42</v>
      </c>
    </row>
    <row r="665" spans="1:66" x14ac:dyDescent="0.25">
      <c r="A665">
        <v>2</v>
      </c>
      <c r="B665">
        <v>0</v>
      </c>
      <c r="C665">
        <v>2</v>
      </c>
      <c r="D665">
        <v>2.1166666666666667</v>
      </c>
      <c r="E665">
        <v>3.1666666666666665</v>
      </c>
      <c r="F665">
        <v>3.8166666666666669</v>
      </c>
      <c r="G665" s="40">
        <v>0.34</v>
      </c>
      <c r="H665" s="40">
        <v>0.46</v>
      </c>
      <c r="I665" s="40">
        <v>0.1999999999999999</v>
      </c>
      <c r="J665">
        <v>2.12</v>
      </c>
      <c r="K665">
        <v>3.15</v>
      </c>
      <c r="L665">
        <v>3.95</v>
      </c>
      <c r="M665">
        <v>2.1</v>
      </c>
      <c r="N665">
        <v>3.2</v>
      </c>
      <c r="O665">
        <v>3.65</v>
      </c>
      <c r="P665">
        <v>2.13</v>
      </c>
      <c r="Q665">
        <v>3.15</v>
      </c>
      <c r="R665">
        <v>3.85</v>
      </c>
      <c r="S665">
        <v>0.4748132611739283</v>
      </c>
      <c r="T665">
        <v>0.27035025434791266</v>
      </c>
      <c r="U665">
        <v>0.25483648447815899</v>
      </c>
      <c r="V665">
        <v>0.44811049299827355</v>
      </c>
      <c r="W665">
        <v>0.294072511030117</v>
      </c>
      <c r="X665">
        <v>0.25781699597160945</v>
      </c>
      <c r="Y665">
        <v>0.44854368932038841</v>
      </c>
      <c r="Z665">
        <v>0.30330097087378649</v>
      </c>
      <c r="AA665">
        <v>0.24815533980582527</v>
      </c>
      <c r="AB665">
        <v>0.45715581449753007</v>
      </c>
      <c r="AC665">
        <v>0.28924124541727209</v>
      </c>
      <c r="AD665">
        <v>0.2536029400851979</v>
      </c>
      <c r="AE665" t="s">
        <v>147</v>
      </c>
      <c r="AF665" t="s">
        <v>141</v>
      </c>
      <c r="AG665">
        <v>373.5</v>
      </c>
      <c r="AH665">
        <v>25</v>
      </c>
      <c r="AI665">
        <v>5</v>
      </c>
      <c r="AJ665">
        <v>7</v>
      </c>
      <c r="AK665">
        <v>26.2</v>
      </c>
      <c r="AL665">
        <v>32</v>
      </c>
      <c r="AM665">
        <v>7427</v>
      </c>
      <c r="AN665">
        <v>81</v>
      </c>
      <c r="AO665">
        <v>81</v>
      </c>
      <c r="AP665">
        <v>77</v>
      </c>
      <c r="AQ665">
        <v>4.5</v>
      </c>
      <c r="AR665" t="s">
        <v>28</v>
      </c>
      <c r="AS665" t="s">
        <v>148</v>
      </c>
      <c r="AT665" t="s">
        <v>141</v>
      </c>
      <c r="AU665">
        <v>188.3</v>
      </c>
      <c r="AV665">
        <v>26</v>
      </c>
      <c r="AW665">
        <v>0</v>
      </c>
      <c r="AX665">
        <v>2</v>
      </c>
      <c r="AY665">
        <v>26.4</v>
      </c>
      <c r="AZ665">
        <v>61</v>
      </c>
      <c r="BA665">
        <v>6139</v>
      </c>
      <c r="BB665">
        <v>80</v>
      </c>
      <c r="BC665">
        <v>78</v>
      </c>
      <c r="BD665">
        <v>79</v>
      </c>
      <c r="BE665">
        <v>4.5</v>
      </c>
      <c r="BF665" t="s">
        <v>29</v>
      </c>
      <c r="BG665">
        <v>-37</v>
      </c>
      <c r="BH665">
        <v>201</v>
      </c>
      <c r="BI665">
        <v>0.35299999999999998</v>
      </c>
      <c r="BJ665" t="s">
        <v>270</v>
      </c>
      <c r="BK665">
        <v>0.40820000000000001</v>
      </c>
      <c r="BL665">
        <v>0.3478</v>
      </c>
      <c r="BM665">
        <v>1.39</v>
      </c>
      <c r="BN665">
        <v>1.28</v>
      </c>
    </row>
    <row r="666" spans="1:66" x14ac:dyDescent="0.25">
      <c r="A666">
        <v>3</v>
      </c>
      <c r="B666">
        <v>-3</v>
      </c>
      <c r="C666">
        <v>3</v>
      </c>
      <c r="D666">
        <v>1.9966666666666668</v>
      </c>
      <c r="E666">
        <v>3.3833333333333329</v>
      </c>
      <c r="F666">
        <v>3.9</v>
      </c>
      <c r="G666" s="40">
        <v>0.24</v>
      </c>
      <c r="H666" s="40">
        <v>0.53</v>
      </c>
      <c r="I666" s="40">
        <v>0.22999999999999998</v>
      </c>
      <c r="J666">
        <v>1.98</v>
      </c>
      <c r="K666">
        <v>3.45</v>
      </c>
      <c r="L666">
        <v>4</v>
      </c>
      <c r="M666">
        <v>2.0099999999999998</v>
      </c>
      <c r="N666">
        <v>3.3</v>
      </c>
      <c r="O666">
        <v>3.8</v>
      </c>
      <c r="P666">
        <v>2</v>
      </c>
      <c r="Q666">
        <v>3.4</v>
      </c>
      <c r="R666">
        <v>3.9</v>
      </c>
      <c r="S666">
        <v>0.5053789107191361</v>
      </c>
      <c r="T666">
        <v>0.24445852847489155</v>
      </c>
      <c r="U666">
        <v>0.25016256080597238</v>
      </c>
      <c r="V666">
        <v>0.46771847376076986</v>
      </c>
      <c r="W666">
        <v>0.2848830703815598</v>
      </c>
      <c r="X666">
        <v>0.24739845585767034</v>
      </c>
      <c r="Y666">
        <v>0.47595118449389801</v>
      </c>
      <c r="Z666">
        <v>0.27997128499641061</v>
      </c>
      <c r="AA666">
        <v>0.2440775305096913</v>
      </c>
      <c r="AB666">
        <v>0.48301618965793464</v>
      </c>
      <c r="AC666">
        <v>0.26977096128428729</v>
      </c>
      <c r="AD666">
        <v>0.24721284905777799</v>
      </c>
      <c r="AE666" t="s">
        <v>151</v>
      </c>
      <c r="AF666" t="s">
        <v>141</v>
      </c>
      <c r="AG666">
        <v>111.8</v>
      </c>
      <c r="AH666">
        <v>27</v>
      </c>
      <c r="AI666">
        <v>8</v>
      </c>
      <c r="AJ666">
        <v>4</v>
      </c>
      <c r="AK666">
        <v>28.3</v>
      </c>
      <c r="AL666">
        <v>116</v>
      </c>
      <c r="AM666">
        <v>4556</v>
      </c>
      <c r="AN666">
        <v>79</v>
      </c>
      <c r="AO666">
        <v>76</v>
      </c>
      <c r="AP666">
        <v>75</v>
      </c>
      <c r="AQ666">
        <v>4</v>
      </c>
      <c r="AR666" t="s">
        <v>29</v>
      </c>
      <c r="AS666" t="s">
        <v>150</v>
      </c>
      <c r="AT666" t="s">
        <v>141</v>
      </c>
      <c r="AU666">
        <v>88.35</v>
      </c>
      <c r="AV666">
        <v>25</v>
      </c>
      <c r="AW666">
        <v>11</v>
      </c>
      <c r="AX666">
        <v>6</v>
      </c>
      <c r="AY666">
        <v>28.4</v>
      </c>
      <c r="AZ666">
        <v>103</v>
      </c>
      <c r="BA666">
        <v>4803</v>
      </c>
      <c r="BB666">
        <v>77</v>
      </c>
      <c r="BC666">
        <v>78</v>
      </c>
      <c r="BD666">
        <v>77</v>
      </c>
      <c r="BE666">
        <v>4</v>
      </c>
      <c r="BF666" t="s">
        <v>46</v>
      </c>
      <c r="BG666">
        <v>-1</v>
      </c>
      <c r="BH666">
        <v>32</v>
      </c>
      <c r="BI666">
        <v>0.40899999999999997</v>
      </c>
      <c r="BJ666" t="s">
        <v>270</v>
      </c>
      <c r="BK666">
        <v>0.28889999999999999</v>
      </c>
      <c r="BL666">
        <v>0.43099999999999999</v>
      </c>
      <c r="BM666">
        <v>1.36</v>
      </c>
      <c r="BN666">
        <v>1.43</v>
      </c>
    </row>
    <row r="667" spans="1:66" x14ac:dyDescent="0.25">
      <c r="A667">
        <v>2</v>
      </c>
      <c r="B667">
        <v>0</v>
      </c>
      <c r="C667">
        <v>4</v>
      </c>
      <c r="D667">
        <v>1.9266666666666665</v>
      </c>
      <c r="E667">
        <v>3.8333333333333335</v>
      </c>
      <c r="F667">
        <v>3.6166666666666667</v>
      </c>
      <c r="G667" s="40">
        <v>0.34</v>
      </c>
      <c r="H667" s="40">
        <v>0.37</v>
      </c>
      <c r="I667" s="40">
        <v>0.28999999999999992</v>
      </c>
      <c r="J667">
        <v>1.92</v>
      </c>
      <c r="K667">
        <v>3.9</v>
      </c>
      <c r="L667">
        <v>3.5</v>
      </c>
      <c r="M667">
        <v>1.96</v>
      </c>
      <c r="N667">
        <v>3.7</v>
      </c>
      <c r="O667">
        <v>3.6</v>
      </c>
      <c r="P667">
        <v>1.9</v>
      </c>
      <c r="Q667">
        <v>3.9</v>
      </c>
      <c r="R667">
        <v>3.75</v>
      </c>
      <c r="S667">
        <v>0.50642990462165449</v>
      </c>
      <c r="T667">
        <v>0.2157571191287522</v>
      </c>
      <c r="U667">
        <v>0.27781297624959334</v>
      </c>
      <c r="V667">
        <v>0.48211958882293326</v>
      </c>
      <c r="W667">
        <v>0.25539307948458084</v>
      </c>
      <c r="X667">
        <v>0.26248733169248589</v>
      </c>
      <c r="Y667">
        <v>0.50154320987654322</v>
      </c>
      <c r="Z667">
        <v>0.24434156378600821</v>
      </c>
      <c r="AA667">
        <v>0.25411522633744854</v>
      </c>
      <c r="AB667">
        <v>0.49669756777371027</v>
      </c>
      <c r="AC667">
        <v>0.23849725413311373</v>
      </c>
      <c r="AD667">
        <v>0.26480517809317594</v>
      </c>
      <c r="AE667" t="s">
        <v>308</v>
      </c>
      <c r="AF667" t="s">
        <v>307</v>
      </c>
      <c r="AG667">
        <v>415.35</v>
      </c>
      <c r="AH667">
        <v>26</v>
      </c>
      <c r="AI667">
        <v>16</v>
      </c>
      <c r="AJ667">
        <v>17</v>
      </c>
      <c r="AK667">
        <v>27.1</v>
      </c>
      <c r="AL667">
        <v>26</v>
      </c>
      <c r="AM667">
        <v>7928</v>
      </c>
      <c r="AN667">
        <v>82</v>
      </c>
      <c r="AO667">
        <v>79</v>
      </c>
      <c r="AP667">
        <v>78</v>
      </c>
      <c r="AQ667">
        <v>4.5</v>
      </c>
      <c r="AR667" t="s">
        <v>29</v>
      </c>
      <c r="AS667" t="s">
        <v>311</v>
      </c>
      <c r="AT667" t="s">
        <v>307</v>
      </c>
      <c r="AU667">
        <v>326.60000000000002</v>
      </c>
      <c r="AV667">
        <v>33</v>
      </c>
      <c r="AW667">
        <v>26</v>
      </c>
      <c r="AX667">
        <v>12</v>
      </c>
      <c r="AY667">
        <v>27.4</v>
      </c>
      <c r="AZ667">
        <v>41</v>
      </c>
      <c r="BA667">
        <v>6846</v>
      </c>
      <c r="BB667">
        <v>82</v>
      </c>
      <c r="BC667">
        <v>80</v>
      </c>
      <c r="BD667">
        <v>79</v>
      </c>
      <c r="BE667">
        <v>4.5</v>
      </c>
      <c r="BF667" t="s">
        <v>46</v>
      </c>
      <c r="BG667">
        <v>0</v>
      </c>
      <c r="BH667">
        <v>164</v>
      </c>
      <c r="BI667">
        <v>0.317</v>
      </c>
      <c r="BJ667" t="s">
        <v>322</v>
      </c>
      <c r="BK667">
        <v>0.56859999999999999</v>
      </c>
      <c r="BL667">
        <v>0.5</v>
      </c>
      <c r="BM667">
        <v>2.1800000000000002</v>
      </c>
      <c r="BN667">
        <v>1.63</v>
      </c>
    </row>
    <row r="668" spans="1:66" x14ac:dyDescent="0.25">
      <c r="A668">
        <v>1</v>
      </c>
      <c r="B668">
        <v>3</v>
      </c>
      <c r="C668">
        <v>3</v>
      </c>
      <c r="D668">
        <v>1.9366666666666665</v>
      </c>
      <c r="E668">
        <v>3.6333333333333333</v>
      </c>
      <c r="F668">
        <v>3.7833333333333332</v>
      </c>
      <c r="G668" s="40">
        <v>0.33</v>
      </c>
      <c r="H668" s="40">
        <v>0.36</v>
      </c>
      <c r="I668" s="40">
        <v>0.30999999999999994</v>
      </c>
      <c r="J668">
        <v>1.92</v>
      </c>
      <c r="K668">
        <v>3.65</v>
      </c>
      <c r="L668">
        <v>3.75</v>
      </c>
      <c r="M668">
        <v>2.0099999999999998</v>
      </c>
      <c r="N668">
        <v>3.5</v>
      </c>
      <c r="O668">
        <v>3.6</v>
      </c>
      <c r="P668">
        <v>1.88</v>
      </c>
      <c r="Q668">
        <v>3.75</v>
      </c>
      <c r="R668">
        <v>4</v>
      </c>
      <c r="S668">
        <v>0.50940951578571125</v>
      </c>
      <c r="T668">
        <v>0.22977281213200448</v>
      </c>
      <c r="U668">
        <v>0.26081767208228418</v>
      </c>
      <c r="V668">
        <v>0.46890700011164455</v>
      </c>
      <c r="W668">
        <v>0.26928659149268724</v>
      </c>
      <c r="X668">
        <v>0.26180640839566816</v>
      </c>
      <c r="Y668">
        <v>0.50727088265133591</v>
      </c>
      <c r="Z668">
        <v>0.25431180250253638</v>
      </c>
      <c r="AA668">
        <v>0.23841731484612785</v>
      </c>
      <c r="AB668">
        <v>0.49519579951623055</v>
      </c>
      <c r="AC668">
        <v>0.25112373537574267</v>
      </c>
      <c r="AD668">
        <v>0.25368046510802672</v>
      </c>
      <c r="AE668" t="s">
        <v>315</v>
      </c>
      <c r="AF668" t="s">
        <v>307</v>
      </c>
      <c r="AG668">
        <v>184.13</v>
      </c>
      <c r="AH668">
        <v>30</v>
      </c>
      <c r="AI668">
        <v>20</v>
      </c>
      <c r="AJ668">
        <v>13</v>
      </c>
      <c r="AK668">
        <v>26</v>
      </c>
      <c r="AL668">
        <v>162</v>
      </c>
      <c r="AM668">
        <v>3817</v>
      </c>
      <c r="AN668">
        <v>76</v>
      </c>
      <c r="AO668">
        <v>74</v>
      </c>
      <c r="AP668">
        <v>77</v>
      </c>
      <c r="AQ668">
        <v>4</v>
      </c>
      <c r="AR668" t="s">
        <v>46</v>
      </c>
      <c r="AS668" t="s">
        <v>321</v>
      </c>
      <c r="AT668" t="s">
        <v>307</v>
      </c>
      <c r="AU668">
        <v>124.8</v>
      </c>
      <c r="AV668">
        <v>27</v>
      </c>
      <c r="AW668">
        <v>12</v>
      </c>
      <c r="AX668">
        <v>8</v>
      </c>
      <c r="AY668">
        <v>27.1</v>
      </c>
      <c r="AZ668">
        <v>279</v>
      </c>
      <c r="BA668">
        <v>2588</v>
      </c>
      <c r="BB668">
        <v>76</v>
      </c>
      <c r="BC668">
        <v>75</v>
      </c>
      <c r="BD668">
        <v>73</v>
      </c>
      <c r="BE668">
        <v>4</v>
      </c>
      <c r="BF668" t="s">
        <v>43</v>
      </c>
      <c r="BG668">
        <v>0</v>
      </c>
      <c r="BH668">
        <v>184</v>
      </c>
      <c r="BI668">
        <v>0.34300000000000003</v>
      </c>
      <c r="BJ668" t="s">
        <v>322</v>
      </c>
      <c r="BK668">
        <v>0.2195</v>
      </c>
      <c r="BL668">
        <v>0.4</v>
      </c>
      <c r="BM668">
        <v>1.34</v>
      </c>
      <c r="BN668">
        <v>1.35</v>
      </c>
    </row>
    <row r="669" spans="1:66" x14ac:dyDescent="0.25">
      <c r="A669">
        <v>1</v>
      </c>
      <c r="B669">
        <v>2</v>
      </c>
      <c r="C669">
        <v>2</v>
      </c>
      <c r="D669">
        <v>1.3466666666666667</v>
      </c>
      <c r="E669">
        <v>5.0166666666666666</v>
      </c>
      <c r="F669">
        <v>8.7000000000000011</v>
      </c>
      <c r="G669" s="40">
        <v>0.47</v>
      </c>
      <c r="H669" s="40">
        <v>0.39</v>
      </c>
      <c r="I669" s="40">
        <v>0.14000000000000001</v>
      </c>
      <c r="J669">
        <v>1.33</v>
      </c>
      <c r="K669">
        <v>4.9000000000000004</v>
      </c>
      <c r="L669">
        <v>9</v>
      </c>
      <c r="M669">
        <v>1.36</v>
      </c>
      <c r="N669">
        <v>5</v>
      </c>
      <c r="O669">
        <v>8</v>
      </c>
      <c r="P669">
        <v>1.35</v>
      </c>
      <c r="Q669">
        <v>5.15</v>
      </c>
      <c r="R669">
        <v>9.1</v>
      </c>
      <c r="S669">
        <v>0.75433865235439823</v>
      </c>
      <c r="T669">
        <v>0.1341868579087851</v>
      </c>
      <c r="U669">
        <v>0.11147448973681665</v>
      </c>
      <c r="V669">
        <v>0.69348127600554776</v>
      </c>
      <c r="W669">
        <v>0.18862690707350904</v>
      </c>
      <c r="X669">
        <v>0.11789181692094315</v>
      </c>
      <c r="Y669">
        <v>0.70897469838508376</v>
      </c>
      <c r="Z669">
        <v>0.18584773646987629</v>
      </c>
      <c r="AA669">
        <v>0.1051775651450399</v>
      </c>
      <c r="AB669">
        <v>0.71893154224834321</v>
      </c>
      <c r="AC669">
        <v>0.16955383381739017</v>
      </c>
      <c r="AD669">
        <v>0.11151462393426655</v>
      </c>
      <c r="AE669" t="s">
        <v>309</v>
      </c>
      <c r="AF669" t="s">
        <v>307</v>
      </c>
      <c r="AG669">
        <v>573.29999999999995</v>
      </c>
      <c r="AH669">
        <v>28</v>
      </c>
      <c r="AI669">
        <v>19</v>
      </c>
      <c r="AJ669">
        <v>20</v>
      </c>
      <c r="AK669">
        <v>28.8</v>
      </c>
      <c r="AL669">
        <v>37</v>
      </c>
      <c r="AM669">
        <v>7235</v>
      </c>
      <c r="AN669">
        <v>83</v>
      </c>
      <c r="AO669">
        <v>81</v>
      </c>
      <c r="AP669">
        <v>83</v>
      </c>
      <c r="AQ669">
        <v>4.5</v>
      </c>
      <c r="AR669" t="s">
        <v>29</v>
      </c>
      <c r="AS669" t="s">
        <v>316</v>
      </c>
      <c r="AT669" t="s">
        <v>307</v>
      </c>
      <c r="AU669">
        <v>101.6</v>
      </c>
      <c r="AV669">
        <v>26</v>
      </c>
      <c r="AW669">
        <v>22</v>
      </c>
      <c r="AX669">
        <v>5</v>
      </c>
      <c r="AY669">
        <v>27.4</v>
      </c>
      <c r="AZ669">
        <v>217</v>
      </c>
      <c r="BA669">
        <v>3100</v>
      </c>
      <c r="BB669">
        <v>76</v>
      </c>
      <c r="BC669">
        <v>75</v>
      </c>
      <c r="BD669">
        <v>72</v>
      </c>
      <c r="BE669">
        <v>4</v>
      </c>
      <c r="BF669" t="s">
        <v>29</v>
      </c>
      <c r="BG669">
        <v>68</v>
      </c>
      <c r="BH669">
        <v>197</v>
      </c>
      <c r="BI669">
        <v>0.5</v>
      </c>
      <c r="BJ669" t="s">
        <v>322</v>
      </c>
      <c r="BK669">
        <v>0.64580000000000004</v>
      </c>
      <c r="BL669">
        <v>0.27500000000000002</v>
      </c>
      <c r="BM669">
        <v>2.1</v>
      </c>
      <c r="BN669">
        <v>1.1299999999999999</v>
      </c>
    </row>
    <row r="670" spans="1:66" x14ac:dyDescent="0.25">
      <c r="A670">
        <v>3</v>
      </c>
      <c r="B670">
        <v>-1</v>
      </c>
      <c r="C670">
        <v>3</v>
      </c>
      <c r="D670">
        <v>2.3066666666666662</v>
      </c>
      <c r="E670">
        <v>3.4666666666666668</v>
      </c>
      <c r="F670">
        <v>2.9766666666666666</v>
      </c>
      <c r="G670" s="40">
        <v>0.3</v>
      </c>
      <c r="H670" s="40">
        <v>0.32</v>
      </c>
      <c r="I670" s="40">
        <v>0.37999999999999995</v>
      </c>
      <c r="J670">
        <v>2.2999999999999998</v>
      </c>
      <c r="K670">
        <v>3.55</v>
      </c>
      <c r="L670">
        <v>2.88</v>
      </c>
      <c r="M670">
        <v>2.2999999999999998</v>
      </c>
      <c r="N670">
        <v>3.4</v>
      </c>
      <c r="O670">
        <v>3</v>
      </c>
      <c r="P670">
        <v>2.3199999999999998</v>
      </c>
      <c r="Q670">
        <v>3.45</v>
      </c>
      <c r="R670">
        <v>3.05</v>
      </c>
      <c r="S670">
        <v>0.42027062881400901</v>
      </c>
      <c r="T670">
        <v>0.24409657734146986</v>
      </c>
      <c r="U670">
        <v>0.3356327938445211</v>
      </c>
      <c r="V670">
        <v>0.40930979133226325</v>
      </c>
      <c r="W670">
        <v>0.2768860353130016</v>
      </c>
      <c r="X670">
        <v>0.31380417335473515</v>
      </c>
      <c r="Y670">
        <v>0.41099502001757637</v>
      </c>
      <c r="Z670">
        <v>0.2763792598379064</v>
      </c>
      <c r="AA670">
        <v>0.31262572014451717</v>
      </c>
      <c r="AB670">
        <v>0.41352514672128288</v>
      </c>
      <c r="AC670">
        <v>0.26578729083079261</v>
      </c>
      <c r="AD670">
        <v>0.32068756244792446</v>
      </c>
      <c r="AE670" t="s">
        <v>312</v>
      </c>
      <c r="AF670" t="s">
        <v>307</v>
      </c>
      <c r="AG670">
        <v>418.35</v>
      </c>
      <c r="AH670">
        <v>31</v>
      </c>
      <c r="AI670">
        <v>20</v>
      </c>
      <c r="AJ670">
        <v>19</v>
      </c>
      <c r="AK670">
        <v>25.4</v>
      </c>
      <c r="AL670">
        <v>44</v>
      </c>
      <c r="AM670">
        <v>6735</v>
      </c>
      <c r="AN670">
        <v>79</v>
      </c>
      <c r="AO670">
        <v>77</v>
      </c>
      <c r="AP670">
        <v>76</v>
      </c>
      <c r="AQ670">
        <v>4</v>
      </c>
      <c r="AR670" t="s">
        <v>29</v>
      </c>
      <c r="AS670" t="s">
        <v>313</v>
      </c>
      <c r="AT670" t="s">
        <v>307</v>
      </c>
      <c r="AU670">
        <v>466.9</v>
      </c>
      <c r="AV670">
        <v>28</v>
      </c>
      <c r="AW670">
        <v>19</v>
      </c>
      <c r="AX670">
        <v>17</v>
      </c>
      <c r="AY670">
        <v>26.2</v>
      </c>
      <c r="AZ670">
        <v>121</v>
      </c>
      <c r="BA670">
        <v>4490</v>
      </c>
      <c r="BB670">
        <v>84</v>
      </c>
      <c r="BC670">
        <v>78</v>
      </c>
      <c r="BD670">
        <v>80</v>
      </c>
      <c r="BE670">
        <v>4.5</v>
      </c>
      <c r="BF670" t="s">
        <v>29</v>
      </c>
      <c r="BG670">
        <v>-53</v>
      </c>
      <c r="BH670">
        <v>213</v>
      </c>
      <c r="BI670">
        <v>0.26700000000000002</v>
      </c>
      <c r="BJ670" t="s">
        <v>322</v>
      </c>
      <c r="BK670">
        <v>0.52829999999999999</v>
      </c>
      <c r="BL670">
        <v>0.56599999999999995</v>
      </c>
      <c r="BM670">
        <v>1.87</v>
      </c>
      <c r="BN670">
        <v>1.85</v>
      </c>
    </row>
    <row r="671" spans="1:66" x14ac:dyDescent="0.25">
      <c r="A671">
        <v>1</v>
      </c>
      <c r="B671">
        <v>2</v>
      </c>
      <c r="C671">
        <v>0</v>
      </c>
      <c r="D671">
        <v>1.82</v>
      </c>
      <c r="E671">
        <v>3.6666666666666665</v>
      </c>
      <c r="F671">
        <v>4.2666666666666666</v>
      </c>
      <c r="G671" s="40">
        <v>0.48</v>
      </c>
      <c r="H671" s="40">
        <v>0.28000000000000003</v>
      </c>
      <c r="I671" s="40">
        <v>0.24</v>
      </c>
      <c r="J671">
        <v>1.77</v>
      </c>
      <c r="K671">
        <v>3.6</v>
      </c>
      <c r="L671">
        <v>4.5</v>
      </c>
      <c r="M671">
        <v>1.89</v>
      </c>
      <c r="N671">
        <v>3.65</v>
      </c>
      <c r="O671">
        <v>3.85</v>
      </c>
      <c r="P671">
        <v>1.8</v>
      </c>
      <c r="Q671">
        <v>3.75</v>
      </c>
      <c r="R671">
        <v>4.45</v>
      </c>
      <c r="S671">
        <v>0.55663096677120227</v>
      </c>
      <c r="T671">
        <v>0.22442751963212484</v>
      </c>
      <c r="U671">
        <v>0.21894151359667288</v>
      </c>
      <c r="V671">
        <v>0.49783013019218852</v>
      </c>
      <c r="W671">
        <v>0.25778053316800992</v>
      </c>
      <c r="X671">
        <v>0.24438933663980161</v>
      </c>
      <c r="Y671">
        <v>0.53064631528738371</v>
      </c>
      <c r="Z671">
        <v>0.25471023133794418</v>
      </c>
      <c r="AA671">
        <v>0.21464345337467206</v>
      </c>
      <c r="AB671">
        <v>0.52836913741692493</v>
      </c>
      <c r="AC671">
        <v>0.24563942804602631</v>
      </c>
      <c r="AD671">
        <v>0.22599143453704884</v>
      </c>
      <c r="AE671" t="s">
        <v>314</v>
      </c>
      <c r="AF671" t="s">
        <v>307</v>
      </c>
      <c r="AG671">
        <v>142.47999999999999</v>
      </c>
      <c r="AH671">
        <v>28</v>
      </c>
      <c r="AI671">
        <v>18</v>
      </c>
      <c r="AJ671">
        <v>11</v>
      </c>
      <c r="AK671">
        <v>25.6</v>
      </c>
      <c r="AL671">
        <v>161</v>
      </c>
      <c r="AM671">
        <v>3818</v>
      </c>
      <c r="AN671">
        <v>75</v>
      </c>
      <c r="AO671">
        <v>75</v>
      </c>
      <c r="AP671">
        <v>73</v>
      </c>
      <c r="AQ671">
        <v>3.5</v>
      </c>
      <c r="AR671" t="s">
        <v>46</v>
      </c>
      <c r="AS671" t="s">
        <v>319</v>
      </c>
      <c r="AT671" t="s">
        <v>307</v>
      </c>
      <c r="AU671">
        <v>153.53</v>
      </c>
      <c r="AV671">
        <v>29</v>
      </c>
      <c r="AW671">
        <v>17</v>
      </c>
      <c r="AX671">
        <v>11</v>
      </c>
      <c r="AY671">
        <v>26.9</v>
      </c>
      <c r="AZ671">
        <v>246</v>
      </c>
      <c r="BA671">
        <v>2866</v>
      </c>
      <c r="BB671">
        <v>76</v>
      </c>
      <c r="BC671">
        <v>73</v>
      </c>
      <c r="BD671">
        <v>73</v>
      </c>
      <c r="BE671">
        <v>4</v>
      </c>
      <c r="BF671" t="s">
        <v>29</v>
      </c>
      <c r="BG671">
        <v>5</v>
      </c>
      <c r="BH671">
        <v>93</v>
      </c>
      <c r="BI671">
        <v>0.32400000000000001</v>
      </c>
      <c r="BJ671" t="s">
        <v>322</v>
      </c>
      <c r="BK671">
        <v>0.27500000000000002</v>
      </c>
      <c r="BL671">
        <v>0.26829999999999998</v>
      </c>
      <c r="BM671">
        <v>1.38</v>
      </c>
      <c r="BN671">
        <v>1.1499999999999999</v>
      </c>
    </row>
    <row r="672" spans="1:66" x14ac:dyDescent="0.25">
      <c r="A672">
        <v>2</v>
      </c>
      <c r="B672">
        <v>0</v>
      </c>
      <c r="C672">
        <v>4</v>
      </c>
      <c r="D672">
        <v>2.9016666666666668</v>
      </c>
      <c r="E672">
        <v>3.8666666666666667</v>
      </c>
      <c r="F672">
        <v>2.2633333333333332</v>
      </c>
      <c r="G672" s="40">
        <v>0.25</v>
      </c>
      <c r="H672" s="40">
        <v>0.38</v>
      </c>
      <c r="I672" s="40">
        <v>0.37</v>
      </c>
      <c r="J672">
        <v>2.9</v>
      </c>
      <c r="K672">
        <v>3.95</v>
      </c>
      <c r="L672">
        <v>2.2999999999999998</v>
      </c>
      <c r="M672">
        <v>2.875</v>
      </c>
      <c r="N672">
        <v>3.75</v>
      </c>
      <c r="O672">
        <v>2.25</v>
      </c>
      <c r="P672">
        <v>2.93</v>
      </c>
      <c r="Q672">
        <v>3.9</v>
      </c>
      <c r="R672">
        <v>2.2400000000000002</v>
      </c>
      <c r="S672">
        <v>0.34419687396075827</v>
      </c>
      <c r="T672">
        <v>0.2218157632191553</v>
      </c>
      <c r="U672">
        <v>0.43398736282008649</v>
      </c>
      <c r="V672">
        <v>0.32846715328467146</v>
      </c>
      <c r="W672">
        <v>0.25182481751824815</v>
      </c>
      <c r="X672">
        <v>0.41970802919708028</v>
      </c>
      <c r="Y672">
        <v>0.32687026213977294</v>
      </c>
      <c r="Z672">
        <v>0.24557176104347045</v>
      </c>
      <c r="AA672">
        <v>0.4275579768167565</v>
      </c>
      <c r="AB672">
        <v>0.33317809646173424</v>
      </c>
      <c r="AC672">
        <v>0.23973744726029131</v>
      </c>
      <c r="AD672">
        <v>0.42708445627797448</v>
      </c>
      <c r="AE672" t="s">
        <v>308</v>
      </c>
      <c r="AF672" t="s">
        <v>307</v>
      </c>
      <c r="AG672">
        <v>415.35</v>
      </c>
      <c r="AH672">
        <v>26</v>
      </c>
      <c r="AI672">
        <v>16</v>
      </c>
      <c r="AJ672">
        <v>17</v>
      </c>
      <c r="AK672">
        <v>27.1</v>
      </c>
      <c r="AL672">
        <v>26</v>
      </c>
      <c r="AM672">
        <v>7928</v>
      </c>
      <c r="AN672">
        <v>82</v>
      </c>
      <c r="AO672">
        <v>79</v>
      </c>
      <c r="AP672">
        <v>78</v>
      </c>
      <c r="AQ672">
        <v>4.5</v>
      </c>
      <c r="AR672" t="s">
        <v>29</v>
      </c>
      <c r="AS672" t="s">
        <v>258</v>
      </c>
      <c r="AT672" t="s">
        <v>253</v>
      </c>
      <c r="AU672">
        <v>937.25</v>
      </c>
      <c r="AV672">
        <v>28</v>
      </c>
      <c r="AW672">
        <v>17</v>
      </c>
      <c r="AX672">
        <v>21</v>
      </c>
      <c r="AY672">
        <v>27.9</v>
      </c>
      <c r="AZ672">
        <v>39</v>
      </c>
      <c r="BA672">
        <v>7151</v>
      </c>
      <c r="BB672">
        <v>83</v>
      </c>
      <c r="BC672">
        <v>82</v>
      </c>
      <c r="BD672">
        <v>82</v>
      </c>
      <c r="BE672">
        <v>4.5</v>
      </c>
      <c r="BF672" t="s">
        <v>29</v>
      </c>
      <c r="BG672">
        <v>-4</v>
      </c>
      <c r="BH672">
        <v>1</v>
      </c>
      <c r="BI672">
        <v>0</v>
      </c>
      <c r="BJ672" t="s">
        <v>282</v>
      </c>
      <c r="BK672">
        <v>0.56859999999999999</v>
      </c>
      <c r="BL672">
        <v>0.57379999999999998</v>
      </c>
      <c r="BM672">
        <v>2.1800000000000002</v>
      </c>
      <c r="BN672">
        <v>1.98</v>
      </c>
    </row>
    <row r="673" spans="1:66" x14ac:dyDescent="0.25">
      <c r="A673">
        <v>3</v>
      </c>
      <c r="B673">
        <v>-1</v>
      </c>
      <c r="C673">
        <v>3</v>
      </c>
      <c r="D673">
        <v>1.6266666666666667</v>
      </c>
      <c r="E673">
        <v>3.85</v>
      </c>
      <c r="F673">
        <v>5.8833333333333329</v>
      </c>
      <c r="G673" s="40">
        <v>0.5</v>
      </c>
      <c r="H673" s="40">
        <v>0.31</v>
      </c>
      <c r="I673" s="40">
        <v>0.19</v>
      </c>
      <c r="J673">
        <v>1.63</v>
      </c>
      <c r="K673">
        <v>3.8</v>
      </c>
      <c r="L673">
        <v>6.4</v>
      </c>
      <c r="M673">
        <v>1.68</v>
      </c>
      <c r="N673">
        <v>3.75</v>
      </c>
      <c r="O673">
        <v>5</v>
      </c>
      <c r="P673">
        <v>1.57</v>
      </c>
      <c r="Q673">
        <v>4</v>
      </c>
      <c r="R673">
        <v>6.25</v>
      </c>
      <c r="S673">
        <v>0.63874970734335024</v>
      </c>
      <c r="T673">
        <v>0.19856872656764035</v>
      </c>
      <c r="U673">
        <v>0.16268156608900949</v>
      </c>
      <c r="V673">
        <v>0.5605381165919282</v>
      </c>
      <c r="W673">
        <v>0.25112107623318386</v>
      </c>
      <c r="X673">
        <v>0.18834080717488788</v>
      </c>
      <c r="Y673">
        <v>0.60838352497414372</v>
      </c>
      <c r="Z673">
        <v>0.23879053355235141</v>
      </c>
      <c r="AA673">
        <v>0.15282594147350489</v>
      </c>
      <c r="AB673">
        <v>0.60255711630314079</v>
      </c>
      <c r="AC673">
        <v>0.22949344545105854</v>
      </c>
      <c r="AD673">
        <v>0.16794943824580078</v>
      </c>
      <c r="AE673" t="s">
        <v>146</v>
      </c>
      <c r="AF673" t="s">
        <v>141</v>
      </c>
      <c r="AG673">
        <v>430.9</v>
      </c>
      <c r="AH673">
        <v>27</v>
      </c>
      <c r="AI673">
        <v>20</v>
      </c>
      <c r="AJ673">
        <v>14</v>
      </c>
      <c r="AK673">
        <v>28</v>
      </c>
      <c r="AL673">
        <v>31</v>
      </c>
      <c r="AM673">
        <v>7447</v>
      </c>
      <c r="AN673">
        <v>80</v>
      </c>
      <c r="AO673">
        <v>81</v>
      </c>
      <c r="AP673">
        <v>82</v>
      </c>
      <c r="AQ673">
        <v>4.5</v>
      </c>
      <c r="AR673" t="s">
        <v>29</v>
      </c>
      <c r="AS673" t="s">
        <v>33</v>
      </c>
      <c r="AT673" t="s">
        <v>23</v>
      </c>
      <c r="AU673">
        <v>272</v>
      </c>
      <c r="AV673">
        <v>26</v>
      </c>
      <c r="AW673">
        <v>20</v>
      </c>
      <c r="AX673">
        <v>12</v>
      </c>
      <c r="AY673">
        <v>25.4</v>
      </c>
      <c r="AZ673">
        <v>131</v>
      </c>
      <c r="BA673">
        <v>4207</v>
      </c>
      <c r="BB673">
        <v>78</v>
      </c>
      <c r="BC673">
        <v>78</v>
      </c>
      <c r="BD673">
        <v>78</v>
      </c>
      <c r="BE673">
        <v>4</v>
      </c>
      <c r="BF673" t="s">
        <v>29</v>
      </c>
      <c r="BG673">
        <v>0</v>
      </c>
      <c r="BH673">
        <v>4</v>
      </c>
      <c r="BI673">
        <v>0.25</v>
      </c>
      <c r="BJ673" t="s">
        <v>282</v>
      </c>
      <c r="BK673">
        <v>0.62960000000000005</v>
      </c>
      <c r="BL673">
        <v>0.59179999999999999</v>
      </c>
      <c r="BM673">
        <v>1.46</v>
      </c>
      <c r="BN673">
        <v>1.71</v>
      </c>
    </row>
    <row r="674" spans="1:66" x14ac:dyDescent="0.25">
      <c r="A674">
        <v>1</v>
      </c>
      <c r="B674">
        <v>2</v>
      </c>
      <c r="C674">
        <v>2</v>
      </c>
      <c r="D674">
        <v>1.6733333333333331</v>
      </c>
      <c r="E674">
        <v>3.9833333333333329</v>
      </c>
      <c r="F674">
        <v>5.1166666666666671</v>
      </c>
      <c r="G674" s="40">
        <v>0.38</v>
      </c>
      <c r="H674" s="40">
        <v>0.4</v>
      </c>
      <c r="I674" s="40">
        <v>0.21999999999999997</v>
      </c>
      <c r="J674">
        <v>1.68</v>
      </c>
      <c r="K674">
        <v>4.0999999999999996</v>
      </c>
      <c r="L674">
        <v>5.2</v>
      </c>
      <c r="M674">
        <v>1.69</v>
      </c>
      <c r="N674">
        <v>3.75</v>
      </c>
      <c r="O674">
        <v>5</v>
      </c>
      <c r="P674">
        <v>1.65</v>
      </c>
      <c r="Q674">
        <v>4.0999999999999996</v>
      </c>
      <c r="R674">
        <v>5.15</v>
      </c>
      <c r="S674">
        <v>0.60883966094451181</v>
      </c>
      <c r="T674">
        <v>0.19445829475033835</v>
      </c>
      <c r="U674">
        <v>0.19670204430514993</v>
      </c>
      <c r="V674">
        <v>0.55907566157286614</v>
      </c>
      <c r="W674">
        <v>0.251956764815505</v>
      </c>
      <c r="X674">
        <v>0.18896757361162878</v>
      </c>
      <c r="Y674">
        <v>0.58044120678991129</v>
      </c>
      <c r="Z674">
        <v>0.23359219297642772</v>
      </c>
      <c r="AA674">
        <v>0.18596660023366091</v>
      </c>
      <c r="AB674">
        <v>0.58278550976909649</v>
      </c>
      <c r="AC674">
        <v>0.22666908418075704</v>
      </c>
      <c r="AD674">
        <v>0.19054540605014655</v>
      </c>
      <c r="AE674" t="s">
        <v>252</v>
      </c>
      <c r="AF674" t="s">
        <v>253</v>
      </c>
      <c r="AG674">
        <v>879.5</v>
      </c>
      <c r="AH674">
        <v>27</v>
      </c>
      <c r="AI674">
        <v>19</v>
      </c>
      <c r="AJ674">
        <v>18</v>
      </c>
      <c r="AK674">
        <v>27</v>
      </c>
      <c r="AL674">
        <v>1</v>
      </c>
      <c r="AM674">
        <v>14695</v>
      </c>
      <c r="AN674">
        <v>86</v>
      </c>
      <c r="AO674">
        <v>83</v>
      </c>
      <c r="AP674">
        <v>80</v>
      </c>
      <c r="AQ674">
        <v>5</v>
      </c>
      <c r="AR674" t="s">
        <v>29</v>
      </c>
      <c r="AS674" t="s">
        <v>143</v>
      </c>
      <c r="AT674" t="s">
        <v>141</v>
      </c>
      <c r="AU674">
        <v>755.2</v>
      </c>
      <c r="AV674">
        <v>22</v>
      </c>
      <c r="AW674">
        <v>19</v>
      </c>
      <c r="AX674">
        <v>19</v>
      </c>
      <c r="AY674">
        <v>28</v>
      </c>
      <c r="AZ674">
        <v>13</v>
      </c>
      <c r="BA674">
        <v>9329</v>
      </c>
      <c r="BB674">
        <v>85</v>
      </c>
      <c r="BC674">
        <v>82</v>
      </c>
      <c r="BD674">
        <v>83</v>
      </c>
      <c r="BE674">
        <v>5</v>
      </c>
      <c r="BF674" t="s">
        <v>29</v>
      </c>
      <c r="BG674">
        <v>-1</v>
      </c>
      <c r="BH674">
        <v>8</v>
      </c>
      <c r="BI674">
        <v>0.28599999999999998</v>
      </c>
      <c r="BJ674" t="s">
        <v>282</v>
      </c>
      <c r="BK674">
        <v>0.52829999999999999</v>
      </c>
      <c r="BL674">
        <v>0.60419999999999996</v>
      </c>
      <c r="BM674">
        <v>1.83</v>
      </c>
      <c r="BN674">
        <v>1.6</v>
      </c>
    </row>
    <row r="675" spans="1:66" x14ac:dyDescent="0.25">
      <c r="A675">
        <v>2</v>
      </c>
      <c r="B675">
        <v>0</v>
      </c>
      <c r="C675">
        <v>4</v>
      </c>
      <c r="D675">
        <v>2.9466666666666668</v>
      </c>
      <c r="E675">
        <v>3.6999999999999997</v>
      </c>
      <c r="F675">
        <v>2.3066666666666662</v>
      </c>
      <c r="G675" s="40">
        <v>0.28000000000000003</v>
      </c>
      <c r="H675" s="40">
        <v>0.27</v>
      </c>
      <c r="I675" s="40">
        <v>0.44999999999999996</v>
      </c>
      <c r="J675">
        <v>3.05</v>
      </c>
      <c r="K675">
        <v>3.7</v>
      </c>
      <c r="L675">
        <v>2.3199999999999998</v>
      </c>
      <c r="M675">
        <v>2.85</v>
      </c>
      <c r="N675">
        <v>3.65</v>
      </c>
      <c r="O675">
        <v>2.2999999999999998</v>
      </c>
      <c r="P675">
        <v>2.94</v>
      </c>
      <c r="Q675">
        <v>3.75</v>
      </c>
      <c r="R675">
        <v>2.2999999999999998</v>
      </c>
      <c r="S675">
        <v>0.32929035611582924</v>
      </c>
      <c r="T675">
        <v>0.23780637399051596</v>
      </c>
      <c r="U675">
        <v>0.43290326989365485</v>
      </c>
      <c r="V675">
        <v>0.3311310521644808</v>
      </c>
      <c r="W675">
        <v>0.25855438319692342</v>
      </c>
      <c r="X675">
        <v>0.41031456463859584</v>
      </c>
      <c r="Y675">
        <v>0.32655611085870057</v>
      </c>
      <c r="Z675">
        <v>0.25601999091322125</v>
      </c>
      <c r="AA675">
        <v>0.41742389822807807</v>
      </c>
      <c r="AB675">
        <v>0.3289925063796702</v>
      </c>
      <c r="AC675">
        <v>0.25079358270022023</v>
      </c>
      <c r="AD675">
        <v>0.42021391092010957</v>
      </c>
      <c r="AE675" t="s">
        <v>25</v>
      </c>
      <c r="AF675" t="s">
        <v>26</v>
      </c>
      <c r="AG675">
        <v>505.55</v>
      </c>
      <c r="AH675">
        <v>28</v>
      </c>
      <c r="AI675">
        <v>21</v>
      </c>
      <c r="AJ675">
        <v>16</v>
      </c>
      <c r="AK675">
        <v>24.1</v>
      </c>
      <c r="AL675">
        <v>16</v>
      </c>
      <c r="AM675">
        <v>9221</v>
      </c>
      <c r="AN675">
        <v>78</v>
      </c>
      <c r="AO675">
        <v>81</v>
      </c>
      <c r="AP675">
        <v>80</v>
      </c>
      <c r="AQ675">
        <v>4.5</v>
      </c>
      <c r="AR675" t="s">
        <v>29</v>
      </c>
      <c r="AS675" t="s">
        <v>10</v>
      </c>
      <c r="AT675" t="s">
        <v>23</v>
      </c>
      <c r="AU675">
        <v>997.75</v>
      </c>
      <c r="AV675">
        <v>35</v>
      </c>
      <c r="AW675">
        <v>24</v>
      </c>
      <c r="AX675">
        <v>19</v>
      </c>
      <c r="AY675">
        <v>26.1</v>
      </c>
      <c r="AZ675">
        <v>12</v>
      </c>
      <c r="BA675">
        <v>9495</v>
      </c>
      <c r="BB675">
        <v>87</v>
      </c>
      <c r="BC675">
        <v>82</v>
      </c>
      <c r="BD675">
        <v>82</v>
      </c>
      <c r="BE675">
        <v>5</v>
      </c>
      <c r="BF675" t="s">
        <v>28</v>
      </c>
      <c r="BG675">
        <v>-4</v>
      </c>
      <c r="BH675">
        <v>3</v>
      </c>
      <c r="BI675">
        <v>0.25</v>
      </c>
      <c r="BJ675" t="s">
        <v>282</v>
      </c>
      <c r="BK675">
        <v>0.58330000000000004</v>
      </c>
      <c r="BL675">
        <v>0.66669999999999996</v>
      </c>
      <c r="BM675">
        <v>1.79</v>
      </c>
      <c r="BN675">
        <v>2.21</v>
      </c>
    </row>
    <row r="676" spans="1:66" x14ac:dyDescent="0.25">
      <c r="A676">
        <v>1</v>
      </c>
      <c r="B676">
        <v>3</v>
      </c>
      <c r="C676">
        <v>4</v>
      </c>
      <c r="D676">
        <v>2.0133333333333332</v>
      </c>
      <c r="E676">
        <v>3.6</v>
      </c>
      <c r="F676">
        <v>3.6333333333333333</v>
      </c>
      <c r="G676" s="40">
        <v>0.31</v>
      </c>
      <c r="H676" s="40">
        <v>0.46</v>
      </c>
      <c r="I676" s="40">
        <v>0.22999999999999993</v>
      </c>
      <c r="J676">
        <v>2</v>
      </c>
      <c r="K676">
        <v>3.5</v>
      </c>
      <c r="L676">
        <v>3.75</v>
      </c>
      <c r="M676">
        <v>2</v>
      </c>
      <c r="N676">
        <v>3.65</v>
      </c>
      <c r="O676">
        <v>3.6</v>
      </c>
      <c r="P676">
        <v>2.04</v>
      </c>
      <c r="Q676">
        <v>3.65</v>
      </c>
      <c r="R676">
        <v>3.55</v>
      </c>
      <c r="S676">
        <v>0.49428379287155344</v>
      </c>
      <c r="T676">
        <v>0.24209818426361798</v>
      </c>
      <c r="U676">
        <v>0.26361802286482849</v>
      </c>
      <c r="V676">
        <v>0.47539797395079597</v>
      </c>
      <c r="W676">
        <v>0.26049204052098407</v>
      </c>
      <c r="X676">
        <v>0.26410998552821996</v>
      </c>
      <c r="Y676">
        <v>0.46870195872746018</v>
      </c>
      <c r="Z676">
        <v>0.26195945090521067</v>
      </c>
      <c r="AA676">
        <v>0.26933859036732927</v>
      </c>
      <c r="AB676">
        <v>0.47946124184993649</v>
      </c>
      <c r="AC676">
        <v>0.25484989189660423</v>
      </c>
      <c r="AD676">
        <v>0.26568886625345922</v>
      </c>
      <c r="AE676" t="s">
        <v>49</v>
      </c>
      <c r="AF676" t="s">
        <v>26</v>
      </c>
      <c r="AG676">
        <v>352.75</v>
      </c>
      <c r="AH676">
        <v>27</v>
      </c>
      <c r="AI676">
        <v>19</v>
      </c>
      <c r="AJ676">
        <v>15</v>
      </c>
      <c r="AK676">
        <v>24.7</v>
      </c>
      <c r="AL676">
        <v>22</v>
      </c>
      <c r="AM676">
        <v>8083</v>
      </c>
      <c r="AN676">
        <v>78</v>
      </c>
      <c r="AO676">
        <v>78</v>
      </c>
      <c r="AP676">
        <v>78</v>
      </c>
      <c r="AQ676">
        <v>4.5</v>
      </c>
      <c r="AR676" t="s">
        <v>46</v>
      </c>
      <c r="AS676" t="s">
        <v>152</v>
      </c>
      <c r="AT676" t="s">
        <v>141</v>
      </c>
      <c r="AU676">
        <v>223.4</v>
      </c>
      <c r="AV676">
        <v>28</v>
      </c>
      <c r="AW676">
        <v>11</v>
      </c>
      <c r="AX676">
        <v>11</v>
      </c>
      <c r="AY676">
        <v>28.5</v>
      </c>
      <c r="AZ676">
        <v>125</v>
      </c>
      <c r="BA676">
        <v>4257</v>
      </c>
      <c r="BB676">
        <v>79</v>
      </c>
      <c r="BC676">
        <v>79</v>
      </c>
      <c r="BD676">
        <v>78</v>
      </c>
      <c r="BE676">
        <v>4</v>
      </c>
      <c r="BF676" t="s">
        <v>29</v>
      </c>
      <c r="BG676">
        <v>0</v>
      </c>
      <c r="BH676">
        <v>1</v>
      </c>
      <c r="BI676">
        <v>0</v>
      </c>
      <c r="BJ676" t="s">
        <v>283</v>
      </c>
      <c r="BK676">
        <v>0.4667</v>
      </c>
      <c r="BL676">
        <v>0.4884</v>
      </c>
      <c r="BM676">
        <v>1.98</v>
      </c>
      <c r="BN676">
        <v>1.42</v>
      </c>
    </row>
    <row r="677" spans="1:66" x14ac:dyDescent="0.25">
      <c r="A677">
        <v>2</v>
      </c>
      <c r="B677">
        <v>0</v>
      </c>
      <c r="C677">
        <v>4</v>
      </c>
      <c r="D677">
        <v>2.31</v>
      </c>
      <c r="E677">
        <v>3.4500000000000006</v>
      </c>
      <c r="F677">
        <v>3.0666666666666664</v>
      </c>
      <c r="G677" s="40">
        <v>0.3</v>
      </c>
      <c r="H677" s="40">
        <v>0.38</v>
      </c>
      <c r="I677" s="40">
        <v>0.31999999999999995</v>
      </c>
      <c r="J677">
        <v>2.2999999999999998</v>
      </c>
      <c r="K677">
        <v>3.45</v>
      </c>
      <c r="L677">
        <v>3</v>
      </c>
      <c r="M677">
        <v>2.2999999999999998</v>
      </c>
      <c r="N677">
        <v>3.45</v>
      </c>
      <c r="O677">
        <v>3.1</v>
      </c>
      <c r="P677">
        <v>2.33</v>
      </c>
      <c r="Q677">
        <v>3.45</v>
      </c>
      <c r="R677">
        <v>3.1</v>
      </c>
      <c r="S677">
        <v>0.42346069603309816</v>
      </c>
      <c r="T677">
        <v>0.25188610367486008</v>
      </c>
      <c r="U677">
        <v>0.32465320029204187</v>
      </c>
      <c r="V677">
        <v>0.41517857142857151</v>
      </c>
      <c r="W677">
        <v>0.2767857142857143</v>
      </c>
      <c r="X677">
        <v>0.3080357142857143</v>
      </c>
      <c r="Y677">
        <v>0.41203552096777302</v>
      </c>
      <c r="Z677">
        <v>0.27827326488548149</v>
      </c>
      <c r="AA677">
        <v>0.3096912141467455</v>
      </c>
      <c r="AB677">
        <v>0.41689159614314758</v>
      </c>
      <c r="AC677">
        <v>0.26898169428201862</v>
      </c>
      <c r="AD677">
        <v>0.31412670957483391</v>
      </c>
      <c r="AE677" t="s">
        <v>34</v>
      </c>
      <c r="AF677" t="s">
        <v>23</v>
      </c>
      <c r="AG677">
        <v>262.89999999999998</v>
      </c>
      <c r="AH677">
        <v>31</v>
      </c>
      <c r="AI677">
        <v>18</v>
      </c>
      <c r="AJ677">
        <v>8</v>
      </c>
      <c r="AK677">
        <v>23.3</v>
      </c>
      <c r="AL677">
        <v>145</v>
      </c>
      <c r="AM677">
        <v>4008</v>
      </c>
      <c r="AN677">
        <v>77</v>
      </c>
      <c r="AO677">
        <v>76</v>
      </c>
      <c r="AP677">
        <v>76</v>
      </c>
      <c r="AQ677">
        <v>4</v>
      </c>
      <c r="AR677" t="s">
        <v>29</v>
      </c>
      <c r="AS677" t="s">
        <v>311</v>
      </c>
      <c r="AT677" t="s">
        <v>307</v>
      </c>
      <c r="AU677">
        <v>326.60000000000002</v>
      </c>
      <c r="AV677">
        <v>33</v>
      </c>
      <c r="AW677">
        <v>26</v>
      </c>
      <c r="AX677">
        <v>12</v>
      </c>
      <c r="AY677">
        <v>27.4</v>
      </c>
      <c r="AZ677">
        <v>41</v>
      </c>
      <c r="BA677">
        <v>6846</v>
      </c>
      <c r="BB677">
        <v>82</v>
      </c>
      <c r="BC677">
        <v>80</v>
      </c>
      <c r="BD677">
        <v>79</v>
      </c>
      <c r="BE677">
        <v>4.5</v>
      </c>
      <c r="BF677" t="s">
        <v>46</v>
      </c>
      <c r="BG677">
        <v>-6</v>
      </c>
      <c r="BH677">
        <v>5</v>
      </c>
      <c r="BI677">
        <v>0.14299999999999999</v>
      </c>
      <c r="BJ677" t="s">
        <v>283</v>
      </c>
      <c r="BK677">
        <v>0.38300000000000001</v>
      </c>
      <c r="BL677">
        <v>0.5</v>
      </c>
      <c r="BM677">
        <v>1.28</v>
      </c>
      <c r="BN677">
        <v>1.63</v>
      </c>
    </row>
    <row r="678" spans="1:66" x14ac:dyDescent="0.25">
      <c r="A678">
        <v>2</v>
      </c>
      <c r="B678">
        <v>0</v>
      </c>
      <c r="C678">
        <v>4</v>
      </c>
      <c r="D678">
        <v>3.4500000000000006</v>
      </c>
      <c r="E678">
        <v>3.25</v>
      </c>
      <c r="F678">
        <v>2.0833333333333335</v>
      </c>
      <c r="G678" s="40">
        <v>0.35</v>
      </c>
      <c r="H678" s="40">
        <v>0.34</v>
      </c>
      <c r="I678" s="40">
        <v>0.31</v>
      </c>
      <c r="J678">
        <v>3.4</v>
      </c>
      <c r="K678">
        <v>3.1</v>
      </c>
      <c r="L678">
        <v>2.02</v>
      </c>
      <c r="M678">
        <v>3.45</v>
      </c>
      <c r="N678">
        <v>3.35</v>
      </c>
      <c r="O678">
        <v>2.1</v>
      </c>
      <c r="P678">
        <v>3.5</v>
      </c>
      <c r="Q678">
        <v>3.3</v>
      </c>
      <c r="R678">
        <v>2.13</v>
      </c>
      <c r="S678">
        <v>0.27236524411275909</v>
      </c>
      <c r="T678">
        <v>0.26919820639051772</v>
      </c>
      <c r="U678">
        <v>0.45843654949672324</v>
      </c>
      <c r="V678">
        <v>0.27227866473149492</v>
      </c>
      <c r="W678">
        <v>0.28040638606676344</v>
      </c>
      <c r="X678">
        <v>0.4473149492017417</v>
      </c>
      <c r="Y678">
        <v>0.26999308596450794</v>
      </c>
      <c r="Z678">
        <v>0.28635630329569028</v>
      </c>
      <c r="AA678">
        <v>0.44365061073980183</v>
      </c>
      <c r="AB678">
        <v>0.27154566493625398</v>
      </c>
      <c r="AC678">
        <v>0.27865363191765719</v>
      </c>
      <c r="AD678">
        <v>0.44980070314608894</v>
      </c>
      <c r="AE678" t="s">
        <v>111</v>
      </c>
      <c r="AF678" t="s">
        <v>108</v>
      </c>
      <c r="AG678">
        <v>56.2</v>
      </c>
      <c r="AH678">
        <v>28</v>
      </c>
      <c r="AI678">
        <v>2</v>
      </c>
      <c r="AJ678">
        <v>2</v>
      </c>
      <c r="AK678">
        <v>25.9</v>
      </c>
      <c r="AL678">
        <v>15</v>
      </c>
      <c r="AM678">
        <v>9286</v>
      </c>
      <c r="AN678">
        <v>74</v>
      </c>
      <c r="AO678">
        <v>71</v>
      </c>
      <c r="AP678">
        <v>72</v>
      </c>
      <c r="AQ678">
        <v>3.5</v>
      </c>
      <c r="AR678" t="s">
        <v>29</v>
      </c>
      <c r="AS678" t="s">
        <v>107</v>
      </c>
      <c r="AT678" t="s">
        <v>108</v>
      </c>
      <c r="AU678">
        <v>148.6</v>
      </c>
      <c r="AV678">
        <v>32</v>
      </c>
      <c r="AW678">
        <v>2</v>
      </c>
      <c r="AX678">
        <v>7</v>
      </c>
      <c r="AY678">
        <v>27.2</v>
      </c>
      <c r="AZ678">
        <v>2</v>
      </c>
      <c r="BA678">
        <v>13486</v>
      </c>
      <c r="BB678">
        <v>77</v>
      </c>
      <c r="BC678">
        <v>75</v>
      </c>
      <c r="BD678">
        <v>75</v>
      </c>
      <c r="BE678">
        <v>4</v>
      </c>
      <c r="BF678" t="s">
        <v>29</v>
      </c>
      <c r="BG678">
        <v>-2</v>
      </c>
      <c r="BH678">
        <v>64</v>
      </c>
      <c r="BI678">
        <v>0.41299999999999998</v>
      </c>
      <c r="BJ678" t="s">
        <v>108</v>
      </c>
      <c r="BK678">
        <v>0.43940000000000001</v>
      </c>
      <c r="BL678">
        <v>0.62860000000000005</v>
      </c>
      <c r="BM678">
        <v>1.29</v>
      </c>
      <c r="BN678">
        <v>1.87</v>
      </c>
    </row>
    <row r="679" spans="1:66" x14ac:dyDescent="0.25">
      <c r="A679">
        <v>3</v>
      </c>
      <c r="B679">
        <v>-1</v>
      </c>
      <c r="C679">
        <v>3</v>
      </c>
      <c r="D679">
        <v>1.88</v>
      </c>
      <c r="E679">
        <v>3.5333333333333332</v>
      </c>
      <c r="F679">
        <v>4.05</v>
      </c>
      <c r="G679" s="40">
        <v>0.44</v>
      </c>
      <c r="H679" s="40">
        <v>0.33</v>
      </c>
      <c r="I679" s="40">
        <v>0.23000000000000004</v>
      </c>
      <c r="J679">
        <v>1.85</v>
      </c>
      <c r="K679">
        <v>3.6</v>
      </c>
      <c r="L679">
        <v>4.0999999999999996</v>
      </c>
      <c r="M679">
        <v>1.91</v>
      </c>
      <c r="N679">
        <v>3.5</v>
      </c>
      <c r="O679">
        <v>4</v>
      </c>
      <c r="P679">
        <v>1.88</v>
      </c>
      <c r="Q679">
        <v>3.5</v>
      </c>
      <c r="R679">
        <v>4.05</v>
      </c>
      <c r="S679">
        <v>0.53103187602368651</v>
      </c>
      <c r="T679">
        <v>0.22935617991684515</v>
      </c>
      <c r="U679">
        <v>0.23961194405946831</v>
      </c>
      <c r="V679">
        <v>0.49426301853486321</v>
      </c>
      <c r="W679">
        <v>0.26972639011473964</v>
      </c>
      <c r="X679">
        <v>0.23601059135039718</v>
      </c>
      <c r="Y679">
        <v>0.49966512742782615</v>
      </c>
      <c r="Z679">
        <v>0.26839155416123234</v>
      </c>
      <c r="AA679">
        <v>0.23194331841094154</v>
      </c>
      <c r="AB679">
        <v>0.50832000732879201</v>
      </c>
      <c r="AC679">
        <v>0.25582470806427238</v>
      </c>
      <c r="AD679">
        <v>0.23585528460693569</v>
      </c>
      <c r="AE679" t="s">
        <v>77</v>
      </c>
      <c r="AF679" t="s">
        <v>63</v>
      </c>
      <c r="AG679">
        <v>8.4</v>
      </c>
      <c r="AH679">
        <v>32</v>
      </c>
      <c r="AI679">
        <v>3</v>
      </c>
      <c r="AJ679">
        <v>0</v>
      </c>
      <c r="AK679">
        <v>23.6</v>
      </c>
      <c r="AL679">
        <v>362</v>
      </c>
      <c r="AM679">
        <v>2071</v>
      </c>
      <c r="AN679">
        <v>65</v>
      </c>
      <c r="AO679">
        <v>66</v>
      </c>
      <c r="AP679">
        <v>61</v>
      </c>
      <c r="AQ679">
        <v>2</v>
      </c>
      <c r="AR679" t="s">
        <v>46</v>
      </c>
      <c r="AS679" t="s">
        <v>73</v>
      </c>
      <c r="AT679" t="s">
        <v>63</v>
      </c>
      <c r="AU679">
        <v>11.68</v>
      </c>
      <c r="AV679">
        <v>34</v>
      </c>
      <c r="AW679">
        <v>4</v>
      </c>
      <c r="AX679">
        <v>1</v>
      </c>
      <c r="AY679">
        <v>25.7</v>
      </c>
      <c r="AZ679">
        <v>237</v>
      </c>
      <c r="BA679">
        <v>2952</v>
      </c>
      <c r="BB679">
        <v>69</v>
      </c>
      <c r="BC679">
        <v>68</v>
      </c>
      <c r="BD679">
        <v>68</v>
      </c>
      <c r="BE679">
        <v>2.5</v>
      </c>
      <c r="BF679" t="s">
        <v>29</v>
      </c>
      <c r="BG679">
        <v>-14</v>
      </c>
      <c r="BH679">
        <v>20</v>
      </c>
      <c r="BI679">
        <v>0.217</v>
      </c>
      <c r="BJ679" t="s">
        <v>63</v>
      </c>
      <c r="BK679">
        <v>0.26090000000000002</v>
      </c>
      <c r="BL679">
        <v>0.31819999999999998</v>
      </c>
      <c r="BM679">
        <v>1.22</v>
      </c>
      <c r="BN679">
        <v>1.23</v>
      </c>
    </row>
    <row r="680" spans="1:66" x14ac:dyDescent="0.25">
      <c r="A680">
        <v>1</v>
      </c>
      <c r="B680">
        <v>1</v>
      </c>
      <c r="C680">
        <v>3</v>
      </c>
      <c r="D680">
        <v>2.4666666666666668</v>
      </c>
      <c r="E680">
        <v>3.0333333333333332</v>
      </c>
      <c r="F680">
        <v>3.0666666666666664</v>
      </c>
      <c r="G680" s="40">
        <v>0.26</v>
      </c>
      <c r="H680" s="40">
        <v>0.46</v>
      </c>
      <c r="I680" s="40">
        <v>0.27999999999999997</v>
      </c>
      <c r="J680">
        <v>2.4500000000000002</v>
      </c>
      <c r="K680">
        <v>3</v>
      </c>
      <c r="L680">
        <v>3.15</v>
      </c>
      <c r="M680">
        <v>2.4500000000000002</v>
      </c>
      <c r="N680">
        <v>3.1</v>
      </c>
      <c r="O680">
        <v>3</v>
      </c>
      <c r="P680">
        <v>2.5</v>
      </c>
      <c r="Q680">
        <v>3</v>
      </c>
      <c r="R680">
        <v>3.05</v>
      </c>
      <c r="S680">
        <v>0.39912184412733259</v>
      </c>
      <c r="T680">
        <v>0.29045005488474201</v>
      </c>
      <c r="U680">
        <v>0.31042810098792539</v>
      </c>
      <c r="V680">
        <v>0.38358424417405651</v>
      </c>
      <c r="W680">
        <v>0.30315528975046402</v>
      </c>
      <c r="X680">
        <v>0.31326046607547947</v>
      </c>
      <c r="Y680">
        <v>0.37693099897013393</v>
      </c>
      <c r="Z680">
        <v>0.31410916580844489</v>
      </c>
      <c r="AA680">
        <v>0.30895983522142123</v>
      </c>
      <c r="AB680">
        <v>0.38654569575717429</v>
      </c>
      <c r="AC680">
        <v>0.30257150348121692</v>
      </c>
      <c r="AD680">
        <v>0.31088280076160874</v>
      </c>
      <c r="AE680" t="s">
        <v>71</v>
      </c>
      <c r="AF680" t="s">
        <v>63</v>
      </c>
      <c r="AG680">
        <v>11.5</v>
      </c>
      <c r="AH680">
        <v>28</v>
      </c>
      <c r="AI680">
        <v>3</v>
      </c>
      <c r="AJ680">
        <v>0</v>
      </c>
      <c r="AK680">
        <v>27</v>
      </c>
      <c r="AL680">
        <v>205</v>
      </c>
      <c r="AM680">
        <v>3223</v>
      </c>
      <c r="AN680">
        <v>65</v>
      </c>
      <c r="AO680">
        <v>67</v>
      </c>
      <c r="AP680">
        <v>63</v>
      </c>
      <c r="AQ680">
        <v>2</v>
      </c>
      <c r="AR680" t="s">
        <v>29</v>
      </c>
      <c r="AS680" t="s">
        <v>68</v>
      </c>
      <c r="AT680" t="s">
        <v>63</v>
      </c>
      <c r="AU680">
        <v>16.600000000000001</v>
      </c>
      <c r="AV680">
        <v>36</v>
      </c>
      <c r="AW680">
        <v>2</v>
      </c>
      <c r="AX680">
        <v>1</v>
      </c>
      <c r="AY680">
        <v>25.1</v>
      </c>
      <c r="AZ680">
        <v>129</v>
      </c>
      <c r="BA680">
        <v>4227</v>
      </c>
      <c r="BB680">
        <v>62</v>
      </c>
      <c r="BC680">
        <v>66</v>
      </c>
      <c r="BD680">
        <v>64</v>
      </c>
      <c r="BE680">
        <v>2</v>
      </c>
      <c r="BF680" t="s">
        <v>46</v>
      </c>
      <c r="BG680">
        <v>-3</v>
      </c>
      <c r="BH680">
        <v>17</v>
      </c>
      <c r="BI680">
        <v>0.308</v>
      </c>
      <c r="BJ680" t="s">
        <v>63</v>
      </c>
      <c r="BK680">
        <v>0.38479999999999998</v>
      </c>
      <c r="BL680">
        <v>0.38890000000000002</v>
      </c>
      <c r="BM680">
        <v>1.42</v>
      </c>
      <c r="BN680">
        <v>1.39</v>
      </c>
    </row>
    <row r="681" spans="1:66" x14ac:dyDescent="0.25">
      <c r="A681">
        <v>2</v>
      </c>
      <c r="B681">
        <v>0</v>
      </c>
      <c r="C681">
        <v>0</v>
      </c>
      <c r="D681">
        <v>1.54</v>
      </c>
      <c r="E681">
        <v>4.1499999999999995</v>
      </c>
      <c r="F681">
        <v>6.0166666666666666</v>
      </c>
      <c r="G681" s="40">
        <v>0.49</v>
      </c>
      <c r="H681" s="40">
        <v>0.33</v>
      </c>
      <c r="I681" s="40">
        <v>0.18</v>
      </c>
      <c r="J681">
        <v>1.52</v>
      </c>
      <c r="K681">
        <v>4.25</v>
      </c>
      <c r="L681">
        <v>6.25</v>
      </c>
      <c r="M681">
        <v>1.54</v>
      </c>
      <c r="N681">
        <v>4.0999999999999996</v>
      </c>
      <c r="O681">
        <v>6</v>
      </c>
      <c r="P681">
        <v>1.56</v>
      </c>
      <c r="Q681">
        <v>4.0999999999999996</v>
      </c>
      <c r="R681">
        <v>5.8</v>
      </c>
      <c r="S681">
        <v>0.66346360116517578</v>
      </c>
      <c r="T681">
        <v>0.17518205103145348</v>
      </c>
      <c r="U681">
        <v>0.16135434780337077</v>
      </c>
      <c r="V681">
        <v>0.61264133087612693</v>
      </c>
      <c r="W681">
        <v>0.23011406086566721</v>
      </c>
      <c r="X681">
        <v>0.15724460825820591</v>
      </c>
      <c r="Y681">
        <v>0.60626147256781571</v>
      </c>
      <c r="Z681">
        <v>0.23067509687946158</v>
      </c>
      <c r="AA681">
        <v>0.16306343055272285</v>
      </c>
      <c r="AB681">
        <v>0.62745546820303943</v>
      </c>
      <c r="AC681">
        <v>0.21199040292552743</v>
      </c>
      <c r="AD681">
        <v>0.16055412887143317</v>
      </c>
      <c r="AE681" t="s">
        <v>67</v>
      </c>
      <c r="AF681" t="s">
        <v>63</v>
      </c>
      <c r="AG681">
        <v>21.85</v>
      </c>
      <c r="AH681">
        <v>29</v>
      </c>
      <c r="AI681">
        <v>2</v>
      </c>
      <c r="AJ681">
        <v>4</v>
      </c>
      <c r="AK681">
        <v>25.7</v>
      </c>
      <c r="AL681">
        <v>104</v>
      </c>
      <c r="AM681">
        <v>4793</v>
      </c>
      <c r="AN681">
        <v>67</v>
      </c>
      <c r="AO681">
        <v>70</v>
      </c>
      <c r="AP681">
        <v>67</v>
      </c>
      <c r="AQ681">
        <v>2.5</v>
      </c>
      <c r="AR681" t="s">
        <v>29</v>
      </c>
      <c r="AS681" t="s">
        <v>76</v>
      </c>
      <c r="AT681" t="s">
        <v>63</v>
      </c>
      <c r="AU681">
        <v>10.15</v>
      </c>
      <c r="AV681">
        <v>30</v>
      </c>
      <c r="AW681">
        <v>3</v>
      </c>
      <c r="AX681">
        <v>0</v>
      </c>
      <c r="AY681">
        <v>27.4</v>
      </c>
      <c r="AZ681">
        <v>349</v>
      </c>
      <c r="BA681">
        <v>2119</v>
      </c>
      <c r="BB681">
        <v>59</v>
      </c>
      <c r="BC681">
        <v>64</v>
      </c>
      <c r="BD681">
        <v>65</v>
      </c>
      <c r="BE681">
        <v>2</v>
      </c>
      <c r="BF681" t="s">
        <v>29</v>
      </c>
      <c r="BG681">
        <v>9</v>
      </c>
      <c r="BH681">
        <v>18</v>
      </c>
      <c r="BI681">
        <v>0.5</v>
      </c>
      <c r="BJ681" t="s">
        <v>63</v>
      </c>
      <c r="BK681">
        <v>0.42859999999999998</v>
      </c>
      <c r="BL681">
        <v>0.2727</v>
      </c>
      <c r="BM681">
        <v>1.75</v>
      </c>
      <c r="BN681">
        <v>0.82</v>
      </c>
    </row>
    <row r="682" spans="1:66" x14ac:dyDescent="0.25">
      <c r="A682">
        <v>3</v>
      </c>
      <c r="B682">
        <v>-1</v>
      </c>
      <c r="C682">
        <v>1</v>
      </c>
      <c r="D682">
        <v>3.2166666666666668</v>
      </c>
      <c r="E682">
        <v>3.0500000000000003</v>
      </c>
      <c r="F682">
        <v>2.375</v>
      </c>
      <c r="G682" s="40">
        <v>0.23</v>
      </c>
      <c r="H682" s="40">
        <v>0.39</v>
      </c>
      <c r="I682" s="40">
        <v>0.38</v>
      </c>
      <c r="J682">
        <v>3.35</v>
      </c>
      <c r="K682">
        <v>3</v>
      </c>
      <c r="L682">
        <v>2.35</v>
      </c>
      <c r="M682">
        <v>3.1</v>
      </c>
      <c r="N682">
        <v>3.1</v>
      </c>
      <c r="O682">
        <v>2.375</v>
      </c>
      <c r="P682">
        <v>3.2</v>
      </c>
      <c r="Q682">
        <v>3.05</v>
      </c>
      <c r="R682">
        <v>2.4</v>
      </c>
      <c r="S682">
        <v>0.29318411154939911</v>
      </c>
      <c r="T682">
        <v>0.28887258049720205</v>
      </c>
      <c r="U682">
        <v>0.41794330795339873</v>
      </c>
      <c r="V682">
        <v>0.30254777070063693</v>
      </c>
      <c r="W682">
        <v>0.30254777070063693</v>
      </c>
      <c r="X682">
        <v>0.39490445859872614</v>
      </c>
      <c r="Y682">
        <v>0.29563812600969308</v>
      </c>
      <c r="Z682">
        <v>0.31017770597738292</v>
      </c>
      <c r="AA682">
        <v>0.39418416801292411</v>
      </c>
      <c r="AB682">
        <v>0.29712333608657637</v>
      </c>
      <c r="AC682">
        <v>0.30053268572507402</v>
      </c>
      <c r="AD682">
        <v>0.40234397818834972</v>
      </c>
      <c r="AE682" t="s">
        <v>78</v>
      </c>
      <c r="AF682" t="s">
        <v>63</v>
      </c>
      <c r="AG682">
        <v>8.07</v>
      </c>
      <c r="AH682">
        <v>31</v>
      </c>
      <c r="AI682">
        <v>4</v>
      </c>
      <c r="AJ682">
        <v>0</v>
      </c>
      <c r="AK682">
        <v>25.2</v>
      </c>
      <c r="AL682">
        <v>433</v>
      </c>
      <c r="AM682">
        <v>1716</v>
      </c>
      <c r="AN682">
        <v>63</v>
      </c>
      <c r="AO682">
        <v>64</v>
      </c>
      <c r="AP682">
        <v>64</v>
      </c>
      <c r="AQ682">
        <v>2</v>
      </c>
      <c r="AR682" t="s">
        <v>29</v>
      </c>
      <c r="AS682" t="s">
        <v>65</v>
      </c>
      <c r="AT682" t="s">
        <v>63</v>
      </c>
      <c r="AU682">
        <v>14.58</v>
      </c>
      <c r="AV682">
        <v>35</v>
      </c>
      <c r="AW682">
        <v>3</v>
      </c>
      <c r="AX682">
        <v>1</v>
      </c>
      <c r="AY682">
        <v>25.9</v>
      </c>
      <c r="AZ682">
        <v>91</v>
      </c>
      <c r="BA682">
        <v>5087</v>
      </c>
      <c r="BB682">
        <v>68</v>
      </c>
      <c r="BC682">
        <v>61</v>
      </c>
      <c r="BD682">
        <v>64</v>
      </c>
      <c r="BE682">
        <v>1.5</v>
      </c>
      <c r="BF682" t="s">
        <v>29</v>
      </c>
      <c r="BG682">
        <v>-18</v>
      </c>
      <c r="BH682">
        <v>14</v>
      </c>
      <c r="BI682">
        <v>0.222</v>
      </c>
      <c r="BJ682" t="s">
        <v>63</v>
      </c>
      <c r="BK682">
        <v>0.18179999999999999</v>
      </c>
      <c r="BL682">
        <v>0.35289999999999999</v>
      </c>
      <c r="BM682">
        <v>0.59</v>
      </c>
      <c r="BN682">
        <v>1.24</v>
      </c>
    </row>
    <row r="683" spans="1:66" x14ac:dyDescent="0.25">
      <c r="A683">
        <v>2</v>
      </c>
      <c r="B683">
        <v>0</v>
      </c>
      <c r="C683">
        <v>2</v>
      </c>
      <c r="D683">
        <v>2.1500000000000004</v>
      </c>
      <c r="E683">
        <v>3.1666666666666665</v>
      </c>
      <c r="F683">
        <v>3.6166666666666671</v>
      </c>
      <c r="G683" s="40">
        <v>0.33</v>
      </c>
      <c r="H683" s="40">
        <v>0.39</v>
      </c>
      <c r="I683" s="40">
        <v>0.27999999999999992</v>
      </c>
      <c r="J683">
        <v>2.14</v>
      </c>
      <c r="K683">
        <v>3.15</v>
      </c>
      <c r="L683">
        <v>3.7</v>
      </c>
      <c r="M683">
        <v>2.15</v>
      </c>
      <c r="N683">
        <v>3.25</v>
      </c>
      <c r="O683">
        <v>3.55</v>
      </c>
      <c r="P683">
        <v>2.16</v>
      </c>
      <c r="Q683">
        <v>3.1</v>
      </c>
      <c r="R683">
        <v>3.6</v>
      </c>
      <c r="S683">
        <v>0.4618477561396383</v>
      </c>
      <c r="T683">
        <v>0.27102948760662504</v>
      </c>
      <c r="U683">
        <v>0.26712275625373672</v>
      </c>
      <c r="V683">
        <v>0.44107808467934623</v>
      </c>
      <c r="W683">
        <v>0.29179011755710604</v>
      </c>
      <c r="X683">
        <v>0.26713179776354773</v>
      </c>
      <c r="Y683">
        <v>0.4353932584269663</v>
      </c>
      <c r="Z683">
        <v>0.30337078651685401</v>
      </c>
      <c r="AA683">
        <v>0.2612359550561798</v>
      </c>
      <c r="AB683">
        <v>0.44610636641531692</v>
      </c>
      <c r="AC683">
        <v>0.28873013056019503</v>
      </c>
      <c r="AD683">
        <v>0.26516350302448805</v>
      </c>
      <c r="AE683" t="s">
        <v>72</v>
      </c>
      <c r="AF683" t="s">
        <v>63</v>
      </c>
      <c r="AG683">
        <v>14.85</v>
      </c>
      <c r="AH683">
        <v>33</v>
      </c>
      <c r="AI683">
        <v>3</v>
      </c>
      <c r="AJ683">
        <v>2</v>
      </c>
      <c r="AK683">
        <v>25.9</v>
      </c>
      <c r="AL683">
        <v>209</v>
      </c>
      <c r="AM683">
        <v>3175</v>
      </c>
      <c r="AN683">
        <v>65</v>
      </c>
      <c r="AO683">
        <v>64</v>
      </c>
      <c r="AP683">
        <v>63</v>
      </c>
      <c r="AQ683">
        <v>1.5</v>
      </c>
      <c r="AR683" t="s">
        <v>46</v>
      </c>
      <c r="AS683" t="s">
        <v>66</v>
      </c>
      <c r="AT683" t="s">
        <v>63</v>
      </c>
      <c r="AU683">
        <v>22.13</v>
      </c>
      <c r="AV683">
        <v>32</v>
      </c>
      <c r="AW683">
        <v>3</v>
      </c>
      <c r="AX683">
        <v>0</v>
      </c>
      <c r="AY683">
        <v>27.7</v>
      </c>
      <c r="AZ683">
        <v>93</v>
      </c>
      <c r="BA683">
        <v>5011</v>
      </c>
      <c r="BB683">
        <v>70</v>
      </c>
      <c r="BC683">
        <v>70</v>
      </c>
      <c r="BD683">
        <v>67</v>
      </c>
      <c r="BE683">
        <v>3</v>
      </c>
      <c r="BF683" t="s">
        <v>28</v>
      </c>
      <c r="BG683">
        <v>5</v>
      </c>
      <c r="BH683">
        <v>49</v>
      </c>
      <c r="BI683">
        <v>0.39400000000000002</v>
      </c>
      <c r="BJ683" t="s">
        <v>63</v>
      </c>
      <c r="BK683">
        <v>0.51719999999999999</v>
      </c>
      <c r="BL683">
        <v>0.4</v>
      </c>
      <c r="BM683">
        <v>1.55</v>
      </c>
      <c r="BN683">
        <v>1.28</v>
      </c>
    </row>
    <row r="684" spans="1:66" x14ac:dyDescent="0.25">
      <c r="A684">
        <v>1</v>
      </c>
      <c r="B684">
        <v>1</v>
      </c>
      <c r="C684">
        <v>5</v>
      </c>
      <c r="D684">
        <v>2.2666666666666666</v>
      </c>
      <c r="E684">
        <v>3.0500000000000003</v>
      </c>
      <c r="F684">
        <v>3.4166666666666665</v>
      </c>
      <c r="G684" s="40">
        <v>0.34</v>
      </c>
      <c r="H684" s="40">
        <v>0.4</v>
      </c>
      <c r="I684" s="40">
        <v>0.2599999999999999</v>
      </c>
      <c r="J684">
        <v>2.25</v>
      </c>
      <c r="K684">
        <v>3.05</v>
      </c>
      <c r="L684">
        <v>3.5</v>
      </c>
      <c r="M684">
        <v>2.25</v>
      </c>
      <c r="N684">
        <v>3.1</v>
      </c>
      <c r="O684">
        <v>3.35</v>
      </c>
      <c r="P684">
        <v>2.2999999999999998</v>
      </c>
      <c r="Q684">
        <v>3</v>
      </c>
      <c r="R684">
        <v>3.4</v>
      </c>
      <c r="S684">
        <v>0.43691205017171869</v>
      </c>
      <c r="T684">
        <v>0.28221591757503361</v>
      </c>
      <c r="U684">
        <v>0.28087203225324775</v>
      </c>
      <c r="V684">
        <v>0.41711015162164877</v>
      </c>
      <c r="W684">
        <v>0.30274123908022893</v>
      </c>
      <c r="X684">
        <v>0.2801486092981223</v>
      </c>
      <c r="Y684">
        <v>0.40930979133226325</v>
      </c>
      <c r="Z684">
        <v>0.31380417335473515</v>
      </c>
      <c r="AA684">
        <v>0.2768860353130016</v>
      </c>
      <c r="AB684">
        <v>0.42111066437521028</v>
      </c>
      <c r="AC684">
        <v>0.29958711000333255</v>
      </c>
      <c r="AD684">
        <v>0.27930222562145718</v>
      </c>
      <c r="AE684" t="s">
        <v>62</v>
      </c>
      <c r="AF684" t="s">
        <v>63</v>
      </c>
      <c r="AG684">
        <v>18.350000000000001</v>
      </c>
      <c r="AH684">
        <v>29</v>
      </c>
      <c r="AI684">
        <v>3</v>
      </c>
      <c r="AJ684">
        <v>1</v>
      </c>
      <c r="AK684">
        <v>27.4</v>
      </c>
      <c r="AL684">
        <v>66</v>
      </c>
      <c r="AM684">
        <v>5865</v>
      </c>
      <c r="AN684">
        <v>67</v>
      </c>
      <c r="AO684">
        <v>68</v>
      </c>
      <c r="AP684">
        <v>66</v>
      </c>
      <c r="AQ684">
        <v>2.5</v>
      </c>
      <c r="AR684" t="s">
        <v>29</v>
      </c>
      <c r="AS684" t="s">
        <v>70</v>
      </c>
      <c r="AT684" t="s">
        <v>63</v>
      </c>
      <c r="AU684">
        <v>16.38</v>
      </c>
      <c r="AV684">
        <v>28</v>
      </c>
      <c r="AW684">
        <v>1</v>
      </c>
      <c r="AX684">
        <v>3</v>
      </c>
      <c r="AY684">
        <v>25.3</v>
      </c>
      <c r="AZ684">
        <v>200</v>
      </c>
      <c r="BA684">
        <v>3276</v>
      </c>
      <c r="BB684">
        <v>69</v>
      </c>
      <c r="BC684">
        <v>63</v>
      </c>
      <c r="BD684">
        <v>65</v>
      </c>
      <c r="BE684">
        <v>2</v>
      </c>
      <c r="BF684" t="s">
        <v>29</v>
      </c>
      <c r="BG684">
        <v>-1</v>
      </c>
      <c r="BH684">
        <v>38</v>
      </c>
      <c r="BI684">
        <v>0.37</v>
      </c>
      <c r="BJ684" t="s">
        <v>63</v>
      </c>
      <c r="BK684">
        <v>0.4375</v>
      </c>
      <c r="BL684">
        <v>0.36</v>
      </c>
      <c r="BM684">
        <v>1.25</v>
      </c>
      <c r="BN684">
        <v>1.44</v>
      </c>
    </row>
    <row r="685" spans="1:66" x14ac:dyDescent="0.25">
      <c r="A685">
        <v>3</v>
      </c>
      <c r="B685">
        <v>-2</v>
      </c>
      <c r="C685">
        <v>2</v>
      </c>
      <c r="D685">
        <v>2.1733333333333333</v>
      </c>
      <c r="E685">
        <v>3.1999999999999997</v>
      </c>
      <c r="F685">
        <v>3.4666666666666668</v>
      </c>
      <c r="G685" s="40">
        <v>0.25</v>
      </c>
      <c r="H685" s="40">
        <v>0.42</v>
      </c>
      <c r="I685" s="40">
        <v>0.33</v>
      </c>
      <c r="J685">
        <v>2.17</v>
      </c>
      <c r="K685">
        <v>3.15</v>
      </c>
      <c r="L685">
        <v>3.55</v>
      </c>
      <c r="M685">
        <v>2.15</v>
      </c>
      <c r="N685">
        <v>3.3</v>
      </c>
      <c r="O685">
        <v>3.4</v>
      </c>
      <c r="P685">
        <v>2.2000000000000002</v>
      </c>
      <c r="Q685">
        <v>3.15</v>
      </c>
      <c r="R685">
        <v>3.45</v>
      </c>
      <c r="S685">
        <v>0.45188933293647482</v>
      </c>
      <c r="T685">
        <v>0.27188535650798989</v>
      </c>
      <c r="U685">
        <v>0.27622531055553534</v>
      </c>
      <c r="V685">
        <v>0.43785365853658537</v>
      </c>
      <c r="W685">
        <v>0.28526829268292681</v>
      </c>
      <c r="X685">
        <v>0.27687804878048777</v>
      </c>
      <c r="Y685">
        <v>0.42806499261447556</v>
      </c>
      <c r="Z685">
        <v>0.29896602658788773</v>
      </c>
      <c r="AA685">
        <v>0.2729689807976366</v>
      </c>
      <c r="AB685">
        <v>0.43926932802917856</v>
      </c>
      <c r="AC685">
        <v>0.28537322525960152</v>
      </c>
      <c r="AD685">
        <v>0.27535744671121992</v>
      </c>
      <c r="AE685" t="s">
        <v>69</v>
      </c>
      <c r="AF685" t="s">
        <v>63</v>
      </c>
      <c r="AG685">
        <v>8.83</v>
      </c>
      <c r="AH685">
        <v>30</v>
      </c>
      <c r="AI685">
        <v>1</v>
      </c>
      <c r="AJ685">
        <v>0</v>
      </c>
      <c r="AK685">
        <v>27</v>
      </c>
      <c r="AL685">
        <v>181</v>
      </c>
      <c r="AM685">
        <v>3617</v>
      </c>
      <c r="AN685">
        <v>63</v>
      </c>
      <c r="AO685">
        <v>64</v>
      </c>
      <c r="AP685">
        <v>64</v>
      </c>
      <c r="AQ685">
        <v>1.5</v>
      </c>
      <c r="AR685" t="s">
        <v>29</v>
      </c>
      <c r="AS685" t="s">
        <v>75</v>
      </c>
      <c r="AT685" t="s">
        <v>63</v>
      </c>
      <c r="AU685">
        <v>9.3000000000000007</v>
      </c>
      <c r="AV685">
        <v>29</v>
      </c>
      <c r="AW685">
        <v>4</v>
      </c>
      <c r="AX685">
        <v>0</v>
      </c>
      <c r="AY685">
        <v>25.6</v>
      </c>
      <c r="AZ685">
        <v>317</v>
      </c>
      <c r="BA685">
        <v>2374</v>
      </c>
      <c r="BB685">
        <v>69</v>
      </c>
      <c r="BC685">
        <v>66</v>
      </c>
      <c r="BD685">
        <v>64</v>
      </c>
      <c r="BE685">
        <v>2.5</v>
      </c>
      <c r="BF685" t="s">
        <v>46</v>
      </c>
      <c r="BG685">
        <v>-20</v>
      </c>
      <c r="BH685">
        <v>10</v>
      </c>
      <c r="BI685">
        <v>5.2999999999999999E-2</v>
      </c>
      <c r="BJ685" t="s">
        <v>63</v>
      </c>
      <c r="BK685">
        <v>0.37040000000000001</v>
      </c>
      <c r="BL685">
        <v>0.43480000000000002</v>
      </c>
      <c r="BM685">
        <v>1.1499999999999999</v>
      </c>
      <c r="BN685">
        <v>1.43</v>
      </c>
    </row>
    <row r="686" spans="1:66" x14ac:dyDescent="0.25">
      <c r="A686">
        <v>3</v>
      </c>
      <c r="B686">
        <v>-2</v>
      </c>
      <c r="C686">
        <v>2</v>
      </c>
      <c r="D686">
        <v>4.5599999999999996</v>
      </c>
      <c r="E686">
        <v>4</v>
      </c>
      <c r="F686">
        <v>1.7233333333333334</v>
      </c>
      <c r="G686" s="40">
        <v>0.28000000000000003</v>
      </c>
      <c r="H686" s="40">
        <v>0.32</v>
      </c>
      <c r="I686" s="40">
        <v>0.39999999999999997</v>
      </c>
      <c r="J686">
        <v>4.75</v>
      </c>
      <c r="K686">
        <v>4.0999999999999996</v>
      </c>
      <c r="L686">
        <v>1.7</v>
      </c>
      <c r="M686">
        <v>4.33</v>
      </c>
      <c r="N686">
        <v>3.9</v>
      </c>
      <c r="O686">
        <v>1.74</v>
      </c>
      <c r="P686">
        <v>4.5999999999999996</v>
      </c>
      <c r="Q686">
        <v>4</v>
      </c>
      <c r="R686">
        <v>1.73</v>
      </c>
      <c r="S686">
        <v>0.21175420445093623</v>
      </c>
      <c r="T686">
        <v>0.1965796360538008</v>
      </c>
      <c r="U686">
        <v>0.59166615949526302</v>
      </c>
      <c r="V686">
        <v>0.21744981927247559</v>
      </c>
      <c r="W686">
        <v>0.24142505575636392</v>
      </c>
      <c r="X686">
        <v>0.5411251249711605</v>
      </c>
      <c r="Y686">
        <v>0.20794518901376288</v>
      </c>
      <c r="Z686">
        <v>0.23913696736582729</v>
      </c>
      <c r="AA686">
        <v>0.55291784362040985</v>
      </c>
      <c r="AB686">
        <v>0.21238307091239159</v>
      </c>
      <c r="AC686">
        <v>0.22571388639199733</v>
      </c>
      <c r="AD686">
        <v>0.5619030426956112</v>
      </c>
      <c r="AE686" t="s">
        <v>258</v>
      </c>
      <c r="AF686" t="s">
        <v>253</v>
      </c>
      <c r="AG686">
        <v>937.25</v>
      </c>
      <c r="AH686">
        <v>28</v>
      </c>
      <c r="AI686">
        <v>17</v>
      </c>
      <c r="AJ686">
        <v>21</v>
      </c>
      <c r="AK686">
        <v>27.9</v>
      </c>
      <c r="AL686">
        <v>39</v>
      </c>
      <c r="AM686">
        <v>7151</v>
      </c>
      <c r="AN686">
        <v>83</v>
      </c>
      <c r="AO686">
        <v>82</v>
      </c>
      <c r="AP686">
        <v>82</v>
      </c>
      <c r="AQ686">
        <v>4.5</v>
      </c>
      <c r="AR686" t="s">
        <v>29</v>
      </c>
      <c r="AS686" t="s">
        <v>254</v>
      </c>
      <c r="AT686" t="s">
        <v>253</v>
      </c>
      <c r="AU686">
        <v>1040</v>
      </c>
      <c r="AV686">
        <v>22</v>
      </c>
      <c r="AW686">
        <v>16</v>
      </c>
      <c r="AX686">
        <v>19</v>
      </c>
      <c r="AY686">
        <v>27.6</v>
      </c>
      <c r="AZ686">
        <v>8</v>
      </c>
      <c r="BA686">
        <v>10390</v>
      </c>
      <c r="BB686">
        <v>85</v>
      </c>
      <c r="BC686">
        <v>86</v>
      </c>
      <c r="BD686">
        <v>83</v>
      </c>
      <c r="BE686">
        <v>5</v>
      </c>
      <c r="BF686" t="s">
        <v>28</v>
      </c>
      <c r="BG686">
        <v>22</v>
      </c>
      <c r="BH686">
        <v>185</v>
      </c>
      <c r="BI686">
        <v>0.45600000000000002</v>
      </c>
      <c r="BJ686" t="s">
        <v>267</v>
      </c>
      <c r="BK686">
        <v>0.57379999999999998</v>
      </c>
      <c r="BL686">
        <v>0.77049999999999996</v>
      </c>
      <c r="BM686">
        <v>1.98</v>
      </c>
      <c r="BN686">
        <v>2.15</v>
      </c>
    </row>
    <row r="687" spans="1:66" x14ac:dyDescent="0.25">
      <c r="A687">
        <v>2</v>
      </c>
      <c r="B687">
        <v>0</v>
      </c>
      <c r="C687">
        <v>0</v>
      </c>
      <c r="D687">
        <v>3</v>
      </c>
      <c r="E687">
        <v>3.2333333333333329</v>
      </c>
      <c r="F687">
        <v>2.4433333333333338</v>
      </c>
      <c r="G687" s="40">
        <v>0.36</v>
      </c>
      <c r="H687" s="40">
        <v>0.3</v>
      </c>
      <c r="I687" s="40">
        <v>0.34</v>
      </c>
      <c r="J687">
        <v>3.05</v>
      </c>
      <c r="K687">
        <v>3.25</v>
      </c>
      <c r="L687">
        <v>2.4300000000000002</v>
      </c>
      <c r="M687">
        <v>2.95</v>
      </c>
      <c r="N687">
        <v>3.2</v>
      </c>
      <c r="O687">
        <v>2.4500000000000002</v>
      </c>
      <c r="P687">
        <v>3</v>
      </c>
      <c r="Q687">
        <v>3.25</v>
      </c>
      <c r="R687">
        <v>2.4500000000000002</v>
      </c>
      <c r="S687">
        <v>0.32378414390406396</v>
      </c>
      <c r="T687">
        <v>0.26982011992005328</v>
      </c>
      <c r="U687">
        <v>0.4063957361758827</v>
      </c>
      <c r="V687">
        <v>0.31990207079465471</v>
      </c>
      <c r="W687">
        <v>0.29490972151382233</v>
      </c>
      <c r="X687">
        <v>0.38518820769152301</v>
      </c>
      <c r="Y687">
        <v>0.31770573566084792</v>
      </c>
      <c r="Z687">
        <v>0.29326683291770578</v>
      </c>
      <c r="AA687">
        <v>0.38902743142144636</v>
      </c>
      <c r="AB687">
        <v>0.32046398345318888</v>
      </c>
      <c r="AC687">
        <v>0.28599889145052709</v>
      </c>
      <c r="AD687">
        <v>0.39353712509628402</v>
      </c>
      <c r="AE687" t="s">
        <v>262</v>
      </c>
      <c r="AF687" t="s">
        <v>253</v>
      </c>
      <c r="AG687">
        <v>461.75</v>
      </c>
      <c r="AH687">
        <v>27</v>
      </c>
      <c r="AI687">
        <v>14</v>
      </c>
      <c r="AJ687">
        <v>15</v>
      </c>
      <c r="AK687">
        <v>27.9</v>
      </c>
      <c r="AL687">
        <v>149</v>
      </c>
      <c r="AM687">
        <v>3982</v>
      </c>
      <c r="AN687">
        <v>81</v>
      </c>
      <c r="AO687">
        <v>79</v>
      </c>
      <c r="AP687">
        <v>80</v>
      </c>
      <c r="AQ687">
        <v>4.5</v>
      </c>
      <c r="AR687" t="s">
        <v>29</v>
      </c>
      <c r="AS687" t="s">
        <v>259</v>
      </c>
      <c r="AT687" t="s">
        <v>253</v>
      </c>
      <c r="AU687">
        <v>692</v>
      </c>
      <c r="AV687">
        <v>33</v>
      </c>
      <c r="AW687">
        <v>16</v>
      </c>
      <c r="AX687">
        <v>18</v>
      </c>
      <c r="AY687">
        <v>25.7</v>
      </c>
      <c r="AZ687">
        <v>42</v>
      </c>
      <c r="BA687">
        <v>6821</v>
      </c>
      <c r="BB687">
        <v>89</v>
      </c>
      <c r="BC687">
        <v>82</v>
      </c>
      <c r="BD687">
        <v>81</v>
      </c>
      <c r="BE687">
        <v>4.5</v>
      </c>
      <c r="BF687" t="s">
        <v>29</v>
      </c>
      <c r="BG687">
        <v>-36</v>
      </c>
      <c r="BH687">
        <v>157</v>
      </c>
      <c r="BI687">
        <v>0.28999999999999998</v>
      </c>
      <c r="BJ687" t="s">
        <v>267</v>
      </c>
      <c r="BK687">
        <v>0.5</v>
      </c>
      <c r="BL687">
        <v>0.54239999999999999</v>
      </c>
      <c r="BM687">
        <v>1.5</v>
      </c>
      <c r="BN687">
        <v>2.1</v>
      </c>
    </row>
    <row r="688" spans="1:66" x14ac:dyDescent="0.25">
      <c r="A688">
        <v>2</v>
      </c>
      <c r="B688">
        <v>0</v>
      </c>
      <c r="C688">
        <v>6</v>
      </c>
      <c r="D688">
        <v>3.3166666666666664</v>
      </c>
      <c r="E688">
        <v>3.6</v>
      </c>
      <c r="F688">
        <v>2.1366666666666667</v>
      </c>
      <c r="G688" s="40">
        <v>0.26</v>
      </c>
      <c r="H688" s="40">
        <v>0.33</v>
      </c>
      <c r="I688" s="40">
        <v>0.41</v>
      </c>
      <c r="J688">
        <v>3.25</v>
      </c>
      <c r="K688">
        <v>3.65</v>
      </c>
      <c r="L688">
        <v>2.1800000000000002</v>
      </c>
      <c r="M688">
        <v>3.35</v>
      </c>
      <c r="N688">
        <v>3.55</v>
      </c>
      <c r="O688">
        <v>2.1</v>
      </c>
      <c r="P688">
        <v>3.35</v>
      </c>
      <c r="Q688">
        <v>3.6</v>
      </c>
      <c r="R688">
        <v>2.13</v>
      </c>
      <c r="S688">
        <v>0.3059078605353841</v>
      </c>
      <c r="T688">
        <v>0.23803684279489185</v>
      </c>
      <c r="U688">
        <v>0.45605529666972394</v>
      </c>
      <c r="V688">
        <v>0.28257367573201936</v>
      </c>
      <c r="W688">
        <v>0.266654032028807</v>
      </c>
      <c r="X688">
        <v>0.45077229223917376</v>
      </c>
      <c r="Y688">
        <v>0.28544307331509294</v>
      </c>
      <c r="Z688">
        <v>0.26562063766821148</v>
      </c>
      <c r="AA688">
        <v>0.44893628901669547</v>
      </c>
      <c r="AB688">
        <v>0.29130820319416545</v>
      </c>
      <c r="AC688">
        <v>0.25677050416397007</v>
      </c>
      <c r="AD688">
        <v>0.45192129264186437</v>
      </c>
      <c r="AE688" t="s">
        <v>153</v>
      </c>
      <c r="AF688" t="s">
        <v>141</v>
      </c>
      <c r="AG688">
        <v>143.80000000000001</v>
      </c>
      <c r="AH688">
        <v>21</v>
      </c>
      <c r="AI688">
        <v>9</v>
      </c>
      <c r="AJ688">
        <v>8</v>
      </c>
      <c r="AK688">
        <v>28</v>
      </c>
      <c r="AL688">
        <v>138</v>
      </c>
      <c r="AM688">
        <v>4059</v>
      </c>
      <c r="AN688">
        <v>80</v>
      </c>
      <c r="AO688">
        <v>75</v>
      </c>
      <c r="AP688">
        <v>75</v>
      </c>
      <c r="AQ688">
        <v>4</v>
      </c>
      <c r="AR688" t="s">
        <v>29</v>
      </c>
      <c r="AS688" t="s">
        <v>137</v>
      </c>
      <c r="AT688" t="s">
        <v>141</v>
      </c>
      <c r="AU688">
        <v>676</v>
      </c>
      <c r="AV688">
        <v>26</v>
      </c>
      <c r="AW688">
        <v>15</v>
      </c>
      <c r="AX688">
        <v>21</v>
      </c>
      <c r="AY688">
        <v>26.1</v>
      </c>
      <c r="AZ688">
        <v>3</v>
      </c>
      <c r="BA688">
        <v>13105</v>
      </c>
      <c r="BB688">
        <v>84</v>
      </c>
      <c r="BC688">
        <v>82</v>
      </c>
      <c r="BD688">
        <v>81</v>
      </c>
      <c r="BE688">
        <v>5</v>
      </c>
      <c r="BF688" t="s">
        <v>28</v>
      </c>
      <c r="BG688">
        <v>-119</v>
      </c>
      <c r="BH688">
        <v>100</v>
      </c>
      <c r="BI688">
        <v>0.20699999999999999</v>
      </c>
      <c r="BJ688" t="s">
        <v>270</v>
      </c>
      <c r="BK688">
        <v>0.375</v>
      </c>
      <c r="BL688">
        <v>0.62960000000000005</v>
      </c>
      <c r="BM688">
        <v>1.55</v>
      </c>
      <c r="BN688">
        <v>2.2599999999999998</v>
      </c>
    </row>
    <row r="689" spans="1:66" x14ac:dyDescent="0.25">
      <c r="A689">
        <v>1</v>
      </c>
      <c r="B689">
        <v>1</v>
      </c>
      <c r="C689">
        <v>3</v>
      </c>
      <c r="D689">
        <v>2.5</v>
      </c>
      <c r="E689">
        <v>3.0333333333333332</v>
      </c>
      <c r="F689">
        <v>3.0833333333333335</v>
      </c>
      <c r="G689" s="40">
        <v>0.45</v>
      </c>
      <c r="H689" s="40">
        <v>0.35</v>
      </c>
      <c r="I689" s="40">
        <v>0.20000000000000007</v>
      </c>
      <c r="J689">
        <v>2.5</v>
      </c>
      <c r="K689">
        <v>3.05</v>
      </c>
      <c r="L689">
        <v>3.15</v>
      </c>
      <c r="M689">
        <v>2.5</v>
      </c>
      <c r="N689">
        <v>3</v>
      </c>
      <c r="O689">
        <v>3</v>
      </c>
      <c r="P689">
        <v>2.5</v>
      </c>
      <c r="Q689">
        <v>3.05</v>
      </c>
      <c r="R689">
        <v>3.1</v>
      </c>
      <c r="S689">
        <v>0.39709509454645103</v>
      </c>
      <c r="T689">
        <v>0.28775006851192109</v>
      </c>
      <c r="U689">
        <v>0.31515483694162783</v>
      </c>
      <c r="V689">
        <v>0.375</v>
      </c>
      <c r="W689">
        <v>0.3125</v>
      </c>
      <c r="X689">
        <v>0.3125</v>
      </c>
      <c r="Y689">
        <v>0.38078936770036248</v>
      </c>
      <c r="Z689">
        <v>0.31212243254128075</v>
      </c>
      <c r="AA689">
        <v>0.30708819975835683</v>
      </c>
      <c r="AB689">
        <v>0.38429482074893784</v>
      </c>
      <c r="AC689">
        <v>0.30412416701773398</v>
      </c>
      <c r="AD689">
        <v>0.31158101223332818</v>
      </c>
      <c r="AE689" t="s">
        <v>156</v>
      </c>
      <c r="AF689" t="s">
        <v>141</v>
      </c>
      <c r="AG689">
        <v>66.099999999999994</v>
      </c>
      <c r="AH689">
        <v>24</v>
      </c>
      <c r="AI689">
        <v>6</v>
      </c>
      <c r="AJ689">
        <v>3</v>
      </c>
      <c r="AK689">
        <v>26.8</v>
      </c>
      <c r="AL689">
        <v>177</v>
      </c>
      <c r="AM689">
        <v>3663</v>
      </c>
      <c r="AN689">
        <v>77</v>
      </c>
      <c r="AO689">
        <v>74</v>
      </c>
      <c r="AP689">
        <v>76</v>
      </c>
      <c r="AQ689">
        <v>4</v>
      </c>
      <c r="AR689" t="s">
        <v>43</v>
      </c>
      <c r="AS689" t="s">
        <v>151</v>
      </c>
      <c r="AT689" t="s">
        <v>141</v>
      </c>
      <c r="AU689">
        <v>111.8</v>
      </c>
      <c r="AV689">
        <v>27</v>
      </c>
      <c r="AW689">
        <v>8</v>
      </c>
      <c r="AX689">
        <v>4</v>
      </c>
      <c r="AY689">
        <v>28.3</v>
      </c>
      <c r="AZ689">
        <v>116</v>
      </c>
      <c r="BA689">
        <v>4556</v>
      </c>
      <c r="BB689">
        <v>79</v>
      </c>
      <c r="BC689">
        <v>76</v>
      </c>
      <c r="BD689">
        <v>75</v>
      </c>
      <c r="BE689">
        <v>4</v>
      </c>
      <c r="BF689" t="s">
        <v>29</v>
      </c>
      <c r="BG689">
        <v>8</v>
      </c>
      <c r="BH689">
        <v>40</v>
      </c>
      <c r="BI689">
        <v>0.6</v>
      </c>
      <c r="BJ689" t="s">
        <v>270</v>
      </c>
      <c r="BK689">
        <v>0.26829999999999998</v>
      </c>
      <c r="BL689">
        <v>0.28889999999999999</v>
      </c>
      <c r="BM689">
        <v>0.95</v>
      </c>
      <c r="BN689">
        <v>1.36</v>
      </c>
    </row>
    <row r="690" spans="1:66" x14ac:dyDescent="0.25">
      <c r="A690">
        <v>1</v>
      </c>
      <c r="B690">
        <v>1</v>
      </c>
      <c r="C690">
        <v>1</v>
      </c>
      <c r="D690">
        <v>1.5566666666666666</v>
      </c>
      <c r="E690">
        <v>3.9666666666666663</v>
      </c>
      <c r="F690">
        <v>6.5166666666666666</v>
      </c>
      <c r="G690" s="40">
        <v>0.45</v>
      </c>
      <c r="H690" s="40">
        <v>0.36</v>
      </c>
      <c r="I690" s="40">
        <v>0.19000000000000006</v>
      </c>
      <c r="J690">
        <v>1.56</v>
      </c>
      <c r="K690">
        <v>4.0999999999999996</v>
      </c>
      <c r="L690">
        <v>6.5</v>
      </c>
      <c r="M690">
        <v>1.58</v>
      </c>
      <c r="N690">
        <v>3.75</v>
      </c>
      <c r="O690">
        <v>6.25</v>
      </c>
      <c r="P690">
        <v>1.53</v>
      </c>
      <c r="Q690">
        <v>4.05</v>
      </c>
      <c r="R690">
        <v>6.8</v>
      </c>
      <c r="S690">
        <v>0.65965523679133742</v>
      </c>
      <c r="T690">
        <v>0.18202750637874168</v>
      </c>
      <c r="U690">
        <v>0.15831725682992098</v>
      </c>
      <c r="V690">
        <v>0.59732398853137947</v>
      </c>
      <c r="W690">
        <v>0.25167250716788786</v>
      </c>
      <c r="X690">
        <v>0.15100350430073273</v>
      </c>
      <c r="Y690">
        <v>0.62391681109185448</v>
      </c>
      <c r="Z690">
        <v>0.23570190641247835</v>
      </c>
      <c r="AA690">
        <v>0.14038128249566725</v>
      </c>
      <c r="AB690">
        <v>0.62696534547152372</v>
      </c>
      <c r="AC690">
        <v>0.22313397331970264</v>
      </c>
      <c r="AD690">
        <v>0.14990068120877367</v>
      </c>
      <c r="AE690" t="s">
        <v>149</v>
      </c>
      <c r="AF690" t="s">
        <v>141</v>
      </c>
      <c r="AG690">
        <v>298.89999999999998</v>
      </c>
      <c r="AH690">
        <v>24</v>
      </c>
      <c r="AI690">
        <v>9</v>
      </c>
      <c r="AJ690">
        <v>10</v>
      </c>
      <c r="AK690">
        <v>28.2</v>
      </c>
      <c r="AL690">
        <v>77</v>
      </c>
      <c r="AM690">
        <v>5396</v>
      </c>
      <c r="AN690">
        <v>82</v>
      </c>
      <c r="AO690">
        <v>79</v>
      </c>
      <c r="AP690">
        <v>79</v>
      </c>
      <c r="AQ690">
        <v>4.5</v>
      </c>
      <c r="AR690" t="s">
        <v>29</v>
      </c>
      <c r="AS690" t="s">
        <v>145</v>
      </c>
      <c r="AT690" t="s">
        <v>141</v>
      </c>
      <c r="AU690">
        <v>159.44999999999999</v>
      </c>
      <c r="AV690">
        <v>25</v>
      </c>
      <c r="AW690">
        <v>13</v>
      </c>
      <c r="AX690">
        <v>9</v>
      </c>
      <c r="AY690">
        <v>27.1</v>
      </c>
      <c r="AZ690">
        <v>27</v>
      </c>
      <c r="BA690">
        <v>7881</v>
      </c>
      <c r="BB690">
        <v>77</v>
      </c>
      <c r="BC690">
        <v>78</v>
      </c>
      <c r="BD690">
        <v>77</v>
      </c>
      <c r="BE690">
        <v>4</v>
      </c>
      <c r="BF690" t="s">
        <v>46</v>
      </c>
      <c r="BG690">
        <v>13</v>
      </c>
      <c r="BH690">
        <v>74</v>
      </c>
      <c r="BI690">
        <v>0.56399999999999995</v>
      </c>
      <c r="BJ690" t="s">
        <v>270</v>
      </c>
      <c r="BK690">
        <v>0.53449999999999998</v>
      </c>
      <c r="BL690">
        <v>0.25</v>
      </c>
      <c r="BM690">
        <v>1.78</v>
      </c>
      <c r="BN690">
        <v>0.75</v>
      </c>
    </row>
    <row r="691" spans="1:66" x14ac:dyDescent="0.25">
      <c r="A691">
        <v>2</v>
      </c>
      <c r="B691">
        <v>0</v>
      </c>
      <c r="C691">
        <v>6</v>
      </c>
      <c r="D691">
        <v>4.25</v>
      </c>
      <c r="E691">
        <v>3.2166666666666668</v>
      </c>
      <c r="F691">
        <v>1.9833333333333334</v>
      </c>
      <c r="G691" s="40">
        <v>0.23</v>
      </c>
      <c r="H691" s="40">
        <v>0.4</v>
      </c>
      <c r="I691" s="40">
        <v>0.37</v>
      </c>
      <c r="J691">
        <v>4.4000000000000004</v>
      </c>
      <c r="K691">
        <v>3.2</v>
      </c>
      <c r="L691">
        <v>1.98</v>
      </c>
      <c r="M691">
        <v>4</v>
      </c>
      <c r="N691">
        <v>3.2</v>
      </c>
      <c r="O691">
        <v>2</v>
      </c>
      <c r="P691">
        <v>4.3499999999999996</v>
      </c>
      <c r="Q691">
        <v>3.25</v>
      </c>
      <c r="R691">
        <v>1.97</v>
      </c>
      <c r="S691">
        <v>0.22976044763070469</v>
      </c>
      <c r="T691">
        <v>0.25966077985661828</v>
      </c>
      <c r="U691">
        <v>0.51057877251267714</v>
      </c>
      <c r="V691">
        <v>0.23529411764705885</v>
      </c>
      <c r="W691">
        <v>0.29411764705882354</v>
      </c>
      <c r="X691">
        <v>0.4705882352941177</v>
      </c>
      <c r="Y691">
        <v>0.21994537865645236</v>
      </c>
      <c r="Z691">
        <v>0.29438842989402086</v>
      </c>
      <c r="AA691">
        <v>0.48566619144952677</v>
      </c>
      <c r="AB691">
        <v>0.22833331464473863</v>
      </c>
      <c r="AC691">
        <v>0.28272228560315421</v>
      </c>
      <c r="AD691">
        <v>0.48894439975210718</v>
      </c>
      <c r="AE691" t="s">
        <v>142</v>
      </c>
      <c r="AF691" t="s">
        <v>141</v>
      </c>
      <c r="AG691">
        <v>251.9</v>
      </c>
      <c r="AH691">
        <v>27</v>
      </c>
      <c r="AI691">
        <v>17</v>
      </c>
      <c r="AJ691">
        <v>12</v>
      </c>
      <c r="AK691">
        <v>25.5</v>
      </c>
      <c r="AL691">
        <v>11</v>
      </c>
      <c r="AM691">
        <v>9770</v>
      </c>
      <c r="AN691">
        <v>77</v>
      </c>
      <c r="AO691">
        <v>78</v>
      </c>
      <c r="AP691">
        <v>77</v>
      </c>
      <c r="AQ691">
        <v>4</v>
      </c>
      <c r="AR691" t="s">
        <v>29</v>
      </c>
      <c r="AS691" t="s">
        <v>143</v>
      </c>
      <c r="AT691" t="s">
        <v>141</v>
      </c>
      <c r="AU691">
        <v>755.2</v>
      </c>
      <c r="AV691">
        <v>22</v>
      </c>
      <c r="AW691">
        <v>19</v>
      </c>
      <c r="AX691">
        <v>19</v>
      </c>
      <c r="AY691">
        <v>28</v>
      </c>
      <c r="AZ691">
        <v>13</v>
      </c>
      <c r="BA691">
        <v>9329</v>
      </c>
      <c r="BB691">
        <v>85</v>
      </c>
      <c r="BC691">
        <v>82</v>
      </c>
      <c r="BD691">
        <v>83</v>
      </c>
      <c r="BE691">
        <v>5</v>
      </c>
      <c r="BF691" t="s">
        <v>29</v>
      </c>
      <c r="BG691">
        <v>-7</v>
      </c>
      <c r="BH691">
        <v>277</v>
      </c>
      <c r="BI691">
        <v>0.34499999999999997</v>
      </c>
      <c r="BJ691" t="s">
        <v>270</v>
      </c>
      <c r="BK691">
        <v>0.3095</v>
      </c>
      <c r="BL691">
        <v>0.60419999999999996</v>
      </c>
      <c r="BM691">
        <v>1.43</v>
      </c>
      <c r="BN691">
        <v>1.6</v>
      </c>
    </row>
    <row r="692" spans="1:66" x14ac:dyDescent="0.25">
      <c r="A692">
        <v>3</v>
      </c>
      <c r="B692">
        <v>-2</v>
      </c>
      <c r="C692">
        <v>2</v>
      </c>
      <c r="D692">
        <v>3.1</v>
      </c>
      <c r="E692">
        <v>3.2666666666666671</v>
      </c>
      <c r="F692">
        <v>2.3650000000000002</v>
      </c>
      <c r="G692" s="40">
        <v>0.19</v>
      </c>
      <c r="H692" s="40">
        <v>0.43</v>
      </c>
      <c r="I692" s="40">
        <v>0.38000000000000006</v>
      </c>
      <c r="J692">
        <v>3.15</v>
      </c>
      <c r="K692">
        <v>3.35</v>
      </c>
      <c r="L692">
        <v>2.35</v>
      </c>
      <c r="M692">
        <v>3</v>
      </c>
      <c r="N692">
        <v>3.2</v>
      </c>
      <c r="O692">
        <v>2.375</v>
      </c>
      <c r="P692">
        <v>3.15</v>
      </c>
      <c r="Q692">
        <v>3.25</v>
      </c>
      <c r="R692">
        <v>2.37</v>
      </c>
      <c r="S692">
        <v>0.31551983040367459</v>
      </c>
      <c r="T692">
        <v>0.26154933309778289</v>
      </c>
      <c r="U692">
        <v>0.42293083649854257</v>
      </c>
      <c r="V692">
        <v>0.31243576567317577</v>
      </c>
      <c r="W692">
        <v>0.29290853031860226</v>
      </c>
      <c r="X692">
        <v>0.39465570400822203</v>
      </c>
      <c r="Y692">
        <v>0.30318238176772744</v>
      </c>
      <c r="Z692">
        <v>0.29385369309795123</v>
      </c>
      <c r="AA692">
        <v>0.40296392513432128</v>
      </c>
      <c r="AB692">
        <v>0.31037932594819262</v>
      </c>
      <c r="AC692">
        <v>0.28277051883811216</v>
      </c>
      <c r="AD692">
        <v>0.40685015521369533</v>
      </c>
      <c r="AE692" t="s">
        <v>157</v>
      </c>
      <c r="AF692" t="s">
        <v>141</v>
      </c>
      <c r="AG692">
        <v>93.5</v>
      </c>
      <c r="AH692">
        <v>27</v>
      </c>
      <c r="AI692">
        <v>4</v>
      </c>
      <c r="AJ692">
        <v>1</v>
      </c>
      <c r="AK692">
        <v>27.7</v>
      </c>
      <c r="AL692">
        <v>202</v>
      </c>
      <c r="AM692">
        <v>3267</v>
      </c>
      <c r="AN692">
        <v>76</v>
      </c>
      <c r="AO692">
        <v>77</v>
      </c>
      <c r="AP692">
        <v>75</v>
      </c>
      <c r="AQ692">
        <v>4</v>
      </c>
      <c r="AR692" t="s">
        <v>46</v>
      </c>
      <c r="AS692" t="s">
        <v>147</v>
      </c>
      <c r="AT692" t="s">
        <v>141</v>
      </c>
      <c r="AU692">
        <v>373.5</v>
      </c>
      <c r="AV692">
        <v>25</v>
      </c>
      <c r="AW692">
        <v>5</v>
      </c>
      <c r="AX692">
        <v>7</v>
      </c>
      <c r="AY692">
        <v>26.2</v>
      </c>
      <c r="AZ692">
        <v>32</v>
      </c>
      <c r="BA692">
        <v>7427</v>
      </c>
      <c r="BB692">
        <v>81</v>
      </c>
      <c r="BC692">
        <v>81</v>
      </c>
      <c r="BD692">
        <v>77</v>
      </c>
      <c r="BE692">
        <v>4.5</v>
      </c>
      <c r="BF692" t="s">
        <v>28</v>
      </c>
      <c r="BG692">
        <v>-26</v>
      </c>
      <c r="BH692">
        <v>84</v>
      </c>
      <c r="BI692">
        <v>0.27200000000000002</v>
      </c>
      <c r="BJ692" t="s">
        <v>270</v>
      </c>
      <c r="BK692">
        <v>0.33329999999999999</v>
      </c>
      <c r="BL692">
        <v>0.40820000000000001</v>
      </c>
      <c r="BM692">
        <v>1.1399999999999999</v>
      </c>
      <c r="BN692">
        <v>1.39</v>
      </c>
    </row>
    <row r="693" spans="1:66" x14ac:dyDescent="0.25">
      <c r="A693">
        <v>3</v>
      </c>
      <c r="B693">
        <v>-2</v>
      </c>
      <c r="C693">
        <v>2</v>
      </c>
      <c r="D693">
        <v>2.81</v>
      </c>
      <c r="E693">
        <v>3.2833333333333337</v>
      </c>
      <c r="F693">
        <v>2.5566666666666662</v>
      </c>
      <c r="G693" s="40">
        <v>0.27</v>
      </c>
      <c r="H693" s="40">
        <v>0.39</v>
      </c>
      <c r="I693" s="40">
        <v>0.33999999999999997</v>
      </c>
      <c r="J693">
        <v>2.8</v>
      </c>
      <c r="K693">
        <v>3.35</v>
      </c>
      <c r="L693">
        <v>2.5499999999999998</v>
      </c>
      <c r="M693">
        <v>2.8</v>
      </c>
      <c r="N693">
        <v>3.2</v>
      </c>
      <c r="O693">
        <v>2.5499999999999998</v>
      </c>
      <c r="P693">
        <v>2.83</v>
      </c>
      <c r="Q693">
        <v>3.3</v>
      </c>
      <c r="R693">
        <v>2.57</v>
      </c>
      <c r="S693">
        <v>0.3515301902398677</v>
      </c>
      <c r="T693">
        <v>0.26247587537910116</v>
      </c>
      <c r="U693">
        <v>0.38599393438103119</v>
      </c>
      <c r="V693">
        <v>0.33635614179719703</v>
      </c>
      <c r="W693">
        <v>0.29431162407254735</v>
      </c>
      <c r="X693">
        <v>0.36933223413025557</v>
      </c>
      <c r="Y693">
        <v>0.33798135742494945</v>
      </c>
      <c r="Z693">
        <v>0.28984461864018396</v>
      </c>
      <c r="AA693">
        <v>0.37217402393486659</v>
      </c>
      <c r="AB693">
        <v>0.3419558964873381</v>
      </c>
      <c r="AC693">
        <v>0.28221070603061088</v>
      </c>
      <c r="AD693">
        <v>0.37583339748205113</v>
      </c>
      <c r="AE693" t="s">
        <v>152</v>
      </c>
      <c r="AF693" t="s">
        <v>141</v>
      </c>
      <c r="AG693">
        <v>223.4</v>
      </c>
      <c r="AH693">
        <v>28</v>
      </c>
      <c r="AI693">
        <v>11</v>
      </c>
      <c r="AJ693">
        <v>11</v>
      </c>
      <c r="AK693">
        <v>28.5</v>
      </c>
      <c r="AL693">
        <v>125</v>
      </c>
      <c r="AM693">
        <v>4257</v>
      </c>
      <c r="AN693">
        <v>79</v>
      </c>
      <c r="AO693">
        <v>79</v>
      </c>
      <c r="AP693">
        <v>78</v>
      </c>
      <c r="AQ693">
        <v>4</v>
      </c>
      <c r="AR693" t="s">
        <v>29</v>
      </c>
      <c r="AS693" t="s">
        <v>146</v>
      </c>
      <c r="AT693" t="s">
        <v>141</v>
      </c>
      <c r="AU693">
        <v>430.9</v>
      </c>
      <c r="AV693">
        <v>27</v>
      </c>
      <c r="AW693">
        <v>20</v>
      </c>
      <c r="AX693">
        <v>14</v>
      </c>
      <c r="AY693">
        <v>28</v>
      </c>
      <c r="AZ693">
        <v>31</v>
      </c>
      <c r="BA693">
        <v>7447</v>
      </c>
      <c r="BB693">
        <v>80</v>
      </c>
      <c r="BC693">
        <v>81</v>
      </c>
      <c r="BD693">
        <v>82</v>
      </c>
      <c r="BE693">
        <v>4.5</v>
      </c>
      <c r="BF693" t="s">
        <v>29</v>
      </c>
      <c r="BG693">
        <v>-41</v>
      </c>
      <c r="BH693">
        <v>118</v>
      </c>
      <c r="BI693">
        <v>0.28699999999999998</v>
      </c>
      <c r="BJ693" t="s">
        <v>270</v>
      </c>
      <c r="BK693">
        <v>0.4884</v>
      </c>
      <c r="BL693">
        <v>0.62960000000000005</v>
      </c>
      <c r="BM693">
        <v>1.42</v>
      </c>
      <c r="BN693">
        <v>1.46</v>
      </c>
    </row>
    <row r="694" spans="1:66" x14ac:dyDescent="0.25">
      <c r="A694">
        <v>1</v>
      </c>
      <c r="B694">
        <v>1</v>
      </c>
      <c r="C694">
        <v>1</v>
      </c>
      <c r="D694">
        <v>1.6566666666666665</v>
      </c>
      <c r="E694">
        <v>3.8666666666666667</v>
      </c>
      <c r="F694">
        <v>5.1333333333333329</v>
      </c>
      <c r="G694" s="40">
        <v>0.39</v>
      </c>
      <c r="H694" s="40">
        <v>0.31</v>
      </c>
      <c r="I694" s="40">
        <v>0.3</v>
      </c>
      <c r="J694">
        <v>1.65</v>
      </c>
      <c r="K694">
        <v>3.8</v>
      </c>
      <c r="L694">
        <v>5.0999999999999996</v>
      </c>
      <c r="M694">
        <v>1.67</v>
      </c>
      <c r="N694">
        <v>3.8</v>
      </c>
      <c r="O694">
        <v>5</v>
      </c>
      <c r="P694">
        <v>1.65</v>
      </c>
      <c r="Q694">
        <v>4</v>
      </c>
      <c r="R694">
        <v>5.3</v>
      </c>
      <c r="S694">
        <v>0.60020768431983385</v>
      </c>
      <c r="T694">
        <v>0.20560747663551404</v>
      </c>
      <c r="U694">
        <v>0.19418483904465211</v>
      </c>
      <c r="V694">
        <v>0.56386514719848058</v>
      </c>
      <c r="W694">
        <v>0.24780389363722699</v>
      </c>
      <c r="X694">
        <v>0.18833095916429252</v>
      </c>
      <c r="Y694">
        <v>0.58010671774524558</v>
      </c>
      <c r="Z694">
        <v>0.23929402106991379</v>
      </c>
      <c r="AA694">
        <v>0.1805992611848406</v>
      </c>
      <c r="AB694">
        <v>0.58139318308785326</v>
      </c>
      <c r="AC694">
        <v>0.23090179711421829</v>
      </c>
      <c r="AD694">
        <v>0.18770501979792842</v>
      </c>
      <c r="AE694" t="s">
        <v>306</v>
      </c>
      <c r="AF694" t="s">
        <v>307</v>
      </c>
      <c r="AG694">
        <v>640.4</v>
      </c>
      <c r="AH694">
        <v>25</v>
      </c>
      <c r="AI694">
        <v>14</v>
      </c>
      <c r="AJ694">
        <v>20</v>
      </c>
      <c r="AK694">
        <v>27.3</v>
      </c>
      <c r="AL694">
        <v>14</v>
      </c>
      <c r="AM694">
        <v>9319</v>
      </c>
      <c r="AN694">
        <v>87</v>
      </c>
      <c r="AO694">
        <v>81</v>
      </c>
      <c r="AP694">
        <v>83</v>
      </c>
      <c r="AQ694">
        <v>5</v>
      </c>
      <c r="AR694" t="s">
        <v>28</v>
      </c>
      <c r="AS694" t="s">
        <v>320</v>
      </c>
      <c r="AT694" t="s">
        <v>307</v>
      </c>
      <c r="AU694">
        <v>248.8</v>
      </c>
      <c r="AV694">
        <v>26</v>
      </c>
      <c r="AW694">
        <v>16</v>
      </c>
      <c r="AX694">
        <v>14</v>
      </c>
      <c r="AY694">
        <v>26.8</v>
      </c>
      <c r="AZ694">
        <v>268</v>
      </c>
      <c r="BA694">
        <v>2679</v>
      </c>
      <c r="BB694">
        <v>78</v>
      </c>
      <c r="BC694">
        <v>76</v>
      </c>
      <c r="BD694">
        <v>75</v>
      </c>
      <c r="BE694">
        <v>4</v>
      </c>
      <c r="BF694" t="s">
        <v>29</v>
      </c>
      <c r="BG694">
        <v>109</v>
      </c>
      <c r="BH694">
        <v>316</v>
      </c>
      <c r="BI694">
        <v>0.46700000000000003</v>
      </c>
      <c r="BJ694" t="s">
        <v>322</v>
      </c>
      <c r="BK694">
        <v>0.65380000000000005</v>
      </c>
      <c r="BL694">
        <v>0.26829999999999998</v>
      </c>
      <c r="BM694">
        <v>2.08</v>
      </c>
      <c r="BN694">
        <v>1.24</v>
      </c>
    </row>
    <row r="695" spans="1:66" x14ac:dyDescent="0.25">
      <c r="A695">
        <v>3</v>
      </c>
      <c r="B695">
        <v>-1</v>
      </c>
      <c r="C695">
        <v>3</v>
      </c>
      <c r="D695">
        <v>5.4833333333333334</v>
      </c>
      <c r="E695">
        <v>4.4666666666666659</v>
      </c>
      <c r="F695">
        <v>1.5366666666666668</v>
      </c>
      <c r="G695" s="40">
        <v>0.18</v>
      </c>
      <c r="H695" s="40">
        <v>0.25</v>
      </c>
      <c r="I695" s="40">
        <v>0.57000000000000006</v>
      </c>
      <c r="J695">
        <v>5.5</v>
      </c>
      <c r="K695">
        <v>4.3499999999999996</v>
      </c>
      <c r="L695">
        <v>1.52</v>
      </c>
      <c r="M695">
        <v>5.25</v>
      </c>
      <c r="N695">
        <v>4.5</v>
      </c>
      <c r="O695">
        <v>1.55</v>
      </c>
      <c r="P695">
        <v>5.7</v>
      </c>
      <c r="Q695">
        <v>4.55</v>
      </c>
      <c r="R695">
        <v>1.54</v>
      </c>
      <c r="S695">
        <v>0.17877579619959627</v>
      </c>
      <c r="T695">
        <v>0.174338099130812</v>
      </c>
      <c r="U695">
        <v>0.64688610466959184</v>
      </c>
      <c r="V695">
        <v>0.18005808325266218</v>
      </c>
      <c r="W695">
        <v>0.21006776379477252</v>
      </c>
      <c r="X695">
        <v>0.60987415295256542</v>
      </c>
      <c r="Y695">
        <v>0.16795302013422819</v>
      </c>
      <c r="Z695">
        <v>0.21040268456375841</v>
      </c>
      <c r="AA695">
        <v>0.62164429530201337</v>
      </c>
      <c r="AB695">
        <v>0.17559563319549554</v>
      </c>
      <c r="AC695">
        <v>0.198269515829781</v>
      </c>
      <c r="AD695">
        <v>0.62613485097472354</v>
      </c>
      <c r="AE695" t="s">
        <v>319</v>
      </c>
      <c r="AF695" t="s">
        <v>307</v>
      </c>
      <c r="AG695">
        <v>153.53</v>
      </c>
      <c r="AH695">
        <v>29</v>
      </c>
      <c r="AI695">
        <v>17</v>
      </c>
      <c r="AJ695">
        <v>11</v>
      </c>
      <c r="AK695">
        <v>26.9</v>
      </c>
      <c r="AL695">
        <v>246</v>
      </c>
      <c r="AM695">
        <v>2866</v>
      </c>
      <c r="AN695">
        <v>76</v>
      </c>
      <c r="AO695">
        <v>73</v>
      </c>
      <c r="AP695">
        <v>73</v>
      </c>
      <c r="AQ695">
        <v>4</v>
      </c>
      <c r="AR695" t="s">
        <v>29</v>
      </c>
      <c r="AS695" t="s">
        <v>308</v>
      </c>
      <c r="AT695" t="s">
        <v>307</v>
      </c>
      <c r="AU695">
        <v>415.35</v>
      </c>
      <c r="AV695">
        <v>26</v>
      </c>
      <c r="AW695">
        <v>16</v>
      </c>
      <c r="AX695">
        <v>17</v>
      </c>
      <c r="AY695">
        <v>27.1</v>
      </c>
      <c r="AZ695">
        <v>26</v>
      </c>
      <c r="BA695">
        <v>7928</v>
      </c>
      <c r="BB695">
        <v>82</v>
      </c>
      <c r="BC695">
        <v>79</v>
      </c>
      <c r="BD695">
        <v>78</v>
      </c>
      <c r="BE695">
        <v>4.5</v>
      </c>
      <c r="BF695" t="s">
        <v>29</v>
      </c>
      <c r="BG695">
        <v>-12</v>
      </c>
      <c r="BH695">
        <v>96</v>
      </c>
      <c r="BI695">
        <v>0.34200000000000003</v>
      </c>
      <c r="BJ695" t="s">
        <v>322</v>
      </c>
      <c r="BK695">
        <v>0.26829999999999998</v>
      </c>
      <c r="BL695">
        <v>0.56859999999999999</v>
      </c>
      <c r="BM695">
        <v>1.1499999999999999</v>
      </c>
      <c r="BN695">
        <v>2.1800000000000002</v>
      </c>
    </row>
    <row r="696" spans="1:66" x14ac:dyDescent="0.25">
      <c r="A696">
        <v>3</v>
      </c>
      <c r="B696">
        <v>-1</v>
      </c>
      <c r="C696">
        <v>3</v>
      </c>
      <c r="D696">
        <v>2.3916666666666666</v>
      </c>
      <c r="E696">
        <v>3.4500000000000006</v>
      </c>
      <c r="F696">
        <v>2.8783333333333334</v>
      </c>
      <c r="G696" s="40">
        <v>0.32</v>
      </c>
      <c r="H696" s="40">
        <v>0.37</v>
      </c>
      <c r="I696" s="40">
        <v>0.30999999999999994</v>
      </c>
      <c r="J696">
        <v>2.4</v>
      </c>
      <c r="K696">
        <v>3.35</v>
      </c>
      <c r="L696">
        <v>2.88</v>
      </c>
      <c r="M696">
        <v>2.375</v>
      </c>
      <c r="N696">
        <v>3.45</v>
      </c>
      <c r="O696">
        <v>2.875</v>
      </c>
      <c r="P696">
        <v>2.4</v>
      </c>
      <c r="Q696">
        <v>3.55</v>
      </c>
      <c r="R696">
        <v>2.88</v>
      </c>
      <c r="S696">
        <v>0.40365868335539778</v>
      </c>
      <c r="T696">
        <v>0.25995908051510408</v>
      </c>
      <c r="U696">
        <v>0.33638223612949814</v>
      </c>
      <c r="V696">
        <v>0.39769452449567722</v>
      </c>
      <c r="W696">
        <v>0.2737752161383285</v>
      </c>
      <c r="X696">
        <v>0.32853025936599423</v>
      </c>
      <c r="Y696">
        <v>0.39850327408793262</v>
      </c>
      <c r="Z696">
        <v>0.26941066417212345</v>
      </c>
      <c r="AA696">
        <v>0.33208606173994387</v>
      </c>
      <c r="AB696">
        <v>0.39995216064633587</v>
      </c>
      <c r="AC696">
        <v>0.26771498694185197</v>
      </c>
      <c r="AD696">
        <v>0.3323328524118121</v>
      </c>
      <c r="AE696" t="s">
        <v>321</v>
      </c>
      <c r="AF696" t="s">
        <v>307</v>
      </c>
      <c r="AG696">
        <v>124.8</v>
      </c>
      <c r="AH696">
        <v>27</v>
      </c>
      <c r="AI696">
        <v>12</v>
      </c>
      <c r="AJ696">
        <v>8</v>
      </c>
      <c r="AK696">
        <v>27.1</v>
      </c>
      <c r="AL696">
        <v>279</v>
      </c>
      <c r="AM696">
        <v>2588</v>
      </c>
      <c r="AN696">
        <v>76</v>
      </c>
      <c r="AO696">
        <v>75</v>
      </c>
      <c r="AP696">
        <v>73</v>
      </c>
      <c r="AQ696">
        <v>4</v>
      </c>
      <c r="AR696" t="s">
        <v>43</v>
      </c>
      <c r="AS696" t="s">
        <v>314</v>
      </c>
      <c r="AT696" t="s">
        <v>307</v>
      </c>
      <c r="AU696">
        <v>142.47999999999999</v>
      </c>
      <c r="AV696">
        <v>28</v>
      </c>
      <c r="AW696">
        <v>18</v>
      </c>
      <c r="AX696">
        <v>11</v>
      </c>
      <c r="AY696">
        <v>25.6</v>
      </c>
      <c r="AZ696">
        <v>161</v>
      </c>
      <c r="BA696">
        <v>3818</v>
      </c>
      <c r="BB696">
        <v>75</v>
      </c>
      <c r="BC696">
        <v>75</v>
      </c>
      <c r="BD696">
        <v>73</v>
      </c>
      <c r="BE696">
        <v>3.5</v>
      </c>
      <c r="BF696" t="s">
        <v>46</v>
      </c>
      <c r="BG696">
        <v>-12</v>
      </c>
      <c r="BH696">
        <v>131</v>
      </c>
      <c r="BI696">
        <v>0.308</v>
      </c>
      <c r="BJ696" t="s">
        <v>322</v>
      </c>
      <c r="BK696">
        <v>0.4</v>
      </c>
      <c r="BL696">
        <v>0.27500000000000002</v>
      </c>
      <c r="BM696">
        <v>1.35</v>
      </c>
      <c r="BN696">
        <v>1.38</v>
      </c>
    </row>
    <row r="697" spans="1:66" x14ac:dyDescent="0.25">
      <c r="A697">
        <v>1</v>
      </c>
      <c r="B697">
        <v>1</v>
      </c>
      <c r="C697">
        <v>5</v>
      </c>
      <c r="D697">
        <v>2.4</v>
      </c>
      <c r="E697">
        <v>3.4666666666666668</v>
      </c>
      <c r="F697">
        <v>2.8433333333333333</v>
      </c>
      <c r="G697" s="40">
        <v>0.26</v>
      </c>
      <c r="H697" s="40">
        <v>0.45</v>
      </c>
      <c r="I697" s="40">
        <v>0.28999999999999998</v>
      </c>
      <c r="J697">
        <v>2.4</v>
      </c>
      <c r="K697">
        <v>3.5</v>
      </c>
      <c r="L697">
        <v>2.8</v>
      </c>
      <c r="M697">
        <v>2.4</v>
      </c>
      <c r="N697">
        <v>3.4</v>
      </c>
      <c r="O697">
        <v>2.85</v>
      </c>
      <c r="P697">
        <v>2.4</v>
      </c>
      <c r="Q697">
        <v>3.5</v>
      </c>
      <c r="R697">
        <v>2.88</v>
      </c>
      <c r="S697">
        <v>0.40444444444444444</v>
      </c>
      <c r="T697">
        <v>0.24888888888888885</v>
      </c>
      <c r="U697">
        <v>0.34666666666666668</v>
      </c>
      <c r="V697">
        <v>0.39246658566221143</v>
      </c>
      <c r="W697">
        <v>0.27703523693803161</v>
      </c>
      <c r="X697">
        <v>0.33049817739975695</v>
      </c>
      <c r="Y697">
        <v>0.39697542533081287</v>
      </c>
      <c r="Z697">
        <v>0.27221172022684309</v>
      </c>
      <c r="AA697">
        <v>0.33081285444234404</v>
      </c>
      <c r="AB697">
        <v>0.39796215181248956</v>
      </c>
      <c r="AC697">
        <v>0.26604528201792116</v>
      </c>
      <c r="AD697">
        <v>0.33599256616958922</v>
      </c>
      <c r="AE697" t="s">
        <v>316</v>
      </c>
      <c r="AF697" t="s">
        <v>307</v>
      </c>
      <c r="AG697">
        <v>101.6</v>
      </c>
      <c r="AH697">
        <v>26</v>
      </c>
      <c r="AI697">
        <v>22</v>
      </c>
      <c r="AJ697">
        <v>5</v>
      </c>
      <c r="AK697">
        <v>27.4</v>
      </c>
      <c r="AL697">
        <v>217</v>
      </c>
      <c r="AM697">
        <v>3100</v>
      </c>
      <c r="AN697">
        <v>76</v>
      </c>
      <c r="AO697">
        <v>75</v>
      </c>
      <c r="AP697">
        <v>72</v>
      </c>
      <c r="AQ697">
        <v>4</v>
      </c>
      <c r="AR697" t="s">
        <v>29</v>
      </c>
      <c r="AS697" t="s">
        <v>317</v>
      </c>
      <c r="AT697" t="s">
        <v>307</v>
      </c>
      <c r="AU697">
        <v>216.9</v>
      </c>
      <c r="AV697">
        <v>27</v>
      </c>
      <c r="AW697">
        <v>15</v>
      </c>
      <c r="AX697">
        <v>12</v>
      </c>
      <c r="AY697">
        <v>27.2</v>
      </c>
      <c r="AZ697">
        <v>218</v>
      </c>
      <c r="BA697">
        <v>3086</v>
      </c>
      <c r="BB697">
        <v>79</v>
      </c>
      <c r="BC697">
        <v>77</v>
      </c>
      <c r="BD697">
        <v>72</v>
      </c>
      <c r="BE697">
        <v>4</v>
      </c>
      <c r="BF697" t="s">
        <v>29</v>
      </c>
      <c r="BG697">
        <v>5</v>
      </c>
      <c r="BH697">
        <v>24</v>
      </c>
      <c r="BI697">
        <v>0.375</v>
      </c>
      <c r="BJ697" t="s">
        <v>322</v>
      </c>
      <c r="BK697">
        <v>0.27500000000000002</v>
      </c>
      <c r="BL697">
        <v>0.43590000000000001</v>
      </c>
      <c r="BM697">
        <v>1.1299999999999999</v>
      </c>
      <c r="BN697">
        <v>1.64</v>
      </c>
    </row>
    <row r="698" spans="1:66" x14ac:dyDescent="0.25">
      <c r="A698">
        <v>2</v>
      </c>
      <c r="B698">
        <v>0</v>
      </c>
      <c r="C698">
        <v>2</v>
      </c>
      <c r="D698">
        <v>2.9833333333333329</v>
      </c>
      <c r="E698">
        <v>3.5666666666666664</v>
      </c>
      <c r="F698">
        <v>2.2599999999999998</v>
      </c>
      <c r="G698" s="40">
        <v>0.42</v>
      </c>
      <c r="H698" s="40">
        <v>0.3</v>
      </c>
      <c r="I698" s="40">
        <v>0.28000000000000008</v>
      </c>
      <c r="J698">
        <v>2.95</v>
      </c>
      <c r="K698">
        <v>3.6</v>
      </c>
      <c r="L698">
        <v>2.23</v>
      </c>
      <c r="M698">
        <v>3</v>
      </c>
      <c r="N698">
        <v>3.5</v>
      </c>
      <c r="O698">
        <v>2.25</v>
      </c>
      <c r="P698">
        <v>3</v>
      </c>
      <c r="Q698">
        <v>3.6</v>
      </c>
      <c r="R698">
        <v>2.2999999999999998</v>
      </c>
      <c r="S698">
        <v>0.32728019351256649</v>
      </c>
      <c r="T698">
        <v>0.2397706715717064</v>
      </c>
      <c r="U698">
        <v>0.43294913491572706</v>
      </c>
      <c r="V698">
        <v>0.31343283582089554</v>
      </c>
      <c r="W698">
        <v>0.26865671641791045</v>
      </c>
      <c r="X698">
        <v>0.41791044776119401</v>
      </c>
      <c r="Y698">
        <v>0.3187066974595843</v>
      </c>
      <c r="Z698">
        <v>0.26558891454965355</v>
      </c>
      <c r="AA698">
        <v>0.41570438799076215</v>
      </c>
      <c r="AB698">
        <v>0.31980657559768205</v>
      </c>
      <c r="AC698">
        <v>0.2580054341797568</v>
      </c>
      <c r="AD698">
        <v>0.42218799022256109</v>
      </c>
      <c r="AE698" t="s">
        <v>313</v>
      </c>
      <c r="AF698" t="s">
        <v>307</v>
      </c>
      <c r="AG698">
        <v>466.9</v>
      </c>
      <c r="AH698">
        <v>28</v>
      </c>
      <c r="AI698">
        <v>19</v>
      </c>
      <c r="AJ698">
        <v>17</v>
      </c>
      <c r="AK698">
        <v>26.2</v>
      </c>
      <c r="AL698">
        <v>121</v>
      </c>
      <c r="AM698">
        <v>4490</v>
      </c>
      <c r="AN698">
        <v>84</v>
      </c>
      <c r="AO698">
        <v>78</v>
      </c>
      <c r="AP698">
        <v>80</v>
      </c>
      <c r="AQ698">
        <v>4.5</v>
      </c>
      <c r="AR698" t="s">
        <v>29</v>
      </c>
      <c r="AS698" t="s">
        <v>309</v>
      </c>
      <c r="AT698" t="s">
        <v>307</v>
      </c>
      <c r="AU698">
        <v>573.29999999999995</v>
      </c>
      <c r="AV698">
        <v>28</v>
      </c>
      <c r="AW698">
        <v>19</v>
      </c>
      <c r="AX698">
        <v>20</v>
      </c>
      <c r="AY698">
        <v>28.8</v>
      </c>
      <c r="AZ698">
        <v>37</v>
      </c>
      <c r="BA698">
        <v>7235</v>
      </c>
      <c r="BB698">
        <v>83</v>
      </c>
      <c r="BC698">
        <v>81</v>
      </c>
      <c r="BD698">
        <v>83</v>
      </c>
      <c r="BE698">
        <v>4.5</v>
      </c>
      <c r="BF698" t="s">
        <v>29</v>
      </c>
      <c r="BG698">
        <v>-8</v>
      </c>
      <c r="BH698">
        <v>272</v>
      </c>
      <c r="BI698">
        <v>0.32500000000000001</v>
      </c>
      <c r="BJ698" t="s">
        <v>322</v>
      </c>
      <c r="BK698">
        <v>0.56599999999999995</v>
      </c>
      <c r="BL698">
        <v>0.64580000000000004</v>
      </c>
      <c r="BM698">
        <v>1.85</v>
      </c>
      <c r="BN698">
        <v>2.1</v>
      </c>
    </row>
    <row r="699" spans="1:66" x14ac:dyDescent="0.25">
      <c r="A699">
        <v>2</v>
      </c>
      <c r="B699">
        <v>0</v>
      </c>
      <c r="C699">
        <v>2</v>
      </c>
      <c r="D699">
        <v>1.7729999999999999</v>
      </c>
      <c r="E699">
        <v>3.5666666666666669</v>
      </c>
      <c r="F699">
        <v>4.8</v>
      </c>
      <c r="G699" s="40">
        <v>0.3</v>
      </c>
      <c r="H699" s="40">
        <v>0.39</v>
      </c>
      <c r="I699" s="40">
        <v>0.30999999999999994</v>
      </c>
      <c r="J699">
        <v>1.78</v>
      </c>
      <c r="K699">
        <v>3.45</v>
      </c>
      <c r="L699">
        <v>4.5</v>
      </c>
      <c r="M699">
        <v>1.7689999999999999</v>
      </c>
      <c r="N699">
        <v>3.65</v>
      </c>
      <c r="O699">
        <v>5</v>
      </c>
      <c r="P699">
        <v>1.77</v>
      </c>
      <c r="Q699">
        <v>3.6</v>
      </c>
      <c r="R699">
        <v>4.9000000000000004</v>
      </c>
      <c r="S699">
        <v>0.54943881730407129</v>
      </c>
      <c r="T699">
        <v>0.23322760607342929</v>
      </c>
      <c r="U699">
        <v>0.2173335766224993</v>
      </c>
      <c r="V699">
        <v>0.54393423909560867</v>
      </c>
      <c r="W699">
        <v>0.26362182711236487</v>
      </c>
      <c r="X699">
        <v>0.19244393379202634</v>
      </c>
      <c r="Y699">
        <v>0.53969710876548882</v>
      </c>
      <c r="Z699">
        <v>0.2653510784763653</v>
      </c>
      <c r="AA699">
        <v>0.19495181275814594</v>
      </c>
      <c r="AB699">
        <v>0.54435672172172289</v>
      </c>
      <c r="AC699">
        <v>0.25406683722071982</v>
      </c>
      <c r="AD699">
        <v>0.2015764410575572</v>
      </c>
      <c r="AE699" t="s">
        <v>33</v>
      </c>
      <c r="AF699" t="s">
        <v>23</v>
      </c>
      <c r="AG699">
        <v>272</v>
      </c>
      <c r="AH699">
        <v>26</v>
      </c>
      <c r="AI699">
        <v>20</v>
      </c>
      <c r="AJ699">
        <v>12</v>
      </c>
      <c r="AK699">
        <v>25.4</v>
      </c>
      <c r="AL699">
        <v>131</v>
      </c>
      <c r="AM699">
        <v>4207</v>
      </c>
      <c r="AN699">
        <v>78</v>
      </c>
      <c r="AO699">
        <v>78</v>
      </c>
      <c r="AP699">
        <v>78</v>
      </c>
      <c r="AQ699">
        <v>4</v>
      </c>
      <c r="AR699" t="s">
        <v>29</v>
      </c>
      <c r="AS699" t="s">
        <v>41</v>
      </c>
      <c r="AT699" t="s">
        <v>23</v>
      </c>
      <c r="AU699">
        <v>66.7</v>
      </c>
      <c r="AV699">
        <v>28</v>
      </c>
      <c r="AW699">
        <v>11</v>
      </c>
      <c r="AX699">
        <v>6</v>
      </c>
      <c r="AY699">
        <v>26</v>
      </c>
      <c r="AZ699">
        <v>266</v>
      </c>
      <c r="BA699">
        <v>2690</v>
      </c>
      <c r="BB699">
        <v>75</v>
      </c>
      <c r="BC699">
        <v>75</v>
      </c>
      <c r="BD699">
        <v>74</v>
      </c>
      <c r="BE699">
        <v>4</v>
      </c>
      <c r="BF699" t="s">
        <v>29</v>
      </c>
      <c r="BG699">
        <v>3</v>
      </c>
      <c r="BH699">
        <v>22</v>
      </c>
      <c r="BI699">
        <v>0.33</v>
      </c>
      <c r="BJ699" t="s">
        <v>266</v>
      </c>
      <c r="BK699">
        <v>0.59179999999999999</v>
      </c>
      <c r="BL699">
        <v>0.35709999999999997</v>
      </c>
      <c r="BM699">
        <v>1.71</v>
      </c>
      <c r="BN699">
        <v>1.1399999999999999</v>
      </c>
    </row>
    <row r="700" spans="1:66" x14ac:dyDescent="0.25">
      <c r="A700">
        <v>3</v>
      </c>
      <c r="B700">
        <v>-1</v>
      </c>
      <c r="C700">
        <v>5</v>
      </c>
      <c r="D700">
        <v>8.2999999999999989</v>
      </c>
      <c r="E700">
        <v>5.333333333333333</v>
      </c>
      <c r="F700">
        <v>1.3399999999999999</v>
      </c>
      <c r="G700" s="40">
        <v>0.18</v>
      </c>
      <c r="H700" s="40">
        <v>0.28999999999999998</v>
      </c>
      <c r="I700" s="40">
        <v>0.53</v>
      </c>
      <c r="J700">
        <v>8</v>
      </c>
      <c r="K700">
        <v>5.0999999999999996</v>
      </c>
      <c r="L700">
        <v>1.32</v>
      </c>
      <c r="M700">
        <v>8.5</v>
      </c>
      <c r="N700">
        <v>5.5</v>
      </c>
      <c r="O700">
        <v>1.35</v>
      </c>
      <c r="P700">
        <v>8.4</v>
      </c>
      <c r="Q700">
        <v>5.4</v>
      </c>
      <c r="R700">
        <v>1.35</v>
      </c>
      <c r="S700">
        <v>0.12283934692072385</v>
      </c>
      <c r="T700">
        <v>0.13267976265064682</v>
      </c>
      <c r="U700">
        <v>0.7444808904286293</v>
      </c>
      <c r="V700">
        <v>0.1130997715156131</v>
      </c>
      <c r="W700">
        <v>0.17479055597867479</v>
      </c>
      <c r="X700">
        <v>0.71210967250571211</v>
      </c>
      <c r="Y700">
        <v>0.1139240506329114</v>
      </c>
      <c r="Z700">
        <v>0.17721518987341772</v>
      </c>
      <c r="AA700">
        <v>0.70886075949367089</v>
      </c>
      <c r="AB700">
        <v>0.11662105635641612</v>
      </c>
      <c r="AC700">
        <v>0.1615618361675798</v>
      </c>
      <c r="AD700">
        <v>0.72181710747600414</v>
      </c>
      <c r="AE700" t="s">
        <v>44</v>
      </c>
      <c r="AF700" t="s">
        <v>23</v>
      </c>
      <c r="AG700">
        <v>87.7</v>
      </c>
      <c r="AH700">
        <v>29</v>
      </c>
      <c r="AI700">
        <v>16</v>
      </c>
      <c r="AJ700">
        <v>10</v>
      </c>
      <c r="AK700">
        <v>25.1</v>
      </c>
      <c r="AL700">
        <v>326</v>
      </c>
      <c r="AM700">
        <v>2298</v>
      </c>
      <c r="AN700">
        <v>74</v>
      </c>
      <c r="AO700">
        <v>73</v>
      </c>
      <c r="AP700">
        <v>72</v>
      </c>
      <c r="AQ700">
        <v>3.5</v>
      </c>
      <c r="AR700" t="s">
        <v>29</v>
      </c>
      <c r="AS700" t="s">
        <v>10</v>
      </c>
      <c r="AT700" t="s">
        <v>23</v>
      </c>
      <c r="AU700">
        <v>997.75</v>
      </c>
      <c r="AV700">
        <v>35</v>
      </c>
      <c r="AW700">
        <v>24</v>
      </c>
      <c r="AX700">
        <v>19</v>
      </c>
      <c r="AY700">
        <v>26.1</v>
      </c>
      <c r="AZ700">
        <v>12</v>
      </c>
      <c r="BA700">
        <v>9495</v>
      </c>
      <c r="BB700">
        <v>87</v>
      </c>
      <c r="BC700">
        <v>82</v>
      </c>
      <c r="BD700">
        <v>82</v>
      </c>
      <c r="BE700">
        <v>5</v>
      </c>
      <c r="BF700" t="s">
        <v>28</v>
      </c>
      <c r="BG700">
        <v>-15</v>
      </c>
      <c r="BH700">
        <v>122</v>
      </c>
      <c r="BI700">
        <v>0.34399999999999997</v>
      </c>
      <c r="BJ700" t="s">
        <v>266</v>
      </c>
      <c r="BK700">
        <v>0.33329999999999999</v>
      </c>
      <c r="BL700">
        <v>0.66669999999999996</v>
      </c>
      <c r="BM700">
        <v>1.08</v>
      </c>
      <c r="BN700">
        <v>2.21</v>
      </c>
    </row>
    <row r="701" spans="1:66" x14ac:dyDescent="0.25">
      <c r="A701">
        <v>2</v>
      </c>
      <c r="B701">
        <v>0</v>
      </c>
      <c r="C701">
        <v>0</v>
      </c>
      <c r="D701">
        <v>1.4213333333333331</v>
      </c>
      <c r="E701">
        <v>4.7666666666666666</v>
      </c>
      <c r="F701">
        <v>7.1333333333333329</v>
      </c>
      <c r="G701" s="40">
        <v>0.56999999999999995</v>
      </c>
      <c r="H701" s="40">
        <v>0.26</v>
      </c>
      <c r="I701" s="40">
        <v>0.17000000000000004</v>
      </c>
      <c r="J701">
        <v>1.42</v>
      </c>
      <c r="K701">
        <v>4.5999999999999996</v>
      </c>
      <c r="L701">
        <v>6.5</v>
      </c>
      <c r="M701">
        <v>1.444</v>
      </c>
      <c r="N701">
        <v>4.75</v>
      </c>
      <c r="O701">
        <v>7.5</v>
      </c>
      <c r="P701">
        <v>1.4</v>
      </c>
      <c r="Q701">
        <v>4.95</v>
      </c>
      <c r="R701">
        <v>7.4</v>
      </c>
      <c r="S701">
        <v>0.69212942531701138</v>
      </c>
      <c r="T701">
        <v>0.15666691561373375</v>
      </c>
      <c r="U701">
        <v>0.15120365906925479</v>
      </c>
      <c r="V701">
        <v>0.66821097647897365</v>
      </c>
      <c r="W701">
        <v>0.20313613684960796</v>
      </c>
      <c r="X701">
        <v>0.12865288667141839</v>
      </c>
      <c r="Y701">
        <v>0.67933976261127593</v>
      </c>
      <c r="Z701">
        <v>0.19213649851632048</v>
      </c>
      <c r="AA701">
        <v>0.12852373887240356</v>
      </c>
      <c r="AB701">
        <v>0.67989338813575362</v>
      </c>
      <c r="AC701">
        <v>0.18397985032655406</v>
      </c>
      <c r="AD701">
        <v>0.13612676153769224</v>
      </c>
      <c r="AE701" t="s">
        <v>34</v>
      </c>
      <c r="AF701" t="s">
        <v>23</v>
      </c>
      <c r="AG701">
        <v>262.89999999999998</v>
      </c>
      <c r="AH701">
        <v>31</v>
      </c>
      <c r="AI701">
        <v>18</v>
      </c>
      <c r="AJ701">
        <v>8</v>
      </c>
      <c r="AK701">
        <v>23.3</v>
      </c>
      <c r="AL701">
        <v>145</v>
      </c>
      <c r="AM701">
        <v>4008</v>
      </c>
      <c r="AN701">
        <v>77</v>
      </c>
      <c r="AO701">
        <v>76</v>
      </c>
      <c r="AP701">
        <v>76</v>
      </c>
      <c r="AQ701">
        <v>4</v>
      </c>
      <c r="AR701" t="s">
        <v>29</v>
      </c>
      <c r="AS701" t="s">
        <v>48</v>
      </c>
      <c r="AT701" t="s">
        <v>23</v>
      </c>
      <c r="AU701">
        <v>85.63</v>
      </c>
      <c r="AV701">
        <v>28</v>
      </c>
      <c r="AW701">
        <v>16</v>
      </c>
      <c r="AX701">
        <v>8</v>
      </c>
      <c r="AY701">
        <v>25</v>
      </c>
      <c r="AZ701">
        <v>426</v>
      </c>
      <c r="BA701">
        <v>1736</v>
      </c>
      <c r="BB701">
        <v>70</v>
      </c>
      <c r="BC701">
        <v>70</v>
      </c>
      <c r="BD701">
        <v>73</v>
      </c>
      <c r="BE701">
        <v>3.5</v>
      </c>
      <c r="BF701" t="s">
        <v>46</v>
      </c>
      <c r="BG701">
        <v>24</v>
      </c>
      <c r="BH701">
        <v>94</v>
      </c>
      <c r="BI701">
        <v>0.52800000000000002</v>
      </c>
      <c r="BJ701" t="s">
        <v>266</v>
      </c>
      <c r="BK701">
        <v>0.38300000000000001</v>
      </c>
      <c r="BL701">
        <v>0.34150000000000003</v>
      </c>
      <c r="BM701">
        <v>1.28</v>
      </c>
      <c r="BN701">
        <v>1.22</v>
      </c>
    </row>
    <row r="702" spans="1:66" x14ac:dyDescent="0.25">
      <c r="A702">
        <v>2</v>
      </c>
      <c r="B702">
        <v>0</v>
      </c>
      <c r="C702">
        <v>4</v>
      </c>
      <c r="D702">
        <v>2.3733333333333335</v>
      </c>
      <c r="E702">
        <v>3.2999999999999994</v>
      </c>
      <c r="F702">
        <v>3.0500000000000003</v>
      </c>
      <c r="G702" s="40">
        <v>0.47</v>
      </c>
      <c r="H702" s="40">
        <v>0.26</v>
      </c>
      <c r="I702" s="40">
        <v>0.27</v>
      </c>
      <c r="J702">
        <v>2.2999999999999998</v>
      </c>
      <c r="K702">
        <v>3.25</v>
      </c>
      <c r="L702">
        <v>3</v>
      </c>
      <c r="M702">
        <v>2.4500000000000002</v>
      </c>
      <c r="N702">
        <v>3.3</v>
      </c>
      <c r="O702">
        <v>3.1</v>
      </c>
      <c r="P702">
        <v>2.37</v>
      </c>
      <c r="Q702">
        <v>3.35</v>
      </c>
      <c r="R702">
        <v>3.05</v>
      </c>
      <c r="S702">
        <v>0.41570438799076209</v>
      </c>
      <c r="T702">
        <v>0.26558891454965361</v>
      </c>
      <c r="U702">
        <v>0.31870669745958424</v>
      </c>
      <c r="V702">
        <v>0.39482825164029339</v>
      </c>
      <c r="W702">
        <v>0.29313006561173299</v>
      </c>
      <c r="X702">
        <v>0.31204168274797378</v>
      </c>
      <c r="Y702">
        <v>0.40249354946721555</v>
      </c>
      <c r="Z702">
        <v>0.28474916783203008</v>
      </c>
      <c r="AA702">
        <v>0.31275728270075442</v>
      </c>
      <c r="AB702">
        <v>0.40434206303275699</v>
      </c>
      <c r="AC702">
        <v>0.28115604933113886</v>
      </c>
      <c r="AD702">
        <v>0.31450188763610415</v>
      </c>
      <c r="AE702" t="s">
        <v>39</v>
      </c>
      <c r="AF702" t="s">
        <v>23</v>
      </c>
      <c r="AG702">
        <v>87.45</v>
      </c>
      <c r="AH702">
        <v>29</v>
      </c>
      <c r="AI702">
        <v>14</v>
      </c>
      <c r="AJ702">
        <v>7</v>
      </c>
      <c r="AK702">
        <v>26.2</v>
      </c>
      <c r="AL702">
        <v>229</v>
      </c>
      <c r="AM702">
        <v>3029</v>
      </c>
      <c r="AN702">
        <v>71</v>
      </c>
      <c r="AO702">
        <v>73</v>
      </c>
      <c r="AP702">
        <v>73</v>
      </c>
      <c r="AQ702">
        <v>3.5</v>
      </c>
      <c r="AR702" t="s">
        <v>29</v>
      </c>
      <c r="AS702" t="s">
        <v>36</v>
      </c>
      <c r="AT702" t="s">
        <v>23</v>
      </c>
      <c r="AU702">
        <v>87.7</v>
      </c>
      <c r="AV702">
        <v>27</v>
      </c>
      <c r="AW702">
        <v>15</v>
      </c>
      <c r="AX702">
        <v>6</v>
      </c>
      <c r="AY702">
        <v>26</v>
      </c>
      <c r="AZ702">
        <v>180</v>
      </c>
      <c r="BA702">
        <v>3627</v>
      </c>
      <c r="BB702">
        <v>75</v>
      </c>
      <c r="BC702">
        <v>73</v>
      </c>
      <c r="BD702">
        <v>74</v>
      </c>
      <c r="BE702">
        <v>3.5</v>
      </c>
      <c r="BF702" t="s">
        <v>29</v>
      </c>
      <c r="BG702">
        <v>31</v>
      </c>
      <c r="BH702">
        <v>101</v>
      </c>
      <c r="BI702">
        <v>0.55600000000000005</v>
      </c>
      <c r="BJ702" t="s">
        <v>266</v>
      </c>
      <c r="BK702">
        <v>0.24390000000000001</v>
      </c>
      <c r="BL702">
        <v>0.28210000000000002</v>
      </c>
      <c r="BM702">
        <v>1.24</v>
      </c>
      <c r="BN702">
        <v>1.26</v>
      </c>
    </row>
    <row r="703" spans="1:66" x14ac:dyDescent="0.25">
      <c r="A703">
        <v>3</v>
      </c>
      <c r="B703">
        <v>-1</v>
      </c>
      <c r="C703">
        <v>1</v>
      </c>
      <c r="D703">
        <v>1.5669999999999999</v>
      </c>
      <c r="E703">
        <v>4.416666666666667</v>
      </c>
      <c r="F703">
        <v>5.3833333333333329</v>
      </c>
      <c r="G703" s="40">
        <v>0.49</v>
      </c>
      <c r="H703" s="40">
        <v>0.31</v>
      </c>
      <c r="I703" s="40">
        <v>0.2</v>
      </c>
      <c r="J703">
        <v>1.56</v>
      </c>
      <c r="K703">
        <v>4.25</v>
      </c>
      <c r="L703">
        <v>5</v>
      </c>
      <c r="M703">
        <v>1.571</v>
      </c>
      <c r="N703">
        <v>4.5</v>
      </c>
      <c r="O703">
        <v>5.75</v>
      </c>
      <c r="P703">
        <v>1.57</v>
      </c>
      <c r="Q703">
        <v>4.5</v>
      </c>
      <c r="R703">
        <v>5.4</v>
      </c>
      <c r="S703">
        <v>0.62367188179592659</v>
      </c>
      <c r="T703">
        <v>0.18174249108374446</v>
      </c>
      <c r="U703">
        <v>0.19458562712032906</v>
      </c>
      <c r="V703">
        <v>0.6163979727355563</v>
      </c>
      <c r="W703">
        <v>0.21519138114834643</v>
      </c>
      <c r="X703">
        <v>0.16841064611609721</v>
      </c>
      <c r="Y703">
        <v>0.60989383329568558</v>
      </c>
      <c r="Z703">
        <v>0.21278518183871697</v>
      </c>
      <c r="AA703">
        <v>0.1773209848655975</v>
      </c>
      <c r="AB703">
        <v>0.61665456260905616</v>
      </c>
      <c r="AC703">
        <v>0.20323968469026932</v>
      </c>
      <c r="AD703">
        <v>0.18010575270067455</v>
      </c>
      <c r="AE703" t="s">
        <v>40</v>
      </c>
      <c r="AF703" t="s">
        <v>23</v>
      </c>
      <c r="AG703">
        <v>218.25</v>
      </c>
      <c r="AH703">
        <v>26</v>
      </c>
      <c r="AI703">
        <v>17</v>
      </c>
      <c r="AJ703">
        <v>8</v>
      </c>
      <c r="AK703">
        <v>24.1</v>
      </c>
      <c r="AL703">
        <v>255</v>
      </c>
      <c r="AM703">
        <v>2803</v>
      </c>
      <c r="AN703">
        <v>77</v>
      </c>
      <c r="AO703">
        <v>74</v>
      </c>
      <c r="AP703">
        <v>73</v>
      </c>
      <c r="AQ703">
        <v>4</v>
      </c>
      <c r="AR703" t="s">
        <v>28</v>
      </c>
      <c r="AS703" t="s">
        <v>38</v>
      </c>
      <c r="AT703" t="s">
        <v>23</v>
      </c>
      <c r="AU703">
        <v>88.7</v>
      </c>
      <c r="AV703">
        <v>24</v>
      </c>
      <c r="AW703">
        <v>10</v>
      </c>
      <c r="AX703">
        <v>5</v>
      </c>
      <c r="AY703">
        <v>25.1</v>
      </c>
      <c r="AZ703">
        <v>228</v>
      </c>
      <c r="BA703">
        <v>3029</v>
      </c>
      <c r="BB703">
        <v>80</v>
      </c>
      <c r="BC703">
        <v>76</v>
      </c>
      <c r="BD703">
        <v>73</v>
      </c>
      <c r="BE703">
        <v>4</v>
      </c>
      <c r="BF703" t="s">
        <v>29</v>
      </c>
      <c r="BG703">
        <v>-12</v>
      </c>
      <c r="BH703">
        <v>56</v>
      </c>
      <c r="BI703">
        <v>0.31900000000000001</v>
      </c>
      <c r="BJ703" t="s">
        <v>266</v>
      </c>
      <c r="BK703">
        <v>0.36959999999999998</v>
      </c>
      <c r="BL703">
        <v>0.41860000000000003</v>
      </c>
      <c r="BM703">
        <v>1.33</v>
      </c>
      <c r="BN703">
        <v>1.6</v>
      </c>
    </row>
    <row r="704" spans="1:66" x14ac:dyDescent="0.25">
      <c r="A704">
        <v>1</v>
      </c>
      <c r="B704">
        <v>3</v>
      </c>
      <c r="C704">
        <v>5</v>
      </c>
      <c r="D704">
        <v>2.6066666666666669</v>
      </c>
      <c r="E704">
        <v>3.5666666666666664</v>
      </c>
      <c r="F704">
        <v>2.5766666666666667</v>
      </c>
      <c r="G704" s="40">
        <v>0.38</v>
      </c>
      <c r="H704" s="40">
        <v>0.4</v>
      </c>
      <c r="I704" s="40">
        <v>0.21999999999999997</v>
      </c>
      <c r="J704">
        <v>2.5499999999999998</v>
      </c>
      <c r="K704">
        <v>3.5</v>
      </c>
      <c r="L704">
        <v>2.5499999999999998</v>
      </c>
      <c r="M704">
        <v>2.65</v>
      </c>
      <c r="N704">
        <v>3.6</v>
      </c>
      <c r="O704">
        <v>2.6</v>
      </c>
      <c r="P704">
        <v>2.62</v>
      </c>
      <c r="Q704">
        <v>3.6</v>
      </c>
      <c r="R704">
        <v>2.58</v>
      </c>
      <c r="S704">
        <v>0.37601296596434358</v>
      </c>
      <c r="T704">
        <v>0.24797406807131273</v>
      </c>
      <c r="U704">
        <v>0.37601296596434358</v>
      </c>
      <c r="V704">
        <v>0.36293136874757664</v>
      </c>
      <c r="W704">
        <v>0.26715781310585501</v>
      </c>
      <c r="X704">
        <v>0.36991081814656845</v>
      </c>
      <c r="Y704">
        <v>0.3645269156501672</v>
      </c>
      <c r="Z704">
        <v>0.26529458861206612</v>
      </c>
      <c r="AA704">
        <v>0.37017849573776668</v>
      </c>
      <c r="AB704">
        <v>0.36782375012069579</v>
      </c>
      <c r="AC704">
        <v>0.26014215659641127</v>
      </c>
      <c r="AD704">
        <v>0.37203409328289294</v>
      </c>
      <c r="AE704" t="s">
        <v>32</v>
      </c>
      <c r="AF704" t="s">
        <v>23</v>
      </c>
      <c r="AG704">
        <v>189.65</v>
      </c>
      <c r="AH704">
        <v>29</v>
      </c>
      <c r="AI704">
        <v>11</v>
      </c>
      <c r="AJ704">
        <v>7</v>
      </c>
      <c r="AK704">
        <v>23.6</v>
      </c>
      <c r="AL704">
        <v>102</v>
      </c>
      <c r="AM704">
        <v>4815</v>
      </c>
      <c r="AN704">
        <v>75</v>
      </c>
      <c r="AO704">
        <v>76</v>
      </c>
      <c r="AP704">
        <v>76</v>
      </c>
      <c r="AQ704">
        <v>4</v>
      </c>
      <c r="AR704" t="s">
        <v>29</v>
      </c>
      <c r="AS704" t="s">
        <v>30</v>
      </c>
      <c r="AT704" t="s">
        <v>23</v>
      </c>
      <c r="AU704">
        <v>348.55</v>
      </c>
      <c r="AV704">
        <v>30</v>
      </c>
      <c r="AW704">
        <v>19</v>
      </c>
      <c r="AX704">
        <v>14</v>
      </c>
      <c r="AY704">
        <v>25.2</v>
      </c>
      <c r="AZ704">
        <v>60</v>
      </c>
      <c r="BA704">
        <v>6154</v>
      </c>
      <c r="BB704">
        <v>79</v>
      </c>
      <c r="BC704">
        <v>79</v>
      </c>
      <c r="BD704">
        <v>77</v>
      </c>
      <c r="BE704">
        <v>4</v>
      </c>
      <c r="BF704" t="s">
        <v>29</v>
      </c>
      <c r="BG704">
        <v>-18</v>
      </c>
      <c r="BH704">
        <v>69</v>
      </c>
      <c r="BI704">
        <v>0.28299999999999997</v>
      </c>
      <c r="BJ704" t="s">
        <v>266</v>
      </c>
      <c r="BK704">
        <v>0.35560000000000003</v>
      </c>
      <c r="BL704">
        <v>0.57140000000000002</v>
      </c>
      <c r="BM704">
        <v>1.24</v>
      </c>
      <c r="BN704">
        <v>2.21</v>
      </c>
    </row>
    <row r="705" spans="1:66" x14ac:dyDescent="0.25">
      <c r="A705">
        <v>2</v>
      </c>
      <c r="B705">
        <v>0</v>
      </c>
      <c r="C705">
        <v>2</v>
      </c>
      <c r="D705">
        <v>2.6416666666666671</v>
      </c>
      <c r="E705">
        <v>3.5333333333333332</v>
      </c>
      <c r="F705">
        <v>2.5916666666666668</v>
      </c>
      <c r="G705" s="40">
        <v>0.44</v>
      </c>
      <c r="H705" s="40">
        <v>0.25</v>
      </c>
      <c r="I705" s="40">
        <v>0.31000000000000005</v>
      </c>
      <c r="J705">
        <v>2.7</v>
      </c>
      <c r="K705">
        <v>3.45</v>
      </c>
      <c r="L705">
        <v>2.5499999999999998</v>
      </c>
      <c r="M705">
        <v>2.625</v>
      </c>
      <c r="N705">
        <v>3.6</v>
      </c>
      <c r="O705">
        <v>2.625</v>
      </c>
      <c r="P705">
        <v>2.6</v>
      </c>
      <c r="Q705">
        <v>3.55</v>
      </c>
      <c r="R705">
        <v>2.6</v>
      </c>
      <c r="S705">
        <v>0.36230279546083582</v>
      </c>
      <c r="T705">
        <v>0.25408247993357319</v>
      </c>
      <c r="U705">
        <v>0.38361472460559093</v>
      </c>
      <c r="V705">
        <v>0.36641221374045801</v>
      </c>
      <c r="W705">
        <v>0.26717557251908397</v>
      </c>
      <c r="X705">
        <v>0.36641221374045801</v>
      </c>
      <c r="Y705">
        <v>0.36597938144329895</v>
      </c>
      <c r="Z705">
        <v>0.26804123711340205</v>
      </c>
      <c r="AA705">
        <v>0.36597938144329895</v>
      </c>
      <c r="AB705">
        <v>0.36489813021486422</v>
      </c>
      <c r="AC705">
        <v>0.26309976318868644</v>
      </c>
      <c r="AD705">
        <v>0.37200210659644933</v>
      </c>
      <c r="AE705" t="s">
        <v>57</v>
      </c>
      <c r="AF705" t="s">
        <v>26</v>
      </c>
      <c r="AG705">
        <v>100.5</v>
      </c>
      <c r="AH705">
        <v>25</v>
      </c>
      <c r="AI705">
        <v>13</v>
      </c>
      <c r="AJ705">
        <v>6</v>
      </c>
      <c r="AK705">
        <v>25.5</v>
      </c>
      <c r="AL705">
        <v>234</v>
      </c>
      <c r="AM705">
        <v>2973</v>
      </c>
      <c r="AN705">
        <v>72</v>
      </c>
      <c r="AO705">
        <v>73</v>
      </c>
      <c r="AP705">
        <v>73</v>
      </c>
      <c r="AQ705">
        <v>3.5</v>
      </c>
      <c r="AR705" t="s">
        <v>46</v>
      </c>
      <c r="AS705" t="s">
        <v>52</v>
      </c>
      <c r="AT705" t="s">
        <v>26</v>
      </c>
      <c r="AU705">
        <v>300</v>
      </c>
      <c r="AV705">
        <v>28</v>
      </c>
      <c r="AW705">
        <v>15</v>
      </c>
      <c r="AX705">
        <v>11</v>
      </c>
      <c r="AY705">
        <v>25.4</v>
      </c>
      <c r="AZ705">
        <v>76</v>
      </c>
      <c r="BA705">
        <v>5412</v>
      </c>
      <c r="BB705">
        <v>78</v>
      </c>
      <c r="BC705">
        <v>79</v>
      </c>
      <c r="BD705">
        <v>80</v>
      </c>
      <c r="BE705">
        <v>4.5</v>
      </c>
      <c r="BF705" t="s">
        <v>29</v>
      </c>
      <c r="BG705">
        <v>-17</v>
      </c>
      <c r="BH705">
        <v>40</v>
      </c>
      <c r="BI705">
        <v>0.27</v>
      </c>
      <c r="BJ705" t="s">
        <v>273</v>
      </c>
      <c r="BK705">
        <v>0.30559999999999998</v>
      </c>
      <c r="BL705">
        <v>0.60780000000000001</v>
      </c>
      <c r="BM705">
        <v>1.28</v>
      </c>
      <c r="BN705">
        <v>2.27</v>
      </c>
    </row>
    <row r="706" spans="1:66" x14ac:dyDescent="0.25">
      <c r="A706">
        <v>1</v>
      </c>
      <c r="B706">
        <v>1</v>
      </c>
      <c r="C706">
        <v>3</v>
      </c>
      <c r="D706">
        <v>1.1686666666666665</v>
      </c>
      <c r="E706">
        <v>8.0666666666666664</v>
      </c>
      <c r="F706">
        <v>14.833333333333334</v>
      </c>
      <c r="G706" s="40">
        <v>0.43</v>
      </c>
      <c r="H706" s="40">
        <v>0.32</v>
      </c>
      <c r="I706" s="40">
        <v>0.25000000000000006</v>
      </c>
      <c r="J706">
        <v>1.17</v>
      </c>
      <c r="K706">
        <v>8</v>
      </c>
      <c r="L706">
        <v>13</v>
      </c>
      <c r="M706">
        <v>1.1659999999999999</v>
      </c>
      <c r="N706">
        <v>8</v>
      </c>
      <c r="O706">
        <v>17</v>
      </c>
      <c r="P706">
        <v>1.17</v>
      </c>
      <c r="Q706">
        <v>8.1999999999999993</v>
      </c>
      <c r="R706">
        <v>14.5</v>
      </c>
      <c r="S706">
        <v>0.84690639351909636</v>
      </c>
      <c r="T706">
        <v>7.6872031064184845E-2</v>
      </c>
      <c r="U706">
        <v>7.6221575416718673E-2</v>
      </c>
      <c r="V706">
        <v>0.82349379352104157</v>
      </c>
      <c r="W706">
        <v>0.1200242204056918</v>
      </c>
      <c r="X706">
        <v>5.6481986073266731E-2</v>
      </c>
      <c r="Y706">
        <v>0.817412466743206</v>
      </c>
      <c r="Z706">
        <v>0.11663080318165257</v>
      </c>
      <c r="AA706">
        <v>6.5956730075141454E-2</v>
      </c>
      <c r="AB706">
        <v>0.82927088459444798</v>
      </c>
      <c r="AC706">
        <v>0.1045090182171764</v>
      </c>
      <c r="AD706">
        <v>6.6220097188375612E-2</v>
      </c>
      <c r="AE706" t="s">
        <v>31</v>
      </c>
      <c r="AF706" t="s">
        <v>26</v>
      </c>
      <c r="AG706">
        <v>852.4</v>
      </c>
      <c r="AH706">
        <v>25</v>
      </c>
      <c r="AI706">
        <v>15</v>
      </c>
      <c r="AJ706">
        <v>17</v>
      </c>
      <c r="AK706">
        <v>26.1</v>
      </c>
      <c r="AL706">
        <v>6</v>
      </c>
      <c r="AM706">
        <v>10885</v>
      </c>
      <c r="AN706">
        <v>92</v>
      </c>
      <c r="AO706">
        <v>85</v>
      </c>
      <c r="AP706">
        <v>82</v>
      </c>
      <c r="AQ706">
        <v>5</v>
      </c>
      <c r="AR706" t="s">
        <v>29</v>
      </c>
      <c r="AS706" t="s">
        <v>55</v>
      </c>
      <c r="AT706" t="s">
        <v>26</v>
      </c>
      <c r="AU706">
        <v>125.15</v>
      </c>
      <c r="AV706">
        <v>26</v>
      </c>
      <c r="AW706">
        <v>9</v>
      </c>
      <c r="AX706">
        <v>7</v>
      </c>
      <c r="AY706">
        <v>25.4</v>
      </c>
      <c r="AZ706">
        <v>213</v>
      </c>
      <c r="BA706">
        <v>3138</v>
      </c>
      <c r="BB706">
        <v>75</v>
      </c>
      <c r="BC706">
        <v>75</v>
      </c>
      <c r="BD706">
        <v>73</v>
      </c>
      <c r="BE706">
        <v>3.5</v>
      </c>
      <c r="BF706" t="s">
        <v>29</v>
      </c>
      <c r="BG706">
        <v>66</v>
      </c>
      <c r="BH706">
        <v>99</v>
      </c>
      <c r="BI706">
        <v>0.69799999999999995</v>
      </c>
      <c r="BJ706" t="s">
        <v>273</v>
      </c>
      <c r="BK706">
        <v>0.72919999999999996</v>
      </c>
      <c r="BL706">
        <v>0.36109999999999998</v>
      </c>
      <c r="BM706">
        <v>2.83</v>
      </c>
      <c r="BN706">
        <v>1.5</v>
      </c>
    </row>
    <row r="707" spans="1:66" x14ac:dyDescent="0.25">
      <c r="A707">
        <v>1</v>
      </c>
      <c r="B707">
        <v>1</v>
      </c>
      <c r="C707">
        <v>1</v>
      </c>
      <c r="D707">
        <v>1.5366666666666668</v>
      </c>
      <c r="E707">
        <v>4.2776666666666667</v>
      </c>
      <c r="F707">
        <v>6.3166666666666664</v>
      </c>
      <c r="G707" s="40">
        <v>0.44</v>
      </c>
      <c r="H707" s="40">
        <v>0.3</v>
      </c>
      <c r="I707" s="40">
        <v>0.26000000000000006</v>
      </c>
      <c r="J707">
        <v>1.52</v>
      </c>
      <c r="K707">
        <v>4.2</v>
      </c>
      <c r="L707">
        <v>6.5</v>
      </c>
      <c r="M707">
        <v>1.55</v>
      </c>
      <c r="N707">
        <v>4.3330000000000002</v>
      </c>
      <c r="O707">
        <v>6.25</v>
      </c>
      <c r="P707">
        <v>1.54</v>
      </c>
      <c r="Q707">
        <v>4.3</v>
      </c>
      <c r="R707">
        <v>6.2</v>
      </c>
      <c r="S707">
        <v>0.66794663072008664</v>
      </c>
      <c r="T707">
        <v>0.17585661871152392</v>
      </c>
      <c r="U707">
        <v>0.15619675056838947</v>
      </c>
      <c r="V707">
        <v>0.62277365246326899</v>
      </c>
      <c r="W707">
        <v>0.2227784817258405</v>
      </c>
      <c r="X707">
        <v>0.15444786581089071</v>
      </c>
      <c r="Y707">
        <v>0.6224608918982022</v>
      </c>
      <c r="Z707">
        <v>0.22292785430772824</v>
      </c>
      <c r="AA707">
        <v>0.15461125379406956</v>
      </c>
      <c r="AB707">
        <v>0.63772705836051935</v>
      </c>
      <c r="AC707">
        <v>0.20718765158169758</v>
      </c>
      <c r="AD707">
        <v>0.15508529005778324</v>
      </c>
      <c r="AE707" t="s">
        <v>274</v>
      </c>
      <c r="AF707" t="s">
        <v>26</v>
      </c>
      <c r="AG707">
        <v>287.75</v>
      </c>
      <c r="AH707">
        <v>31</v>
      </c>
      <c r="AI707">
        <v>20</v>
      </c>
      <c r="AJ707">
        <v>11</v>
      </c>
      <c r="AK707">
        <v>25.4</v>
      </c>
      <c r="AL707">
        <v>65</v>
      </c>
      <c r="AM707">
        <v>5919</v>
      </c>
      <c r="AN707">
        <v>78</v>
      </c>
      <c r="AO707">
        <v>78</v>
      </c>
      <c r="AP707">
        <v>77</v>
      </c>
      <c r="AQ707">
        <v>4</v>
      </c>
      <c r="AR707" t="s">
        <v>46</v>
      </c>
      <c r="AS707" t="s">
        <v>275</v>
      </c>
      <c r="AT707" t="s">
        <v>26</v>
      </c>
      <c r="AU707">
        <v>97.1</v>
      </c>
      <c r="AV707">
        <v>28</v>
      </c>
      <c r="AW707">
        <v>18</v>
      </c>
      <c r="AX707">
        <v>10</v>
      </c>
      <c r="AY707">
        <v>26</v>
      </c>
      <c r="AZ707">
        <v>276</v>
      </c>
      <c r="BA707">
        <v>2599</v>
      </c>
      <c r="BB707">
        <v>73</v>
      </c>
      <c r="BC707">
        <v>74</v>
      </c>
      <c r="BD707">
        <v>74</v>
      </c>
      <c r="BE707">
        <v>3.5</v>
      </c>
      <c r="BF707" t="s">
        <v>46</v>
      </c>
      <c r="BG707">
        <v>7</v>
      </c>
      <c r="BH707">
        <v>28</v>
      </c>
      <c r="BI707">
        <v>0.35</v>
      </c>
      <c r="BJ707" t="s">
        <v>273</v>
      </c>
      <c r="BK707">
        <v>0.53659999999999997</v>
      </c>
      <c r="BL707">
        <v>0.30559999999999998</v>
      </c>
      <c r="BM707">
        <v>1.88</v>
      </c>
      <c r="BN707">
        <v>1.19</v>
      </c>
    </row>
    <row r="708" spans="1:66" x14ac:dyDescent="0.25">
      <c r="A708">
        <v>1</v>
      </c>
      <c r="B708">
        <v>1</v>
      </c>
      <c r="C708">
        <v>3</v>
      </c>
      <c r="D708">
        <v>2.0099999999999998</v>
      </c>
      <c r="E708">
        <v>3.85</v>
      </c>
      <c r="F708">
        <v>3.4333333333333336</v>
      </c>
      <c r="G708" s="40">
        <v>0.37</v>
      </c>
      <c r="H708" s="40">
        <v>0.23</v>
      </c>
      <c r="I708" s="40">
        <v>0.4</v>
      </c>
      <c r="J708">
        <v>2</v>
      </c>
      <c r="K708">
        <v>3.8</v>
      </c>
      <c r="L708">
        <v>3.4</v>
      </c>
      <c r="M708">
        <v>2</v>
      </c>
      <c r="N708">
        <v>3.9</v>
      </c>
      <c r="O708">
        <v>3.5</v>
      </c>
      <c r="P708">
        <v>2.0299999999999998</v>
      </c>
      <c r="Q708">
        <v>3.85</v>
      </c>
      <c r="R708">
        <v>3.4</v>
      </c>
      <c r="S708">
        <v>0.48869870528856707</v>
      </c>
      <c r="T708">
        <v>0.22383146807109944</v>
      </c>
      <c r="U708">
        <v>0.28746982664033355</v>
      </c>
      <c r="V708">
        <v>0.47978910369068539</v>
      </c>
      <c r="W708">
        <v>0.24604569420035149</v>
      </c>
      <c r="X708">
        <v>0.27416520210896311</v>
      </c>
      <c r="Y708">
        <v>0.47073631214600375</v>
      </c>
      <c r="Z708">
        <v>0.24820641913152927</v>
      </c>
      <c r="AA708">
        <v>0.281057268722467</v>
      </c>
      <c r="AB708">
        <v>0.47974137370841879</v>
      </c>
      <c r="AC708">
        <v>0.23936119380099341</v>
      </c>
      <c r="AD708">
        <v>0.28089743249058791</v>
      </c>
      <c r="AE708" t="s">
        <v>25</v>
      </c>
      <c r="AF708" t="s">
        <v>26</v>
      </c>
      <c r="AG708">
        <v>505.55</v>
      </c>
      <c r="AH708">
        <v>28</v>
      </c>
      <c r="AI708">
        <v>21</v>
      </c>
      <c r="AJ708">
        <v>16</v>
      </c>
      <c r="AK708">
        <v>24.1</v>
      </c>
      <c r="AL708">
        <v>16</v>
      </c>
      <c r="AM708">
        <v>9221</v>
      </c>
      <c r="AN708">
        <v>78</v>
      </c>
      <c r="AO708">
        <v>81</v>
      </c>
      <c r="AP708">
        <v>80</v>
      </c>
      <c r="AQ708">
        <v>4.5</v>
      </c>
      <c r="AR708" t="s">
        <v>29</v>
      </c>
      <c r="AS708" t="s">
        <v>50</v>
      </c>
      <c r="AT708" t="s">
        <v>26</v>
      </c>
      <c r="AU708">
        <v>565.79999999999995</v>
      </c>
      <c r="AV708">
        <v>33</v>
      </c>
      <c r="AW708">
        <v>18</v>
      </c>
      <c r="AX708">
        <v>17</v>
      </c>
      <c r="AY708">
        <v>24.7</v>
      </c>
      <c r="AZ708">
        <v>36</v>
      </c>
      <c r="BA708">
        <v>7276</v>
      </c>
      <c r="BB708">
        <v>87</v>
      </c>
      <c r="BC708">
        <v>81</v>
      </c>
      <c r="BD708">
        <v>81</v>
      </c>
      <c r="BE708">
        <v>4.5</v>
      </c>
      <c r="BF708" t="s">
        <v>29</v>
      </c>
      <c r="BG708">
        <v>-11</v>
      </c>
      <c r="BH708">
        <v>8</v>
      </c>
      <c r="BI708">
        <v>0.182</v>
      </c>
      <c r="BJ708" t="s">
        <v>273</v>
      </c>
      <c r="BK708">
        <v>0.58330000000000004</v>
      </c>
      <c r="BL708">
        <v>0.60780000000000001</v>
      </c>
      <c r="BM708">
        <v>1.79</v>
      </c>
      <c r="BN708">
        <v>2.27</v>
      </c>
    </row>
    <row r="709" spans="1:66" x14ac:dyDescent="0.25">
      <c r="A709">
        <v>2</v>
      </c>
      <c r="B709">
        <v>0</v>
      </c>
      <c r="C709">
        <v>2</v>
      </c>
      <c r="D709">
        <v>3.4500000000000006</v>
      </c>
      <c r="E709">
        <v>3.5333333333333332</v>
      </c>
      <c r="F709">
        <v>2.11</v>
      </c>
      <c r="G709" s="40">
        <v>0.25</v>
      </c>
      <c r="H709" s="40">
        <v>0.26</v>
      </c>
      <c r="I709" s="40">
        <v>0.49</v>
      </c>
      <c r="J709">
        <v>3.45</v>
      </c>
      <c r="K709">
        <v>3.45</v>
      </c>
      <c r="L709">
        <v>2.1</v>
      </c>
      <c r="M709">
        <v>3.45</v>
      </c>
      <c r="N709">
        <v>3.6</v>
      </c>
      <c r="O709">
        <v>2.15</v>
      </c>
      <c r="P709">
        <v>3.45</v>
      </c>
      <c r="Q709">
        <v>3.55</v>
      </c>
      <c r="R709">
        <v>2.08</v>
      </c>
      <c r="S709">
        <v>0.28439187451787096</v>
      </c>
      <c r="T709">
        <v>0.24839290305991255</v>
      </c>
      <c r="U709">
        <v>0.46721522242221653</v>
      </c>
      <c r="V709">
        <v>0.2806635844438401</v>
      </c>
      <c r="W709">
        <v>0.26896926842534674</v>
      </c>
      <c r="X709">
        <v>0.45036714713081316</v>
      </c>
      <c r="Y709">
        <v>0.27544530448568499</v>
      </c>
      <c r="Z709">
        <v>0.26768628182411641</v>
      </c>
      <c r="AA709">
        <v>0.45686841369019865</v>
      </c>
      <c r="AB709">
        <v>0.28016692114913205</v>
      </c>
      <c r="AC709">
        <v>0.26168281776979191</v>
      </c>
      <c r="AD709">
        <v>0.45815026108107615</v>
      </c>
      <c r="AE709" t="s">
        <v>59</v>
      </c>
      <c r="AF709" t="s">
        <v>26</v>
      </c>
      <c r="AG709">
        <v>137.05000000000001</v>
      </c>
      <c r="AH709">
        <v>28</v>
      </c>
      <c r="AI709">
        <v>15</v>
      </c>
      <c r="AJ709">
        <v>8</v>
      </c>
      <c r="AK709">
        <v>26.3</v>
      </c>
      <c r="AL709">
        <v>258</v>
      </c>
      <c r="AM709">
        <v>2751</v>
      </c>
      <c r="AN709">
        <v>77</v>
      </c>
      <c r="AO709">
        <v>76</v>
      </c>
      <c r="AP709">
        <v>75</v>
      </c>
      <c r="AQ709">
        <v>4</v>
      </c>
      <c r="AR709" t="s">
        <v>29</v>
      </c>
      <c r="AS709" t="s">
        <v>49</v>
      </c>
      <c r="AT709" t="s">
        <v>26</v>
      </c>
      <c r="AU709">
        <v>352.75</v>
      </c>
      <c r="AV709">
        <v>27</v>
      </c>
      <c r="AW709">
        <v>19</v>
      </c>
      <c r="AX709">
        <v>15</v>
      </c>
      <c r="AY709">
        <v>24.7</v>
      </c>
      <c r="AZ709">
        <v>22</v>
      </c>
      <c r="BA709">
        <v>8083</v>
      </c>
      <c r="BB709">
        <v>78</v>
      </c>
      <c r="BC709">
        <v>78</v>
      </c>
      <c r="BD709">
        <v>78</v>
      </c>
      <c r="BE709">
        <v>4.5</v>
      </c>
      <c r="BF709" t="s">
        <v>46</v>
      </c>
      <c r="BG709">
        <v>-33</v>
      </c>
      <c r="BH709">
        <v>63</v>
      </c>
      <c r="BI709">
        <v>0.30399999999999999</v>
      </c>
      <c r="BJ709" t="s">
        <v>273</v>
      </c>
      <c r="BK709">
        <v>0.2286</v>
      </c>
      <c r="BL709">
        <v>0.4667</v>
      </c>
      <c r="BM709">
        <v>1.29</v>
      </c>
      <c r="BN709">
        <v>1.98</v>
      </c>
    </row>
    <row r="710" spans="1:66" x14ac:dyDescent="0.25">
      <c r="A710">
        <v>2</v>
      </c>
      <c r="B710">
        <v>0</v>
      </c>
      <c r="C710">
        <v>4</v>
      </c>
      <c r="D710">
        <v>2.1233333333333335</v>
      </c>
      <c r="E710">
        <v>3.5500000000000003</v>
      </c>
      <c r="F710">
        <v>3.4166666666666665</v>
      </c>
      <c r="G710" s="40">
        <v>0.31</v>
      </c>
      <c r="H710" s="40">
        <v>0.35</v>
      </c>
      <c r="I710" s="40">
        <v>0.33999999999999997</v>
      </c>
      <c r="J710">
        <v>2.1</v>
      </c>
      <c r="K710">
        <v>3.5</v>
      </c>
      <c r="L710">
        <v>3.4</v>
      </c>
      <c r="M710">
        <v>2.15</v>
      </c>
      <c r="N710">
        <v>3.6</v>
      </c>
      <c r="O710">
        <v>3.4</v>
      </c>
      <c r="P710">
        <v>2.12</v>
      </c>
      <c r="Q710">
        <v>3.55</v>
      </c>
      <c r="R710">
        <v>3.45</v>
      </c>
      <c r="S710">
        <v>0.46671242278654768</v>
      </c>
      <c r="T710">
        <v>0.24502402196293754</v>
      </c>
      <c r="U710">
        <v>0.28826355525051472</v>
      </c>
      <c r="V710">
        <v>0.44851593990472705</v>
      </c>
      <c r="W710">
        <v>0.2678636863319897</v>
      </c>
      <c r="X710">
        <v>0.28362037376328325</v>
      </c>
      <c r="Y710">
        <v>0.45214582371942774</v>
      </c>
      <c r="Z710">
        <v>0.27001384402399636</v>
      </c>
      <c r="AA710">
        <v>0.27784033225657589</v>
      </c>
      <c r="AB710">
        <v>0.45579139547023412</v>
      </c>
      <c r="AC710">
        <v>0.26096718410630787</v>
      </c>
      <c r="AD710">
        <v>0.28324142042345796</v>
      </c>
      <c r="AE710" t="s">
        <v>60</v>
      </c>
      <c r="AF710" t="s">
        <v>26</v>
      </c>
      <c r="AG710">
        <v>76.66</v>
      </c>
      <c r="AH710">
        <v>30</v>
      </c>
      <c r="AI710">
        <v>11</v>
      </c>
      <c r="AJ710">
        <v>6</v>
      </c>
      <c r="AK710">
        <v>25.1</v>
      </c>
      <c r="AL710">
        <v>299</v>
      </c>
      <c r="AM710">
        <v>2454</v>
      </c>
      <c r="AN710">
        <v>74</v>
      </c>
      <c r="AO710">
        <v>74</v>
      </c>
      <c r="AP710">
        <v>72</v>
      </c>
      <c r="AQ710">
        <v>3.5</v>
      </c>
      <c r="AR710" t="s">
        <v>46</v>
      </c>
      <c r="AS710" t="s">
        <v>58</v>
      </c>
      <c r="AT710" t="s">
        <v>26</v>
      </c>
      <c r="AU710">
        <v>77.8</v>
      </c>
      <c r="AV710">
        <v>31</v>
      </c>
      <c r="AW710">
        <v>13</v>
      </c>
      <c r="AX710">
        <v>7</v>
      </c>
      <c r="AY710">
        <v>26.9</v>
      </c>
      <c r="AZ710">
        <v>243</v>
      </c>
      <c r="BA710">
        <v>2873</v>
      </c>
      <c r="BB710">
        <v>75</v>
      </c>
      <c r="BC710">
        <v>72</v>
      </c>
      <c r="BD710">
        <v>73</v>
      </c>
      <c r="BE710">
        <v>3.5</v>
      </c>
      <c r="BF710" t="s">
        <v>46</v>
      </c>
      <c r="BG710">
        <v>9</v>
      </c>
      <c r="BH710">
        <v>16</v>
      </c>
      <c r="BI710">
        <v>0.41699999999999998</v>
      </c>
      <c r="BJ710" t="s">
        <v>273</v>
      </c>
      <c r="BK710">
        <v>0.28210000000000002</v>
      </c>
      <c r="BL710">
        <v>0.36109999999999998</v>
      </c>
      <c r="BM710">
        <v>1.23</v>
      </c>
      <c r="BN710">
        <v>1.47</v>
      </c>
    </row>
    <row r="711" spans="1:66" x14ac:dyDescent="0.25">
      <c r="A711">
        <v>1</v>
      </c>
      <c r="B711">
        <v>3</v>
      </c>
      <c r="C711">
        <v>3</v>
      </c>
      <c r="D711">
        <v>1.7733333333333334</v>
      </c>
      <c r="E711">
        <v>3.5499999999999994</v>
      </c>
      <c r="F711">
        <v>4.416666666666667</v>
      </c>
      <c r="G711" s="40">
        <v>0.45</v>
      </c>
      <c r="H711" s="40">
        <v>0.34</v>
      </c>
      <c r="I711" s="40">
        <v>0.21000000000000002</v>
      </c>
      <c r="J711">
        <v>1.72</v>
      </c>
      <c r="K711">
        <v>3.5</v>
      </c>
      <c r="L711">
        <v>4.3</v>
      </c>
      <c r="M711">
        <v>1.8</v>
      </c>
      <c r="N711">
        <v>3.55</v>
      </c>
      <c r="O711">
        <v>4.5</v>
      </c>
      <c r="P711">
        <v>1.8</v>
      </c>
      <c r="Q711">
        <v>3.6</v>
      </c>
      <c r="R711">
        <v>4.45</v>
      </c>
      <c r="S711">
        <v>0.5518335684062059</v>
      </c>
      <c r="T711">
        <v>0.22743300423131166</v>
      </c>
      <c r="U711">
        <v>0.22073342736248236</v>
      </c>
      <c r="V711">
        <v>0.52437223042836045</v>
      </c>
      <c r="W711">
        <v>0.26587887740029542</v>
      </c>
      <c r="X711">
        <v>0.20974889217134415</v>
      </c>
      <c r="Y711">
        <v>0.52507374631268433</v>
      </c>
      <c r="Z711">
        <v>0.26253687315634217</v>
      </c>
      <c r="AA711">
        <v>0.21238938053097342</v>
      </c>
      <c r="AB711">
        <v>0.53375984838241697</v>
      </c>
      <c r="AC711">
        <v>0.25194958492931641</v>
      </c>
      <c r="AD711">
        <v>0.21429056668826663</v>
      </c>
      <c r="AE711" t="s">
        <v>94</v>
      </c>
      <c r="AF711" t="s">
        <v>85</v>
      </c>
      <c r="AG711">
        <v>28.25</v>
      </c>
      <c r="AH711">
        <v>30</v>
      </c>
      <c r="AI711">
        <v>5</v>
      </c>
      <c r="AJ711">
        <v>0</v>
      </c>
      <c r="AK711">
        <v>26.1</v>
      </c>
      <c r="AL711">
        <v>126</v>
      </c>
      <c r="AM711">
        <v>4236</v>
      </c>
      <c r="AN711">
        <v>74</v>
      </c>
      <c r="AO711">
        <v>71</v>
      </c>
      <c r="AP711">
        <v>71</v>
      </c>
      <c r="AQ711">
        <v>3.5</v>
      </c>
      <c r="AR711" t="s">
        <v>28</v>
      </c>
      <c r="AS711" t="s">
        <v>93</v>
      </c>
      <c r="AT711" t="s">
        <v>85</v>
      </c>
      <c r="AU711">
        <v>19.079999999999998</v>
      </c>
      <c r="AV711">
        <v>33</v>
      </c>
      <c r="AW711">
        <v>5</v>
      </c>
      <c r="AX711">
        <v>0</v>
      </c>
      <c r="AY711">
        <v>25.7</v>
      </c>
      <c r="AZ711">
        <v>100</v>
      </c>
      <c r="BA711">
        <v>4829</v>
      </c>
      <c r="BB711">
        <v>72</v>
      </c>
      <c r="BC711">
        <v>70</v>
      </c>
      <c r="BD711">
        <v>67</v>
      </c>
      <c r="BE711">
        <v>3</v>
      </c>
      <c r="BF711" t="s">
        <v>29</v>
      </c>
      <c r="BG711">
        <v>-1</v>
      </c>
      <c r="BH711">
        <v>16</v>
      </c>
      <c r="BI711">
        <v>0.308</v>
      </c>
      <c r="BJ711" t="s">
        <v>85</v>
      </c>
      <c r="BK711">
        <v>0.4239</v>
      </c>
      <c r="BL711">
        <v>0.38890000000000002</v>
      </c>
      <c r="BM711">
        <v>1.29</v>
      </c>
      <c r="BN711">
        <v>1.36</v>
      </c>
    </row>
    <row r="712" spans="1:66" x14ac:dyDescent="0.25">
      <c r="A712">
        <v>2</v>
      </c>
      <c r="B712">
        <v>0</v>
      </c>
      <c r="C712">
        <v>2</v>
      </c>
      <c r="D712">
        <v>2.3683333333333336</v>
      </c>
      <c r="E712">
        <v>3.25</v>
      </c>
      <c r="F712">
        <v>2.92</v>
      </c>
      <c r="G712" s="40">
        <v>0.32</v>
      </c>
      <c r="H712" s="40">
        <v>0.45</v>
      </c>
      <c r="I712" s="40">
        <v>0.22999999999999993</v>
      </c>
      <c r="J712">
        <v>2.33</v>
      </c>
      <c r="K712">
        <v>3.2</v>
      </c>
      <c r="L712">
        <v>2.8</v>
      </c>
      <c r="M712">
        <v>2.375</v>
      </c>
      <c r="N712">
        <v>3.25</v>
      </c>
      <c r="O712">
        <v>3</v>
      </c>
      <c r="P712">
        <v>2.4</v>
      </c>
      <c r="Q712">
        <v>3.3</v>
      </c>
      <c r="R712">
        <v>2.96</v>
      </c>
      <c r="S712">
        <v>0.39962834181058843</v>
      </c>
      <c r="T712">
        <v>0.26782378803988621</v>
      </c>
      <c r="U712">
        <v>0.33254787014952536</v>
      </c>
      <c r="V712">
        <v>0.39644218551461247</v>
      </c>
      <c r="W712">
        <v>0.28970775095298601</v>
      </c>
      <c r="X712">
        <v>0.31385006353240152</v>
      </c>
      <c r="Y712">
        <v>0.39399806389157793</v>
      </c>
      <c r="Z712">
        <v>0.28654404646660214</v>
      </c>
      <c r="AA712">
        <v>0.31945788964181998</v>
      </c>
      <c r="AB712">
        <v>0.39668953040559291</v>
      </c>
      <c r="AC712">
        <v>0.28135852848649145</v>
      </c>
      <c r="AD712">
        <v>0.32195194110791564</v>
      </c>
      <c r="AE712" t="s">
        <v>88</v>
      </c>
      <c r="AF712" t="s">
        <v>85</v>
      </c>
      <c r="AG712">
        <v>44.55</v>
      </c>
      <c r="AH712">
        <v>22</v>
      </c>
      <c r="AI712">
        <v>1</v>
      </c>
      <c r="AJ712">
        <v>1</v>
      </c>
      <c r="AK712">
        <v>25.7</v>
      </c>
      <c r="AL712">
        <v>69</v>
      </c>
      <c r="AM712">
        <v>5669</v>
      </c>
      <c r="AN712">
        <v>74</v>
      </c>
      <c r="AO712">
        <v>71</v>
      </c>
      <c r="AP712">
        <v>69</v>
      </c>
      <c r="AQ712">
        <v>3</v>
      </c>
      <c r="AR712" t="s">
        <v>29</v>
      </c>
      <c r="AS712" t="s">
        <v>97</v>
      </c>
      <c r="AT712" t="s">
        <v>85</v>
      </c>
      <c r="AU712">
        <v>28.93</v>
      </c>
      <c r="AV712">
        <v>23</v>
      </c>
      <c r="AW712">
        <v>4</v>
      </c>
      <c r="AX712">
        <v>0</v>
      </c>
      <c r="AY712">
        <v>26.5</v>
      </c>
      <c r="AZ712">
        <v>151</v>
      </c>
      <c r="BA712">
        <v>3948</v>
      </c>
      <c r="BB712">
        <v>69</v>
      </c>
      <c r="BC712">
        <v>72</v>
      </c>
      <c r="BD712">
        <v>69</v>
      </c>
      <c r="BE712">
        <v>3</v>
      </c>
      <c r="BF712" t="s">
        <v>29</v>
      </c>
      <c r="BG712">
        <v>-18</v>
      </c>
      <c r="BH712">
        <v>32</v>
      </c>
      <c r="BI712">
        <v>0.19400000000000001</v>
      </c>
      <c r="BJ712" t="s">
        <v>85</v>
      </c>
      <c r="BK712">
        <v>0.41670000000000001</v>
      </c>
      <c r="BL712">
        <v>0.2571</v>
      </c>
      <c r="BM712">
        <v>1.54</v>
      </c>
      <c r="BN712">
        <v>0.83</v>
      </c>
    </row>
    <row r="713" spans="1:66" x14ac:dyDescent="0.25">
      <c r="A713">
        <v>3</v>
      </c>
      <c r="B713">
        <v>-2</v>
      </c>
      <c r="C713">
        <v>2</v>
      </c>
      <c r="D713">
        <v>2.2600000000000002</v>
      </c>
      <c r="E713">
        <v>3.2833333333333337</v>
      </c>
      <c r="F713">
        <v>3.0833333333333335</v>
      </c>
      <c r="G713" s="40">
        <v>0.3</v>
      </c>
      <c r="H713" s="40">
        <v>0.44</v>
      </c>
      <c r="I713" s="40">
        <v>0.25999999999999995</v>
      </c>
      <c r="J713">
        <v>2.1800000000000002</v>
      </c>
      <c r="K713">
        <v>3.2</v>
      </c>
      <c r="L713">
        <v>3.05</v>
      </c>
      <c r="M713">
        <v>2.2999999999999998</v>
      </c>
      <c r="N713">
        <v>3.3</v>
      </c>
      <c r="O713">
        <v>3.1</v>
      </c>
      <c r="P713">
        <v>2.2999999999999998</v>
      </c>
      <c r="Q713">
        <v>3.35</v>
      </c>
      <c r="R713">
        <v>3.1</v>
      </c>
      <c r="S713">
        <v>0.42811211574683172</v>
      </c>
      <c r="T713">
        <v>0.26589299496526869</v>
      </c>
      <c r="U713">
        <v>0.30599488928789942</v>
      </c>
      <c r="V713">
        <v>0.4100200400801603</v>
      </c>
      <c r="W713">
        <v>0.28577154308617231</v>
      </c>
      <c r="X713">
        <v>0.30420841683366728</v>
      </c>
      <c r="Y713">
        <v>0.41177636796193501</v>
      </c>
      <c r="Z713">
        <v>0.28271213322759708</v>
      </c>
      <c r="AA713">
        <v>0.30551149881046785</v>
      </c>
      <c r="AB713">
        <v>0.41663617459630897</v>
      </c>
      <c r="AC713">
        <v>0.27812555709301273</v>
      </c>
      <c r="AD713">
        <v>0.30523826831067818</v>
      </c>
      <c r="AE713" t="s">
        <v>99</v>
      </c>
      <c r="AF713" t="s">
        <v>85</v>
      </c>
      <c r="AG713">
        <v>14.2</v>
      </c>
      <c r="AH713">
        <v>31</v>
      </c>
      <c r="AI713">
        <v>1</v>
      </c>
      <c r="AJ713">
        <v>0</v>
      </c>
      <c r="AK713">
        <v>26.5</v>
      </c>
      <c r="AL713">
        <v>173</v>
      </c>
      <c r="AM713">
        <v>3707</v>
      </c>
      <c r="AN713">
        <v>70</v>
      </c>
      <c r="AO713">
        <v>69</v>
      </c>
      <c r="AP713">
        <v>68</v>
      </c>
      <c r="AQ713">
        <v>3</v>
      </c>
      <c r="AR713" t="s">
        <v>46</v>
      </c>
      <c r="AS713" t="s">
        <v>91</v>
      </c>
      <c r="AT713" t="s">
        <v>85</v>
      </c>
      <c r="AU713">
        <v>41.05</v>
      </c>
      <c r="AV713">
        <v>29</v>
      </c>
      <c r="AW713">
        <v>5</v>
      </c>
      <c r="AX713">
        <v>3</v>
      </c>
      <c r="AY713">
        <v>27.6</v>
      </c>
      <c r="AZ713">
        <v>97</v>
      </c>
      <c r="BA713">
        <v>4926</v>
      </c>
      <c r="BB713">
        <v>71</v>
      </c>
      <c r="BC713">
        <v>74</v>
      </c>
      <c r="BD713">
        <v>73</v>
      </c>
      <c r="BE713">
        <v>3.5</v>
      </c>
      <c r="BF713" t="s">
        <v>29</v>
      </c>
      <c r="BG713">
        <v>2</v>
      </c>
      <c r="BH713">
        <v>14</v>
      </c>
      <c r="BI713">
        <v>0.44400000000000001</v>
      </c>
      <c r="BJ713" t="s">
        <v>85</v>
      </c>
      <c r="BK713">
        <v>0.40479999999999999</v>
      </c>
      <c r="BL713">
        <v>0.42859999999999998</v>
      </c>
      <c r="BM713">
        <v>1.24</v>
      </c>
      <c r="BN713">
        <v>1.35</v>
      </c>
    </row>
    <row r="714" spans="1:66" x14ac:dyDescent="0.25">
      <c r="A714">
        <v>3</v>
      </c>
      <c r="B714">
        <v>-1</v>
      </c>
      <c r="C714">
        <v>1</v>
      </c>
      <c r="D714">
        <v>2.416666666666667</v>
      </c>
      <c r="E714">
        <v>3.1</v>
      </c>
      <c r="F714">
        <v>2.9733333333333332</v>
      </c>
      <c r="G714" s="40">
        <v>0.39</v>
      </c>
      <c r="H714" s="40">
        <v>0.41</v>
      </c>
      <c r="I714" s="40">
        <v>0.2</v>
      </c>
      <c r="J714">
        <v>2.35</v>
      </c>
      <c r="K714">
        <v>3</v>
      </c>
      <c r="L714">
        <v>2.95</v>
      </c>
      <c r="M714">
        <v>2.4500000000000002</v>
      </c>
      <c r="N714">
        <v>3.1</v>
      </c>
      <c r="O714">
        <v>3</v>
      </c>
      <c r="P714">
        <v>2.4500000000000002</v>
      </c>
      <c r="Q714">
        <v>3.2</v>
      </c>
      <c r="R714">
        <v>2.97</v>
      </c>
      <c r="S714">
        <v>0.39745660766454721</v>
      </c>
      <c r="T714">
        <v>0.28592541673827115</v>
      </c>
      <c r="U714">
        <v>0.31661797559718169</v>
      </c>
      <c r="V714">
        <v>0.38358424417405651</v>
      </c>
      <c r="W714">
        <v>0.30315528975046402</v>
      </c>
      <c r="X714">
        <v>0.31326046607547947</v>
      </c>
      <c r="Y714">
        <v>0.38601978026441375</v>
      </c>
      <c r="Z714">
        <v>0.29554639426494178</v>
      </c>
      <c r="AA714">
        <v>0.31843382547064436</v>
      </c>
      <c r="AB714">
        <v>0.38902021070100584</v>
      </c>
      <c r="AC714">
        <v>0.29487570025122567</v>
      </c>
      <c r="AD714">
        <v>0.31610408904776849</v>
      </c>
      <c r="AE714" t="s">
        <v>100</v>
      </c>
      <c r="AF714" t="s">
        <v>85</v>
      </c>
      <c r="AG714">
        <v>15.1</v>
      </c>
      <c r="AH714">
        <v>31</v>
      </c>
      <c r="AI714">
        <v>4</v>
      </c>
      <c r="AJ714">
        <v>0</v>
      </c>
      <c r="AK714">
        <v>26.5</v>
      </c>
      <c r="AL714">
        <v>224</v>
      </c>
      <c r="AM714">
        <v>3048</v>
      </c>
      <c r="AN714">
        <v>69</v>
      </c>
      <c r="AO714">
        <v>68</v>
      </c>
      <c r="AP714">
        <v>68</v>
      </c>
      <c r="AQ714">
        <v>2.5</v>
      </c>
      <c r="AR714" t="s">
        <v>46</v>
      </c>
      <c r="AS714" t="s">
        <v>102</v>
      </c>
      <c r="AT714" t="s">
        <v>85</v>
      </c>
      <c r="AU714">
        <v>27.13</v>
      </c>
      <c r="AV714">
        <v>27</v>
      </c>
      <c r="AW714">
        <v>2</v>
      </c>
      <c r="AX714">
        <v>0</v>
      </c>
      <c r="AY714">
        <v>25.3</v>
      </c>
      <c r="AZ714">
        <v>232</v>
      </c>
      <c r="BA714">
        <v>3005</v>
      </c>
      <c r="BB714">
        <v>65</v>
      </c>
      <c r="BC714">
        <v>70</v>
      </c>
      <c r="BD714">
        <v>65</v>
      </c>
      <c r="BE714">
        <v>3</v>
      </c>
      <c r="BF714" t="s">
        <v>46</v>
      </c>
      <c r="BG714">
        <v>-14</v>
      </c>
      <c r="BH714">
        <v>14</v>
      </c>
      <c r="BI714">
        <v>9.0999999999999998E-2</v>
      </c>
      <c r="BJ714" t="s">
        <v>85</v>
      </c>
      <c r="BK714">
        <v>0.31580000000000003</v>
      </c>
      <c r="BL714">
        <v>0.3846</v>
      </c>
      <c r="BM714">
        <v>1.21</v>
      </c>
      <c r="BN714">
        <v>1.1299999999999999</v>
      </c>
    </row>
    <row r="715" spans="1:66" x14ac:dyDescent="0.25">
      <c r="A715">
        <v>1</v>
      </c>
      <c r="B715">
        <v>1</v>
      </c>
      <c r="C715">
        <v>3</v>
      </c>
      <c r="D715">
        <v>1.5636666666666665</v>
      </c>
      <c r="E715">
        <v>3.7833333333333332</v>
      </c>
      <c r="F715">
        <v>5.9333333333333336</v>
      </c>
      <c r="G715" s="40">
        <v>0.57999999999999996</v>
      </c>
      <c r="H715" s="40">
        <v>0.25</v>
      </c>
      <c r="I715" s="40">
        <v>0.17000000000000004</v>
      </c>
      <c r="J715">
        <v>1.52</v>
      </c>
      <c r="K715">
        <v>3.8</v>
      </c>
      <c r="L715">
        <v>5.75</v>
      </c>
      <c r="M715">
        <v>1.571</v>
      </c>
      <c r="N715">
        <v>3.75</v>
      </c>
      <c r="O715">
        <v>6.25</v>
      </c>
      <c r="P715">
        <v>1.6</v>
      </c>
      <c r="Q715">
        <v>3.8</v>
      </c>
      <c r="R715">
        <v>5.8</v>
      </c>
      <c r="S715">
        <v>0.63736607926286115</v>
      </c>
      <c r="T715">
        <v>0.19414758326243467</v>
      </c>
      <c r="U715">
        <v>0.16848633747470418</v>
      </c>
      <c r="V715">
        <v>0.59869723481703818</v>
      </c>
      <c r="W715">
        <v>0.25081422823935118</v>
      </c>
      <c r="X715">
        <v>0.15048853694361072</v>
      </c>
      <c r="Y715">
        <v>0.58930481283422453</v>
      </c>
      <c r="Z715">
        <v>0.24812834224598931</v>
      </c>
      <c r="AA715">
        <v>0.1625668449197861</v>
      </c>
      <c r="AB715">
        <v>0.60845604230470796</v>
      </c>
      <c r="AC715">
        <v>0.23103005124925838</v>
      </c>
      <c r="AD715">
        <v>0.16051390644603367</v>
      </c>
      <c r="AE715" t="s">
        <v>92</v>
      </c>
      <c r="AF715" t="s">
        <v>85</v>
      </c>
      <c r="AG715">
        <v>64.430000000000007</v>
      </c>
      <c r="AH715">
        <v>26</v>
      </c>
      <c r="AI715">
        <v>3</v>
      </c>
      <c r="AJ715">
        <v>1</v>
      </c>
      <c r="AK715">
        <v>26.8</v>
      </c>
      <c r="AL715">
        <v>98</v>
      </c>
      <c r="AM715">
        <v>4872</v>
      </c>
      <c r="AN715">
        <v>74</v>
      </c>
      <c r="AO715">
        <v>73</v>
      </c>
      <c r="AP715">
        <v>73</v>
      </c>
      <c r="AQ715">
        <v>3.5</v>
      </c>
      <c r="AR715" t="s">
        <v>28</v>
      </c>
      <c r="AS715" t="s">
        <v>90</v>
      </c>
      <c r="AT715" t="s">
        <v>85</v>
      </c>
      <c r="AU715">
        <v>29.75</v>
      </c>
      <c r="AV715">
        <v>24</v>
      </c>
      <c r="AW715">
        <v>3</v>
      </c>
      <c r="AX715">
        <v>0</v>
      </c>
      <c r="AY715">
        <v>26.6</v>
      </c>
      <c r="AZ715">
        <v>88</v>
      </c>
      <c r="BA715">
        <v>5121</v>
      </c>
      <c r="BB715">
        <v>73</v>
      </c>
      <c r="BC715">
        <v>71</v>
      </c>
      <c r="BD715">
        <v>71</v>
      </c>
      <c r="BE715">
        <v>3.5</v>
      </c>
      <c r="BF715" t="s">
        <v>29</v>
      </c>
      <c r="BG715">
        <v>-2</v>
      </c>
      <c r="BH715">
        <v>33</v>
      </c>
      <c r="BI715">
        <v>0.29599999999999999</v>
      </c>
      <c r="BJ715" t="s">
        <v>85</v>
      </c>
      <c r="BK715">
        <v>0.46810000000000002</v>
      </c>
      <c r="BL715">
        <v>0.45950000000000002</v>
      </c>
      <c r="BM715">
        <v>1.3</v>
      </c>
      <c r="BN715">
        <v>1.43</v>
      </c>
    </row>
    <row r="716" spans="1:66" x14ac:dyDescent="0.25">
      <c r="A716">
        <v>1</v>
      </c>
      <c r="B716">
        <v>3</v>
      </c>
      <c r="C716">
        <v>5</v>
      </c>
      <c r="D716">
        <v>1.3443333333333332</v>
      </c>
      <c r="E716">
        <v>4.75</v>
      </c>
      <c r="F716">
        <v>8.3333333333333339</v>
      </c>
      <c r="G716" s="40">
        <v>0.59</v>
      </c>
      <c r="H716" s="40">
        <v>0.22</v>
      </c>
      <c r="I716" s="40">
        <v>0.19000000000000003</v>
      </c>
      <c r="J716">
        <v>1.29</v>
      </c>
      <c r="K716">
        <v>4.8</v>
      </c>
      <c r="L716">
        <v>8.5</v>
      </c>
      <c r="M716">
        <v>1.363</v>
      </c>
      <c r="N716">
        <v>4.75</v>
      </c>
      <c r="O716">
        <v>8.5</v>
      </c>
      <c r="P716">
        <v>1.38</v>
      </c>
      <c r="Q716">
        <v>4.7</v>
      </c>
      <c r="R716">
        <v>8</v>
      </c>
      <c r="S716">
        <v>0.75083616920439278</v>
      </c>
      <c r="T716">
        <v>0.13521340041047</v>
      </c>
      <c r="U716">
        <v>0.11395043038513727</v>
      </c>
      <c r="V716">
        <v>0.69094160580818775</v>
      </c>
      <c r="W716">
        <v>0.19826387551927577</v>
      </c>
      <c r="X716">
        <v>0.11079451867253647</v>
      </c>
      <c r="Y716">
        <v>0.6820737945796902</v>
      </c>
      <c r="Z716">
        <v>0.20026847585531327</v>
      </c>
      <c r="AA716">
        <v>0.11765772956499655</v>
      </c>
      <c r="AB716">
        <v>0.70795052319742358</v>
      </c>
      <c r="AC716">
        <v>0.17791525059501967</v>
      </c>
      <c r="AD716">
        <v>0.11413422620755675</v>
      </c>
      <c r="AE716" t="s">
        <v>84</v>
      </c>
      <c r="AF716" t="s">
        <v>85</v>
      </c>
      <c r="AG716">
        <v>103.93</v>
      </c>
      <c r="AH716">
        <v>29</v>
      </c>
      <c r="AI716">
        <v>5</v>
      </c>
      <c r="AJ716">
        <v>6</v>
      </c>
      <c r="AK716">
        <v>27.7</v>
      </c>
      <c r="AL716">
        <v>4</v>
      </c>
      <c r="AM716">
        <v>11425</v>
      </c>
      <c r="AN716">
        <v>76</v>
      </c>
      <c r="AO716">
        <v>76</v>
      </c>
      <c r="AP716">
        <v>75</v>
      </c>
      <c r="AQ716">
        <v>4</v>
      </c>
      <c r="AR716" t="s">
        <v>29</v>
      </c>
      <c r="AS716" t="s">
        <v>104</v>
      </c>
      <c r="AT716" t="s">
        <v>85</v>
      </c>
      <c r="AU716">
        <v>8.68</v>
      </c>
      <c r="AV716">
        <v>32</v>
      </c>
      <c r="AW716">
        <v>5</v>
      </c>
      <c r="AX716">
        <v>0</v>
      </c>
      <c r="AY716">
        <v>27.6</v>
      </c>
      <c r="AZ716">
        <v>277</v>
      </c>
      <c r="BA716">
        <v>2592</v>
      </c>
      <c r="BB716">
        <v>65</v>
      </c>
      <c r="BC716">
        <v>66</v>
      </c>
      <c r="BD716">
        <v>66</v>
      </c>
      <c r="BE716">
        <v>2.5</v>
      </c>
      <c r="BF716" t="s">
        <v>43</v>
      </c>
      <c r="BG716">
        <v>-1</v>
      </c>
      <c r="BH716">
        <v>9</v>
      </c>
      <c r="BI716">
        <v>0.42899999999999999</v>
      </c>
      <c r="BJ716" t="s">
        <v>85</v>
      </c>
      <c r="BK716">
        <v>0.64</v>
      </c>
      <c r="BL716">
        <v>0.1842</v>
      </c>
      <c r="BM716">
        <v>2.08</v>
      </c>
      <c r="BN716">
        <v>0.84</v>
      </c>
    </row>
    <row r="717" spans="1:66" x14ac:dyDescent="0.25">
      <c r="A717">
        <v>2</v>
      </c>
      <c r="B717">
        <v>0</v>
      </c>
      <c r="C717">
        <v>2</v>
      </c>
      <c r="D717">
        <v>2.3683333333333336</v>
      </c>
      <c r="E717">
        <v>3.0666666666666664</v>
      </c>
      <c r="F717">
        <v>3.0666666666666664</v>
      </c>
      <c r="G717" s="40">
        <v>0.4</v>
      </c>
      <c r="H717" s="40">
        <v>0.35</v>
      </c>
      <c r="I717" s="40">
        <v>0.25</v>
      </c>
      <c r="J717">
        <v>2.33</v>
      </c>
      <c r="K717">
        <v>3</v>
      </c>
      <c r="L717">
        <v>3</v>
      </c>
      <c r="M717">
        <v>2.375</v>
      </c>
      <c r="N717">
        <v>3.1</v>
      </c>
      <c r="O717">
        <v>3.1</v>
      </c>
      <c r="P717">
        <v>2.4</v>
      </c>
      <c r="Q717">
        <v>3.1</v>
      </c>
      <c r="R717">
        <v>3.1</v>
      </c>
      <c r="S717">
        <v>0.40196881572544541</v>
      </c>
      <c r="T717">
        <v>0.2858354040611254</v>
      </c>
      <c r="U717">
        <v>0.31219578021342925</v>
      </c>
      <c r="V717">
        <v>0.39490445859872614</v>
      </c>
      <c r="W717">
        <v>0.30254777070063693</v>
      </c>
      <c r="X717">
        <v>0.30254777070063693</v>
      </c>
      <c r="Y717">
        <v>0.39240506329113928</v>
      </c>
      <c r="Z717">
        <v>0.30379746835443039</v>
      </c>
      <c r="AA717">
        <v>0.30379746835443039</v>
      </c>
      <c r="AB717">
        <v>0.3964261125384369</v>
      </c>
      <c r="AC717">
        <v>0.29739354770539755</v>
      </c>
      <c r="AD717">
        <v>0.30618033975616554</v>
      </c>
      <c r="AE717" t="s">
        <v>101</v>
      </c>
      <c r="AF717" t="s">
        <v>85</v>
      </c>
      <c r="AG717">
        <v>16.600000000000001</v>
      </c>
      <c r="AH717">
        <v>31</v>
      </c>
      <c r="AI717">
        <v>4</v>
      </c>
      <c r="AJ717">
        <v>0</v>
      </c>
      <c r="AK717">
        <v>26</v>
      </c>
      <c r="AL717">
        <v>225</v>
      </c>
      <c r="AM717">
        <v>3041</v>
      </c>
      <c r="AN717">
        <v>68</v>
      </c>
      <c r="AO717">
        <v>68</v>
      </c>
      <c r="AP717">
        <v>68</v>
      </c>
      <c r="AQ717">
        <v>2.5</v>
      </c>
      <c r="AR717" t="s">
        <v>46</v>
      </c>
      <c r="AS717" t="s">
        <v>89</v>
      </c>
      <c r="AT717" t="s">
        <v>85</v>
      </c>
      <c r="AU717">
        <v>31.6</v>
      </c>
      <c r="AV717">
        <v>27</v>
      </c>
      <c r="AW717">
        <v>3</v>
      </c>
      <c r="AX717">
        <v>1</v>
      </c>
      <c r="AY717">
        <v>27.6</v>
      </c>
      <c r="AZ717">
        <v>78</v>
      </c>
      <c r="BA717">
        <v>5364</v>
      </c>
      <c r="BB717">
        <v>71</v>
      </c>
      <c r="BC717">
        <v>71</v>
      </c>
      <c r="BD717">
        <v>72</v>
      </c>
      <c r="BE717">
        <v>3.5</v>
      </c>
      <c r="BF717" t="s">
        <v>29</v>
      </c>
      <c r="BG717">
        <v>2</v>
      </c>
      <c r="BH717">
        <v>26</v>
      </c>
      <c r="BI717">
        <v>0.316</v>
      </c>
      <c r="BJ717" t="s">
        <v>85</v>
      </c>
      <c r="BK717">
        <v>0.23680000000000001</v>
      </c>
      <c r="BL717">
        <v>0.47499999999999998</v>
      </c>
      <c r="BM717">
        <v>0.82</v>
      </c>
      <c r="BN717">
        <v>1</v>
      </c>
    </row>
    <row r="718" spans="1:66" x14ac:dyDescent="0.25">
      <c r="A718">
        <v>3</v>
      </c>
      <c r="B718">
        <v>-3</v>
      </c>
      <c r="C718">
        <v>3</v>
      </c>
      <c r="D718">
        <v>3.8000000000000003</v>
      </c>
      <c r="E718">
        <v>3.3333333333333335</v>
      </c>
      <c r="F718">
        <v>1.9566666666666668</v>
      </c>
      <c r="G718" s="40">
        <v>0.26</v>
      </c>
      <c r="H718" s="40">
        <v>0.24</v>
      </c>
      <c r="I718" s="40">
        <v>0.5</v>
      </c>
      <c r="J718">
        <v>3.65</v>
      </c>
      <c r="K718">
        <v>3.2</v>
      </c>
      <c r="L718">
        <v>1.94</v>
      </c>
      <c r="M718">
        <v>3.9</v>
      </c>
      <c r="N718">
        <v>3.4</v>
      </c>
      <c r="O718">
        <v>1.95</v>
      </c>
      <c r="P718">
        <v>3.85</v>
      </c>
      <c r="Q718">
        <v>3.4</v>
      </c>
      <c r="R718">
        <v>1.98</v>
      </c>
      <c r="S718">
        <v>0.25727093052566974</v>
      </c>
      <c r="T718">
        <v>0.25868840121727121</v>
      </c>
      <c r="U718">
        <v>0.48404066825705905</v>
      </c>
      <c r="V718">
        <v>0.24113475177304966</v>
      </c>
      <c r="W718">
        <v>0.27659574468085107</v>
      </c>
      <c r="X718">
        <v>0.48226950354609932</v>
      </c>
      <c r="Y718">
        <v>0.24529058116232466</v>
      </c>
      <c r="Z718">
        <v>0.2777555110220441</v>
      </c>
      <c r="AA718">
        <v>0.4769539078156313</v>
      </c>
      <c r="AB718">
        <v>0.24789875448701468</v>
      </c>
      <c r="AC718">
        <v>0.27101321897338876</v>
      </c>
      <c r="AD718">
        <v>0.48108802653959654</v>
      </c>
      <c r="AE718" t="s">
        <v>105</v>
      </c>
      <c r="AF718" t="s">
        <v>85</v>
      </c>
      <c r="AG718">
        <v>11.18</v>
      </c>
      <c r="AH718">
        <v>31</v>
      </c>
      <c r="AI718">
        <v>31</v>
      </c>
      <c r="AJ718">
        <v>5</v>
      </c>
      <c r="AK718">
        <v>0</v>
      </c>
      <c r="AL718">
        <v>280</v>
      </c>
      <c r="AM718">
        <v>2561</v>
      </c>
      <c r="AN718">
        <v>66</v>
      </c>
      <c r="AO718">
        <v>67</v>
      </c>
      <c r="AP718">
        <v>69</v>
      </c>
      <c r="AQ718">
        <v>2.5</v>
      </c>
      <c r="AR718" t="s">
        <v>46</v>
      </c>
      <c r="AS718" t="s">
        <v>86</v>
      </c>
      <c r="AT718" t="s">
        <v>85</v>
      </c>
      <c r="AU718">
        <v>86.53</v>
      </c>
      <c r="AV718">
        <v>28</v>
      </c>
      <c r="AW718">
        <v>7</v>
      </c>
      <c r="AX718">
        <v>8</v>
      </c>
      <c r="AY718">
        <v>26.1</v>
      </c>
      <c r="AZ718">
        <v>10</v>
      </c>
      <c r="BA718">
        <v>9954</v>
      </c>
      <c r="BB718">
        <v>76</v>
      </c>
      <c r="BC718">
        <v>73</v>
      </c>
      <c r="BD718">
        <v>75</v>
      </c>
      <c r="BE718">
        <v>4</v>
      </c>
      <c r="BF718" t="s">
        <v>46</v>
      </c>
      <c r="BG718">
        <v>-6</v>
      </c>
      <c r="BH718">
        <v>4</v>
      </c>
      <c r="BI718">
        <v>0.2</v>
      </c>
      <c r="BJ718" t="s">
        <v>85</v>
      </c>
      <c r="BK718">
        <v>0.25</v>
      </c>
      <c r="BL718">
        <v>0.54900000000000004</v>
      </c>
      <c r="BM718">
        <v>0.97</v>
      </c>
      <c r="BN718">
        <v>1.47</v>
      </c>
    </row>
    <row r="719" spans="1:66" x14ac:dyDescent="0.25">
      <c r="A719">
        <v>1</v>
      </c>
      <c r="B719">
        <v>1</v>
      </c>
      <c r="C719">
        <v>1</v>
      </c>
      <c r="D719">
        <v>1.9033333333333333</v>
      </c>
      <c r="E719">
        <v>3.2166666666666663</v>
      </c>
      <c r="F719">
        <v>4.2110000000000003</v>
      </c>
      <c r="G719" s="40">
        <v>0.39</v>
      </c>
      <c r="H719" s="40">
        <v>0.34</v>
      </c>
      <c r="I719" s="40">
        <v>0.26999999999999996</v>
      </c>
      <c r="J719">
        <v>1.84</v>
      </c>
      <c r="K719">
        <v>3.15</v>
      </c>
      <c r="L719">
        <v>4</v>
      </c>
      <c r="M719">
        <v>1.95</v>
      </c>
      <c r="N719">
        <v>3.2</v>
      </c>
      <c r="O719">
        <v>4.3330000000000002</v>
      </c>
      <c r="P719">
        <v>1.92</v>
      </c>
      <c r="Q719">
        <v>3.3</v>
      </c>
      <c r="R719">
        <v>4.3</v>
      </c>
      <c r="S719">
        <v>0.50901714094284489</v>
      </c>
      <c r="T719">
        <v>0.25683497422344642</v>
      </c>
      <c r="U719">
        <v>0.23414788483370863</v>
      </c>
      <c r="V719">
        <v>0.48557605599029241</v>
      </c>
      <c r="W719">
        <v>0.29589790911908437</v>
      </c>
      <c r="X719">
        <v>0.21852603489062317</v>
      </c>
      <c r="Y719">
        <v>0.49301646862622478</v>
      </c>
      <c r="Z719">
        <v>0.28684594538253078</v>
      </c>
      <c r="AA719">
        <v>0.22013758599124456</v>
      </c>
      <c r="AB719">
        <v>0.49586988851978742</v>
      </c>
      <c r="AC719">
        <v>0.27985960957502054</v>
      </c>
      <c r="AD719">
        <v>0.22427050190519213</v>
      </c>
      <c r="AE719" t="s">
        <v>115</v>
      </c>
      <c r="AF719" t="s">
        <v>108</v>
      </c>
      <c r="AG719">
        <v>71.75</v>
      </c>
      <c r="AH719">
        <v>32</v>
      </c>
      <c r="AI719">
        <v>2</v>
      </c>
      <c r="AJ719">
        <v>2</v>
      </c>
      <c r="AK719">
        <v>25.8</v>
      </c>
      <c r="AL719">
        <v>64</v>
      </c>
      <c r="AM719">
        <v>6079</v>
      </c>
      <c r="AN719">
        <v>72</v>
      </c>
      <c r="AO719">
        <v>72</v>
      </c>
      <c r="AP719">
        <v>74</v>
      </c>
      <c r="AQ719">
        <v>3.5</v>
      </c>
      <c r="AR719" t="s">
        <v>29</v>
      </c>
      <c r="AS719" t="s">
        <v>120</v>
      </c>
      <c r="AT719" t="s">
        <v>108</v>
      </c>
      <c r="AU719">
        <v>22.38</v>
      </c>
      <c r="AV719">
        <v>31</v>
      </c>
      <c r="AW719">
        <v>2</v>
      </c>
      <c r="AX719">
        <v>1</v>
      </c>
      <c r="AY719">
        <v>27.8</v>
      </c>
      <c r="AZ719">
        <v>106</v>
      </c>
      <c r="BA719">
        <v>4727</v>
      </c>
      <c r="BB719">
        <v>70</v>
      </c>
      <c r="BC719">
        <v>71</v>
      </c>
      <c r="BD719">
        <v>72</v>
      </c>
      <c r="BE719">
        <v>3.5</v>
      </c>
      <c r="BF719" t="s">
        <v>28</v>
      </c>
      <c r="BG719">
        <v>11</v>
      </c>
      <c r="BH719">
        <v>21</v>
      </c>
      <c r="BI719">
        <v>0.54500000000000004</v>
      </c>
      <c r="BJ719" t="s">
        <v>108</v>
      </c>
      <c r="BK719">
        <v>0.3448</v>
      </c>
      <c r="BL719">
        <v>0.4032</v>
      </c>
      <c r="BM719">
        <v>1.1599999999999999</v>
      </c>
      <c r="BN719">
        <v>1.26</v>
      </c>
    </row>
    <row r="720" spans="1:66" x14ac:dyDescent="0.25">
      <c r="A720">
        <v>1</v>
      </c>
      <c r="B720">
        <v>1</v>
      </c>
      <c r="C720">
        <v>1</v>
      </c>
      <c r="D720">
        <v>2.0533333333333332</v>
      </c>
      <c r="E720">
        <v>3.1833333333333336</v>
      </c>
      <c r="F720">
        <v>3.6</v>
      </c>
      <c r="G720" s="40">
        <v>0.52</v>
      </c>
      <c r="H720" s="40">
        <v>0.25</v>
      </c>
      <c r="I720" s="40">
        <v>0.22999999999999998</v>
      </c>
      <c r="J720">
        <v>1.98</v>
      </c>
      <c r="K720">
        <v>3.15</v>
      </c>
      <c r="L720">
        <v>3.45</v>
      </c>
      <c r="M720">
        <v>2.1</v>
      </c>
      <c r="N720">
        <v>3.2</v>
      </c>
      <c r="O720">
        <v>3.65</v>
      </c>
      <c r="P720">
        <v>2.08</v>
      </c>
      <c r="Q720">
        <v>3.2</v>
      </c>
      <c r="R720">
        <v>3.7</v>
      </c>
      <c r="S720">
        <v>0.46772343310042758</v>
      </c>
      <c r="T720">
        <v>0.26384398790280533</v>
      </c>
      <c r="U720">
        <v>0.26843257899676715</v>
      </c>
      <c r="V720">
        <v>0.44811049299827355</v>
      </c>
      <c r="W720">
        <v>0.294072511030117</v>
      </c>
      <c r="X720">
        <v>0.25781699597160945</v>
      </c>
      <c r="Y720">
        <v>0.45204642638973735</v>
      </c>
      <c r="Z720">
        <v>0.29383017715332926</v>
      </c>
      <c r="AA720">
        <v>0.25412339645693344</v>
      </c>
      <c r="AB720">
        <v>0.45596011749614612</v>
      </c>
      <c r="AC720">
        <v>0.28391555869541718</v>
      </c>
      <c r="AD720">
        <v>0.2601243238084367</v>
      </c>
      <c r="AE720" t="s">
        <v>112</v>
      </c>
      <c r="AF720" t="s">
        <v>108</v>
      </c>
      <c r="AG720">
        <v>59.75</v>
      </c>
      <c r="AH720">
        <v>28</v>
      </c>
      <c r="AI720">
        <v>8</v>
      </c>
      <c r="AJ720">
        <v>4</v>
      </c>
      <c r="AK720">
        <v>26</v>
      </c>
      <c r="AL720">
        <v>17</v>
      </c>
      <c r="AM720">
        <v>9035</v>
      </c>
      <c r="AN720">
        <v>71</v>
      </c>
      <c r="AO720">
        <v>75</v>
      </c>
      <c r="AP720">
        <v>75</v>
      </c>
      <c r="AQ720">
        <v>3.5</v>
      </c>
      <c r="AR720" t="s">
        <v>29</v>
      </c>
      <c r="AS720" t="s">
        <v>110</v>
      </c>
      <c r="AT720" t="s">
        <v>108</v>
      </c>
      <c r="AU720">
        <v>84.95</v>
      </c>
      <c r="AV720">
        <v>33</v>
      </c>
      <c r="AW720">
        <v>5</v>
      </c>
      <c r="AX720">
        <v>4</v>
      </c>
      <c r="AY720">
        <v>26.9</v>
      </c>
      <c r="AZ720">
        <v>9</v>
      </c>
      <c r="BA720">
        <v>10366</v>
      </c>
      <c r="BB720">
        <v>75</v>
      </c>
      <c r="BC720">
        <v>72</v>
      </c>
      <c r="BD720">
        <v>75</v>
      </c>
      <c r="BE720">
        <v>3.5</v>
      </c>
      <c r="BF720" t="s">
        <v>29</v>
      </c>
      <c r="BG720">
        <v>-6</v>
      </c>
      <c r="BH720">
        <v>53</v>
      </c>
      <c r="BI720">
        <v>0.27300000000000002</v>
      </c>
      <c r="BJ720" t="s">
        <v>108</v>
      </c>
      <c r="BK720">
        <v>0.52939999999999998</v>
      </c>
      <c r="BL720">
        <v>0.47299999999999998</v>
      </c>
      <c r="BM720">
        <v>1.5</v>
      </c>
      <c r="BN720">
        <v>1.36</v>
      </c>
    </row>
    <row r="721" spans="1:66" x14ac:dyDescent="0.25">
      <c r="A721">
        <v>3</v>
      </c>
      <c r="B721">
        <v>-2</v>
      </c>
      <c r="C721">
        <v>2</v>
      </c>
      <c r="D721">
        <v>3.6166666666666667</v>
      </c>
      <c r="E721">
        <v>3.3333333333333335</v>
      </c>
      <c r="F721">
        <v>1.9933333333333334</v>
      </c>
      <c r="G721" s="40">
        <v>0.3</v>
      </c>
      <c r="H721" s="40">
        <v>0.27</v>
      </c>
      <c r="I721" s="40">
        <v>0.42999999999999994</v>
      </c>
      <c r="J721">
        <v>3.4</v>
      </c>
      <c r="K721">
        <v>3.3</v>
      </c>
      <c r="L721">
        <v>1.94</v>
      </c>
      <c r="M721">
        <v>3.8</v>
      </c>
      <c r="N721">
        <v>3.3</v>
      </c>
      <c r="O721">
        <v>2</v>
      </c>
      <c r="P721">
        <v>3.65</v>
      </c>
      <c r="Q721">
        <v>3.4</v>
      </c>
      <c r="R721">
        <v>2.04</v>
      </c>
      <c r="S721">
        <v>0.27199853698680243</v>
      </c>
      <c r="T721">
        <v>0.25130299612911094</v>
      </c>
      <c r="U721">
        <v>0.47669846688408668</v>
      </c>
      <c r="V721">
        <v>0.24682124158563948</v>
      </c>
      <c r="W721">
        <v>0.28421839940164545</v>
      </c>
      <c r="X721">
        <v>0.46896035901271493</v>
      </c>
      <c r="Y721">
        <v>0.25888324873096447</v>
      </c>
      <c r="Z721">
        <v>0.2779187817258883</v>
      </c>
      <c r="AA721">
        <v>0.46319796954314718</v>
      </c>
      <c r="AB721">
        <v>0.2592343424344688</v>
      </c>
      <c r="AC721">
        <v>0.27114672575221488</v>
      </c>
      <c r="AD721">
        <v>0.46961893181331621</v>
      </c>
      <c r="AE721" t="s">
        <v>114</v>
      </c>
      <c r="AF721" t="s">
        <v>108</v>
      </c>
      <c r="AG721">
        <v>59.75</v>
      </c>
      <c r="AH721">
        <v>40</v>
      </c>
      <c r="AI721">
        <v>3</v>
      </c>
      <c r="AJ721">
        <v>0</v>
      </c>
      <c r="AK721">
        <v>24.7</v>
      </c>
      <c r="AL721">
        <v>40</v>
      </c>
      <c r="AM721">
        <v>7098</v>
      </c>
      <c r="AN721">
        <v>74</v>
      </c>
      <c r="AO721">
        <v>72</v>
      </c>
      <c r="AP721">
        <v>73</v>
      </c>
      <c r="AQ721">
        <v>3.5</v>
      </c>
      <c r="AR721" t="s">
        <v>29</v>
      </c>
      <c r="AS721" t="s">
        <v>109</v>
      </c>
      <c r="AT721" t="s">
        <v>108</v>
      </c>
      <c r="AU721">
        <v>143.19999999999999</v>
      </c>
      <c r="AV721">
        <v>31</v>
      </c>
      <c r="AW721">
        <v>3</v>
      </c>
      <c r="AX721">
        <v>4</v>
      </c>
      <c r="AY721">
        <v>27</v>
      </c>
      <c r="AZ721">
        <v>5</v>
      </c>
      <c r="BA721">
        <v>11026</v>
      </c>
      <c r="BB721">
        <v>74</v>
      </c>
      <c r="BC721">
        <v>76</v>
      </c>
      <c r="BD721">
        <v>74</v>
      </c>
      <c r="BE721">
        <v>3.5</v>
      </c>
      <c r="BF721" t="s">
        <v>29</v>
      </c>
      <c r="BG721">
        <v>-2</v>
      </c>
      <c r="BH721">
        <v>54</v>
      </c>
      <c r="BI721">
        <v>0.39500000000000002</v>
      </c>
      <c r="BJ721" t="s">
        <v>108</v>
      </c>
      <c r="BK721">
        <v>0.39389999999999997</v>
      </c>
      <c r="BL721">
        <v>0.50649999999999995</v>
      </c>
      <c r="BM721">
        <v>1.3</v>
      </c>
      <c r="BN721">
        <v>1.65</v>
      </c>
    </row>
    <row r="722" spans="1:66" x14ac:dyDescent="0.25">
      <c r="A722">
        <v>1</v>
      </c>
      <c r="B722">
        <v>1</v>
      </c>
      <c r="C722">
        <v>1</v>
      </c>
      <c r="D722">
        <v>3.1</v>
      </c>
      <c r="E722">
        <v>3.0166666666666671</v>
      </c>
      <c r="F722">
        <v>2.3933333333333335</v>
      </c>
      <c r="G722" s="40">
        <v>0.3</v>
      </c>
      <c r="H722" s="40">
        <v>0.42</v>
      </c>
      <c r="I722" s="40">
        <v>0.27999999999999997</v>
      </c>
      <c r="J722">
        <v>2.95</v>
      </c>
      <c r="K722">
        <v>3</v>
      </c>
      <c r="L722">
        <v>2.2999999999999998</v>
      </c>
      <c r="M722">
        <v>3.2</v>
      </c>
      <c r="N722">
        <v>3</v>
      </c>
      <c r="O722">
        <v>2.4500000000000002</v>
      </c>
      <c r="P722">
        <v>3.15</v>
      </c>
      <c r="Q722">
        <v>3.05</v>
      </c>
      <c r="R722">
        <v>2.4300000000000002</v>
      </c>
      <c r="S722">
        <v>0.31345004717475622</v>
      </c>
      <c r="T722">
        <v>0.28451619666631717</v>
      </c>
      <c r="U722">
        <v>0.4020337561589265</v>
      </c>
      <c r="V722">
        <v>0.29649052037111739</v>
      </c>
      <c r="W722">
        <v>0.3162565550625252</v>
      </c>
      <c r="X722">
        <v>0.3872529245663574</v>
      </c>
      <c r="Y722">
        <v>0.30038300200620099</v>
      </c>
      <c r="Z722">
        <v>0.31023162502279777</v>
      </c>
      <c r="AA722">
        <v>0.38938537297100129</v>
      </c>
      <c r="AB722">
        <v>0.30344118985069152</v>
      </c>
      <c r="AC722">
        <v>0.30366812558388007</v>
      </c>
      <c r="AD722">
        <v>0.39289068456542836</v>
      </c>
      <c r="AE722" t="s">
        <v>117</v>
      </c>
      <c r="AF722" t="s">
        <v>108</v>
      </c>
      <c r="AG722">
        <v>24.33</v>
      </c>
      <c r="AH722">
        <v>30</v>
      </c>
      <c r="AI722">
        <v>6</v>
      </c>
      <c r="AJ722">
        <v>0</v>
      </c>
      <c r="AK722">
        <v>27.8</v>
      </c>
      <c r="AL722">
        <v>84</v>
      </c>
      <c r="AM722">
        <v>5249</v>
      </c>
      <c r="AN722">
        <v>69</v>
      </c>
      <c r="AO722">
        <v>71</v>
      </c>
      <c r="AP722">
        <v>71</v>
      </c>
      <c r="AQ722">
        <v>3.5</v>
      </c>
      <c r="AR722" t="s">
        <v>28</v>
      </c>
      <c r="AS722" t="s">
        <v>116</v>
      </c>
      <c r="AT722" t="s">
        <v>108</v>
      </c>
      <c r="AU722">
        <v>83.05</v>
      </c>
      <c r="AV722">
        <v>34</v>
      </c>
      <c r="AW722">
        <v>9</v>
      </c>
      <c r="AX722">
        <v>5</v>
      </c>
      <c r="AY722">
        <v>26.4</v>
      </c>
      <c r="AZ722">
        <v>75</v>
      </c>
      <c r="BA722">
        <v>5476</v>
      </c>
      <c r="BB722">
        <v>78</v>
      </c>
      <c r="BC722">
        <v>75</v>
      </c>
      <c r="BD722">
        <v>76</v>
      </c>
      <c r="BE722">
        <v>4</v>
      </c>
      <c r="BF722" t="s">
        <v>29</v>
      </c>
      <c r="BG722">
        <v>-12</v>
      </c>
      <c r="BH722">
        <v>21</v>
      </c>
      <c r="BI722">
        <v>0.217</v>
      </c>
      <c r="BJ722" t="s">
        <v>108</v>
      </c>
      <c r="BK722">
        <v>0.40279999999999999</v>
      </c>
      <c r="BL722">
        <v>0.44619999999999999</v>
      </c>
      <c r="BM722">
        <v>1.33</v>
      </c>
      <c r="BN722">
        <v>1.69</v>
      </c>
    </row>
    <row r="723" spans="1:66" x14ac:dyDescent="0.25">
      <c r="A723">
        <v>1</v>
      </c>
      <c r="B723">
        <v>3</v>
      </c>
      <c r="C723">
        <v>3</v>
      </c>
      <c r="D723">
        <v>1.68</v>
      </c>
      <c r="E723">
        <v>3.65</v>
      </c>
      <c r="F723">
        <v>5.2666666666666666</v>
      </c>
      <c r="G723" s="40">
        <v>0.35</v>
      </c>
      <c r="H723" s="40">
        <v>0.37</v>
      </c>
      <c r="I723" s="40">
        <v>0.28000000000000003</v>
      </c>
      <c r="J723">
        <v>1.64</v>
      </c>
      <c r="K723">
        <v>3.75</v>
      </c>
      <c r="L723">
        <v>5.4</v>
      </c>
      <c r="M723">
        <v>1.7</v>
      </c>
      <c r="N723">
        <v>3.6</v>
      </c>
      <c r="O723">
        <v>5.25</v>
      </c>
      <c r="P723">
        <v>1.7</v>
      </c>
      <c r="Q723">
        <v>3.6</v>
      </c>
      <c r="R723">
        <v>5.15</v>
      </c>
      <c r="S723">
        <v>0.60898350727839068</v>
      </c>
      <c r="T723">
        <v>0.20606594606669068</v>
      </c>
      <c r="U723">
        <v>0.18495054665491864</v>
      </c>
      <c r="V723">
        <v>0.55678303137428187</v>
      </c>
      <c r="W723">
        <v>0.26292532037118871</v>
      </c>
      <c r="X723">
        <v>0.18029164825452937</v>
      </c>
      <c r="Y723">
        <v>0.55484064043094428</v>
      </c>
      <c r="Z723">
        <v>0.26200808020350147</v>
      </c>
      <c r="AA723">
        <v>0.18315127936555439</v>
      </c>
      <c r="AB723">
        <v>0.57353572636120564</v>
      </c>
      <c r="AC723">
        <v>0.2436664488804603</v>
      </c>
      <c r="AD723">
        <v>0.18279782475833414</v>
      </c>
      <c r="AE723" t="s">
        <v>68</v>
      </c>
      <c r="AF723" t="s">
        <v>63</v>
      </c>
      <c r="AG723">
        <v>16.600000000000001</v>
      </c>
      <c r="AH723">
        <v>36</v>
      </c>
      <c r="AI723">
        <v>2</v>
      </c>
      <c r="AJ723">
        <v>1</v>
      </c>
      <c r="AK723">
        <v>25.1</v>
      </c>
      <c r="AL723">
        <v>129</v>
      </c>
      <c r="AM723">
        <v>4227</v>
      </c>
      <c r="AN723">
        <v>62</v>
      </c>
      <c r="AO723">
        <v>66</v>
      </c>
      <c r="AP723">
        <v>64</v>
      </c>
      <c r="AQ723">
        <v>2</v>
      </c>
      <c r="AR723" t="s">
        <v>46</v>
      </c>
      <c r="AS723" t="s">
        <v>69</v>
      </c>
      <c r="AT723" t="s">
        <v>63</v>
      </c>
      <c r="AU723">
        <v>8.83</v>
      </c>
      <c r="AV723">
        <v>30</v>
      </c>
      <c r="AW723">
        <v>1</v>
      </c>
      <c r="AX723">
        <v>0</v>
      </c>
      <c r="AY723">
        <v>27</v>
      </c>
      <c r="AZ723">
        <v>181</v>
      </c>
      <c r="BA723">
        <v>3617</v>
      </c>
      <c r="BB723">
        <v>63</v>
      </c>
      <c r="BC723">
        <v>64</v>
      </c>
      <c r="BD723">
        <v>64</v>
      </c>
      <c r="BE723">
        <v>1.5</v>
      </c>
      <c r="BF723" t="s">
        <v>29</v>
      </c>
      <c r="BG723">
        <v>1</v>
      </c>
      <c r="BH723">
        <v>23</v>
      </c>
      <c r="BI723">
        <v>0.4</v>
      </c>
      <c r="BJ723" t="s">
        <v>63</v>
      </c>
      <c r="BK723">
        <v>0.38890000000000002</v>
      </c>
      <c r="BL723">
        <v>0.37040000000000001</v>
      </c>
      <c r="BM723">
        <v>1.39</v>
      </c>
      <c r="BN723">
        <v>1.1499999999999999</v>
      </c>
    </row>
    <row r="724" spans="1:66" x14ac:dyDescent="0.25">
      <c r="A724">
        <v>2</v>
      </c>
      <c r="B724">
        <v>0</v>
      </c>
      <c r="C724">
        <v>2</v>
      </c>
      <c r="D724">
        <v>2.0166666666666666</v>
      </c>
      <c r="E724">
        <v>3.2833333333333332</v>
      </c>
      <c r="F724">
        <v>3.8833333333333333</v>
      </c>
      <c r="G724" s="40">
        <v>0.25</v>
      </c>
      <c r="H724" s="40">
        <v>0.4</v>
      </c>
      <c r="I724" s="40">
        <v>0.35</v>
      </c>
      <c r="J724">
        <v>1.97</v>
      </c>
      <c r="K724">
        <v>3.3</v>
      </c>
      <c r="L724">
        <v>4.0999999999999996</v>
      </c>
      <c r="M724">
        <v>2.0499999999999998</v>
      </c>
      <c r="N724">
        <v>3.35</v>
      </c>
      <c r="O724">
        <v>3.65</v>
      </c>
      <c r="P724">
        <v>2.0299999999999998</v>
      </c>
      <c r="Q724">
        <v>3.2</v>
      </c>
      <c r="R724">
        <v>3.9</v>
      </c>
      <c r="S724">
        <v>0.50438516267066913</v>
      </c>
      <c r="T724">
        <v>0.25326391770464357</v>
      </c>
      <c r="U724">
        <v>0.24235091962468738</v>
      </c>
      <c r="V724">
        <v>0.46006960775091715</v>
      </c>
      <c r="W724">
        <v>0.28153513310130751</v>
      </c>
      <c r="X724">
        <v>0.25839525914777539</v>
      </c>
      <c r="Y724">
        <v>0.4640612798869595</v>
      </c>
      <c r="Z724">
        <v>0.29438887442828987</v>
      </c>
      <c r="AA724">
        <v>0.24154984568475066</v>
      </c>
      <c r="AB724">
        <v>0.47617201676951532</v>
      </c>
      <c r="AC724">
        <v>0.27639597507808028</v>
      </c>
      <c r="AD724">
        <v>0.24743200815240449</v>
      </c>
      <c r="AE724" t="s">
        <v>75</v>
      </c>
      <c r="AF724" t="s">
        <v>63</v>
      </c>
      <c r="AG724">
        <v>9.3000000000000007</v>
      </c>
      <c r="AH724">
        <v>29</v>
      </c>
      <c r="AI724">
        <v>4</v>
      </c>
      <c r="AJ724">
        <v>0</v>
      </c>
      <c r="AK724">
        <v>25.6</v>
      </c>
      <c r="AL724">
        <v>317</v>
      </c>
      <c r="AM724">
        <v>2374</v>
      </c>
      <c r="AN724">
        <v>69</v>
      </c>
      <c r="AO724">
        <v>66</v>
      </c>
      <c r="AP724">
        <v>64</v>
      </c>
      <c r="AQ724">
        <v>2.5</v>
      </c>
      <c r="AR724" t="s">
        <v>46</v>
      </c>
      <c r="AS724" t="s">
        <v>77</v>
      </c>
      <c r="AT724" t="s">
        <v>63</v>
      </c>
      <c r="AU724">
        <v>8.4</v>
      </c>
      <c r="AV724">
        <v>32</v>
      </c>
      <c r="AW724">
        <v>3</v>
      </c>
      <c r="AX724">
        <v>0</v>
      </c>
      <c r="AY724">
        <v>23.6</v>
      </c>
      <c r="AZ724">
        <v>362</v>
      </c>
      <c r="BA724">
        <v>2071</v>
      </c>
      <c r="BB724">
        <v>65</v>
      </c>
      <c r="BC724">
        <v>66</v>
      </c>
      <c r="BD724">
        <v>61</v>
      </c>
      <c r="BE724">
        <v>2</v>
      </c>
      <c r="BF724" t="s">
        <v>46</v>
      </c>
      <c r="BG724">
        <v>-16</v>
      </c>
      <c r="BH724">
        <v>35</v>
      </c>
      <c r="BI724">
        <v>0.16700000000000001</v>
      </c>
      <c r="BJ724" t="s">
        <v>63</v>
      </c>
      <c r="BK724">
        <v>0.43480000000000002</v>
      </c>
      <c r="BL724">
        <v>0.26090000000000002</v>
      </c>
      <c r="BM724">
        <v>1.43</v>
      </c>
      <c r="BN724">
        <v>1.22</v>
      </c>
    </row>
    <row r="725" spans="1:66" x14ac:dyDescent="0.25">
      <c r="A725">
        <v>2</v>
      </c>
      <c r="B725">
        <v>0</v>
      </c>
      <c r="C725">
        <v>0</v>
      </c>
      <c r="D725">
        <v>2.9750000000000001</v>
      </c>
      <c r="E725">
        <v>3.15</v>
      </c>
      <c r="F725">
        <v>2.4666666666666668</v>
      </c>
      <c r="G725" s="40">
        <v>0.22</v>
      </c>
      <c r="H725" s="40">
        <v>0.41</v>
      </c>
      <c r="I725" s="40">
        <v>0.37000000000000005</v>
      </c>
      <c r="J725">
        <v>3.1</v>
      </c>
      <c r="K725">
        <v>3.15</v>
      </c>
      <c r="L725">
        <v>2.4</v>
      </c>
      <c r="M725">
        <v>2.875</v>
      </c>
      <c r="N725">
        <v>3.2</v>
      </c>
      <c r="O725">
        <v>2.5</v>
      </c>
      <c r="P725">
        <v>2.95</v>
      </c>
      <c r="Q725">
        <v>3.1</v>
      </c>
      <c r="R725">
        <v>2.5</v>
      </c>
      <c r="S725">
        <v>0.31555445298933271</v>
      </c>
      <c r="T725">
        <v>0.27685437856611261</v>
      </c>
      <c r="U725">
        <v>0.40759116844455473</v>
      </c>
      <c r="V725">
        <v>0.32803690415171705</v>
      </c>
      <c r="W725">
        <v>0.29472065607380826</v>
      </c>
      <c r="X725">
        <v>0.37724243977447464</v>
      </c>
      <c r="Y725">
        <v>0.31932426864441699</v>
      </c>
      <c r="Z725">
        <v>0.30387309435517101</v>
      </c>
      <c r="AA725">
        <v>0.37680263700041206</v>
      </c>
      <c r="AB725">
        <v>0.32097187526182225</v>
      </c>
      <c r="AC725">
        <v>0.291816042998364</v>
      </c>
      <c r="AD725">
        <v>0.38721208173981386</v>
      </c>
      <c r="AE725" t="s">
        <v>65</v>
      </c>
      <c r="AF725" t="s">
        <v>63</v>
      </c>
      <c r="AG725">
        <v>14.58</v>
      </c>
      <c r="AH725">
        <v>35</v>
      </c>
      <c r="AI725">
        <v>3</v>
      </c>
      <c r="AJ725">
        <v>1</v>
      </c>
      <c r="AK725">
        <v>25.9</v>
      </c>
      <c r="AL725">
        <v>91</v>
      </c>
      <c r="AM725">
        <v>5087</v>
      </c>
      <c r="AN725">
        <v>68</v>
      </c>
      <c r="AO725">
        <v>61</v>
      </c>
      <c r="AP725">
        <v>64</v>
      </c>
      <c r="AQ725">
        <v>1.5</v>
      </c>
      <c r="AR725" t="s">
        <v>29</v>
      </c>
      <c r="AS725" t="s">
        <v>67</v>
      </c>
      <c r="AT725" t="s">
        <v>63</v>
      </c>
      <c r="AU725">
        <v>21.85</v>
      </c>
      <c r="AV725">
        <v>29</v>
      </c>
      <c r="AW725">
        <v>2</v>
      </c>
      <c r="AX725">
        <v>4</v>
      </c>
      <c r="AY725">
        <v>25.7</v>
      </c>
      <c r="AZ725">
        <v>104</v>
      </c>
      <c r="BA725">
        <v>4793</v>
      </c>
      <c r="BB725">
        <v>67</v>
      </c>
      <c r="BC725">
        <v>70</v>
      </c>
      <c r="BD725">
        <v>67</v>
      </c>
      <c r="BE725">
        <v>2.5</v>
      </c>
      <c r="BF725" t="s">
        <v>29</v>
      </c>
      <c r="BG725">
        <v>-21</v>
      </c>
      <c r="BH725">
        <v>54</v>
      </c>
      <c r="BI725">
        <v>0.27100000000000002</v>
      </c>
      <c r="BJ725" t="s">
        <v>63</v>
      </c>
      <c r="BK725">
        <v>0.35289999999999999</v>
      </c>
      <c r="BL725">
        <v>0.42859999999999998</v>
      </c>
      <c r="BM725">
        <v>1.24</v>
      </c>
      <c r="BN725">
        <v>1.75</v>
      </c>
    </row>
    <row r="726" spans="1:66" x14ac:dyDescent="0.25">
      <c r="A726">
        <v>2</v>
      </c>
      <c r="B726">
        <v>0</v>
      </c>
      <c r="C726">
        <v>2</v>
      </c>
      <c r="D726">
        <v>1.4433333333333334</v>
      </c>
      <c r="E726">
        <v>4.3776666666666673</v>
      </c>
      <c r="F726">
        <v>7.2</v>
      </c>
      <c r="G726" s="40">
        <v>0.43</v>
      </c>
      <c r="H726" s="40">
        <v>0.3</v>
      </c>
      <c r="I726" s="40">
        <v>0.27000000000000007</v>
      </c>
      <c r="J726">
        <v>1.42</v>
      </c>
      <c r="K726">
        <v>4.5</v>
      </c>
      <c r="L726">
        <v>7.5</v>
      </c>
      <c r="M726">
        <v>1.45</v>
      </c>
      <c r="N726">
        <v>4.3330000000000002</v>
      </c>
      <c r="O726">
        <v>7</v>
      </c>
      <c r="P726">
        <v>1.46</v>
      </c>
      <c r="Q726">
        <v>4.3</v>
      </c>
      <c r="R726">
        <v>7.1</v>
      </c>
      <c r="S726">
        <v>0.7098769644072126</v>
      </c>
      <c r="T726">
        <v>0.15571966366502188</v>
      </c>
      <c r="U726">
        <v>0.13440337192776555</v>
      </c>
      <c r="V726">
        <v>0.6485992919744632</v>
      </c>
      <c r="W726">
        <v>0.21704799754511228</v>
      </c>
      <c r="X726">
        <v>0.13435271048042452</v>
      </c>
      <c r="Y726">
        <v>0.64717853054648744</v>
      </c>
      <c r="Z726">
        <v>0.21973968711578412</v>
      </c>
      <c r="AA726">
        <v>0.13308178233772841</v>
      </c>
      <c r="AB726">
        <v>0.66855159564272115</v>
      </c>
      <c r="AC726">
        <v>0.19750244944197273</v>
      </c>
      <c r="AD726">
        <v>0.13394595491530614</v>
      </c>
      <c r="AE726" t="s">
        <v>70</v>
      </c>
      <c r="AF726" t="s">
        <v>63</v>
      </c>
      <c r="AG726">
        <v>16.38</v>
      </c>
      <c r="AH726">
        <v>28</v>
      </c>
      <c r="AI726">
        <v>1</v>
      </c>
      <c r="AJ726">
        <v>3</v>
      </c>
      <c r="AK726">
        <v>25.3</v>
      </c>
      <c r="AL726">
        <v>200</v>
      </c>
      <c r="AM726">
        <v>3276</v>
      </c>
      <c r="AN726">
        <v>69</v>
      </c>
      <c r="AO726">
        <v>63</v>
      </c>
      <c r="AP726">
        <v>65</v>
      </c>
      <c r="AQ726">
        <v>2</v>
      </c>
      <c r="AR726" t="s">
        <v>29</v>
      </c>
      <c r="AS726" t="s">
        <v>74</v>
      </c>
      <c r="AT726" t="s">
        <v>63</v>
      </c>
      <c r="AU726">
        <v>9.73</v>
      </c>
      <c r="AV726">
        <v>33</v>
      </c>
      <c r="AW726">
        <v>1</v>
      </c>
      <c r="AX726">
        <v>0</v>
      </c>
      <c r="AY726">
        <v>26.2</v>
      </c>
      <c r="AZ726">
        <v>254</v>
      </c>
      <c r="BA726">
        <v>2813</v>
      </c>
      <c r="BB726">
        <v>67</v>
      </c>
      <c r="BC726">
        <v>64</v>
      </c>
      <c r="BD726">
        <v>65</v>
      </c>
      <c r="BE726">
        <v>2</v>
      </c>
      <c r="BF726" t="s">
        <v>46</v>
      </c>
      <c r="BG726">
        <v>12</v>
      </c>
      <c r="BH726">
        <v>32</v>
      </c>
      <c r="BI726">
        <v>0.55600000000000005</v>
      </c>
      <c r="BJ726" t="s">
        <v>63</v>
      </c>
      <c r="BK726">
        <v>0.36</v>
      </c>
      <c r="BL726">
        <v>0.25</v>
      </c>
      <c r="BM726">
        <v>1.44</v>
      </c>
      <c r="BN726">
        <v>1.17</v>
      </c>
    </row>
    <row r="727" spans="1:66" x14ac:dyDescent="0.25">
      <c r="A727">
        <v>2</v>
      </c>
      <c r="B727">
        <v>0</v>
      </c>
      <c r="C727">
        <v>2</v>
      </c>
      <c r="D727">
        <v>2.7833333333333337</v>
      </c>
      <c r="E727">
        <v>2.8566666666666669</v>
      </c>
      <c r="F727">
        <v>2.8599999999999994</v>
      </c>
      <c r="G727" s="40">
        <v>0.27</v>
      </c>
      <c r="H727" s="40">
        <v>0.42</v>
      </c>
      <c r="I727" s="40">
        <v>0.31</v>
      </c>
      <c r="J727">
        <v>2.85</v>
      </c>
      <c r="K727">
        <v>2.75</v>
      </c>
      <c r="L727">
        <v>2.9</v>
      </c>
      <c r="M727">
        <v>2.7</v>
      </c>
      <c r="N727">
        <v>3</v>
      </c>
      <c r="O727">
        <v>2.8</v>
      </c>
      <c r="P727">
        <v>2.8</v>
      </c>
      <c r="Q727">
        <v>2.82</v>
      </c>
      <c r="R727">
        <v>2.88</v>
      </c>
      <c r="S727">
        <v>0.34398743307793417</v>
      </c>
      <c r="T727">
        <v>0.31795595165582019</v>
      </c>
      <c r="U727">
        <v>0.3380566152662457</v>
      </c>
      <c r="V727">
        <v>0.34912718204488774</v>
      </c>
      <c r="W727">
        <v>0.31421446384039903</v>
      </c>
      <c r="X727">
        <v>0.33665835411471323</v>
      </c>
      <c r="Y727">
        <v>0.3372533386485948</v>
      </c>
      <c r="Z727">
        <v>0.33486147099860475</v>
      </c>
      <c r="AA727">
        <v>0.32788519035280045</v>
      </c>
      <c r="AB727">
        <v>0.34345598459047227</v>
      </c>
      <c r="AC727">
        <v>0.32234396216494132</v>
      </c>
      <c r="AD727">
        <v>0.3342000532445864</v>
      </c>
      <c r="AE727" t="s">
        <v>76</v>
      </c>
      <c r="AF727" t="s">
        <v>63</v>
      </c>
      <c r="AG727">
        <v>10.15</v>
      </c>
      <c r="AH727">
        <v>30</v>
      </c>
      <c r="AI727">
        <v>3</v>
      </c>
      <c r="AJ727">
        <v>0</v>
      </c>
      <c r="AK727">
        <v>27.4</v>
      </c>
      <c r="AL727">
        <v>349</v>
      </c>
      <c r="AM727">
        <v>2119</v>
      </c>
      <c r="AN727">
        <v>59</v>
      </c>
      <c r="AO727">
        <v>64</v>
      </c>
      <c r="AP727">
        <v>65</v>
      </c>
      <c r="AQ727">
        <v>2</v>
      </c>
      <c r="AR727" t="s">
        <v>29</v>
      </c>
      <c r="AS727" t="s">
        <v>62</v>
      </c>
      <c r="AT727" t="s">
        <v>63</v>
      </c>
      <c r="AU727">
        <v>18.350000000000001</v>
      </c>
      <c r="AV727">
        <v>29</v>
      </c>
      <c r="AW727">
        <v>3</v>
      </c>
      <c r="AX727">
        <v>1</v>
      </c>
      <c r="AY727">
        <v>27.4</v>
      </c>
      <c r="AZ727">
        <v>66</v>
      </c>
      <c r="BA727">
        <v>5865</v>
      </c>
      <c r="BB727">
        <v>67</v>
      </c>
      <c r="BC727">
        <v>68</v>
      </c>
      <c r="BD727">
        <v>66</v>
      </c>
      <c r="BE727">
        <v>2.5</v>
      </c>
      <c r="BF727" t="s">
        <v>29</v>
      </c>
      <c r="BG727">
        <v>-3</v>
      </c>
      <c r="BH727">
        <v>16</v>
      </c>
      <c r="BI727">
        <v>0.33300000000000002</v>
      </c>
      <c r="BJ727" t="s">
        <v>63</v>
      </c>
      <c r="BK727">
        <v>0.2727</v>
      </c>
      <c r="BL727">
        <v>0.4375</v>
      </c>
      <c r="BM727">
        <v>0.82</v>
      </c>
      <c r="BN727">
        <v>1.25</v>
      </c>
    </row>
    <row r="728" spans="1:66" x14ac:dyDescent="0.25">
      <c r="A728">
        <v>1</v>
      </c>
      <c r="B728">
        <v>1</v>
      </c>
      <c r="C728">
        <v>3</v>
      </c>
      <c r="D728">
        <v>4.4833333333333334</v>
      </c>
      <c r="E728">
        <v>3.6166666666666671</v>
      </c>
      <c r="F728">
        <v>1.7866666666666668</v>
      </c>
      <c r="G728" s="40">
        <v>0.23</v>
      </c>
      <c r="H728" s="40">
        <v>0.37</v>
      </c>
      <c r="I728" s="40">
        <v>0.4</v>
      </c>
      <c r="J728">
        <v>4.5</v>
      </c>
      <c r="K728">
        <v>3.7</v>
      </c>
      <c r="L728">
        <v>1.76</v>
      </c>
      <c r="M728">
        <v>4.5</v>
      </c>
      <c r="N728">
        <v>3.55</v>
      </c>
      <c r="O728">
        <v>1.8</v>
      </c>
      <c r="P728">
        <v>4.45</v>
      </c>
      <c r="Q728">
        <v>3.6</v>
      </c>
      <c r="R728">
        <v>1.8</v>
      </c>
      <c r="S728">
        <v>0.21966467118778854</v>
      </c>
      <c r="T728">
        <v>0.21869270361616119</v>
      </c>
      <c r="U728">
        <v>0.56164262519605024</v>
      </c>
      <c r="V728">
        <v>0.20974889217134413</v>
      </c>
      <c r="W728">
        <v>0.26587887740029542</v>
      </c>
      <c r="X728">
        <v>0.52437223042836034</v>
      </c>
      <c r="Y728">
        <v>0.21238938053097345</v>
      </c>
      <c r="Z728">
        <v>0.26253687315634222</v>
      </c>
      <c r="AA728">
        <v>0.52507374631268444</v>
      </c>
      <c r="AB728">
        <v>0.21393431463003534</v>
      </c>
      <c r="AC728">
        <v>0.24903615139093294</v>
      </c>
      <c r="AD728">
        <v>0.53702953397903175</v>
      </c>
      <c r="AE728" t="s">
        <v>73</v>
      </c>
      <c r="AF728" t="s">
        <v>63</v>
      </c>
      <c r="AG728">
        <v>11.68</v>
      </c>
      <c r="AH728">
        <v>34</v>
      </c>
      <c r="AI728">
        <v>4</v>
      </c>
      <c r="AJ728">
        <v>1</v>
      </c>
      <c r="AK728">
        <v>25.7</v>
      </c>
      <c r="AL728">
        <v>237</v>
      </c>
      <c r="AM728">
        <v>2952</v>
      </c>
      <c r="AN728">
        <v>69</v>
      </c>
      <c r="AO728">
        <v>68</v>
      </c>
      <c r="AP728">
        <v>68</v>
      </c>
      <c r="AQ728">
        <v>2.5</v>
      </c>
      <c r="AR728" t="s">
        <v>29</v>
      </c>
      <c r="AS728" t="s">
        <v>72</v>
      </c>
      <c r="AT728" t="s">
        <v>63</v>
      </c>
      <c r="AU728">
        <v>14.85</v>
      </c>
      <c r="AV728">
        <v>33</v>
      </c>
      <c r="AW728">
        <v>3</v>
      </c>
      <c r="AX728">
        <v>2</v>
      </c>
      <c r="AY728">
        <v>25.9</v>
      </c>
      <c r="AZ728">
        <v>209</v>
      </c>
      <c r="BA728">
        <v>3175</v>
      </c>
      <c r="BB728">
        <v>65</v>
      </c>
      <c r="BC728">
        <v>64</v>
      </c>
      <c r="BD728">
        <v>63</v>
      </c>
      <c r="BE728">
        <v>1.5</v>
      </c>
      <c r="BF728" t="s">
        <v>46</v>
      </c>
      <c r="BG728">
        <v>-7</v>
      </c>
      <c r="BH728">
        <v>34</v>
      </c>
      <c r="BI728">
        <v>0.26700000000000002</v>
      </c>
      <c r="BJ728" t="s">
        <v>63</v>
      </c>
      <c r="BK728">
        <v>0.31819999999999998</v>
      </c>
      <c r="BL728">
        <v>0.51719999999999999</v>
      </c>
      <c r="BM728">
        <v>1.23</v>
      </c>
      <c r="BN728">
        <v>1.55</v>
      </c>
    </row>
    <row r="729" spans="1:66" x14ac:dyDescent="0.25">
      <c r="A729">
        <v>1</v>
      </c>
      <c r="B729">
        <v>3</v>
      </c>
      <c r="C729">
        <v>3</v>
      </c>
      <c r="D729">
        <v>1.4166666666666667</v>
      </c>
      <c r="E729">
        <v>4.5166666666666666</v>
      </c>
      <c r="F729">
        <v>6.6000000000000005</v>
      </c>
      <c r="G729" s="40">
        <v>0.5</v>
      </c>
      <c r="H729" s="40">
        <v>0.3</v>
      </c>
      <c r="I729" s="40">
        <v>0.2</v>
      </c>
      <c r="J729">
        <v>1.4</v>
      </c>
      <c r="K729">
        <v>4.4000000000000004</v>
      </c>
      <c r="L729">
        <v>6</v>
      </c>
      <c r="M729">
        <v>1.42</v>
      </c>
      <c r="N729">
        <v>4.5</v>
      </c>
      <c r="O729">
        <v>7</v>
      </c>
      <c r="P729">
        <v>1.43</v>
      </c>
      <c r="Q729">
        <v>4.6500000000000004</v>
      </c>
      <c r="R729">
        <v>6.8</v>
      </c>
      <c r="S729">
        <v>0.67873303167420818</v>
      </c>
      <c r="T729">
        <v>0.16289592760180993</v>
      </c>
      <c r="U729">
        <v>0.15837104072398189</v>
      </c>
      <c r="V729">
        <v>0.65858247961530425</v>
      </c>
      <c r="W729">
        <v>0.20781936023416264</v>
      </c>
      <c r="X729">
        <v>0.13359816015053314</v>
      </c>
      <c r="Y729">
        <v>0.65883921781074517</v>
      </c>
      <c r="Z729">
        <v>0.20261077020846571</v>
      </c>
      <c r="AA729">
        <v>0.13855001198078906</v>
      </c>
      <c r="AB729">
        <v>0.66538490970008579</v>
      </c>
      <c r="AC729">
        <v>0.19110868601481276</v>
      </c>
      <c r="AD729">
        <v>0.14350640428510136</v>
      </c>
      <c r="AE729" t="s">
        <v>107</v>
      </c>
      <c r="AF729" t="s">
        <v>108</v>
      </c>
      <c r="AG729">
        <v>148.6</v>
      </c>
      <c r="AH729">
        <v>32</v>
      </c>
      <c r="AI729">
        <v>2</v>
      </c>
      <c r="AJ729">
        <v>7</v>
      </c>
      <c r="AK729">
        <v>27.2</v>
      </c>
      <c r="AL729">
        <v>2</v>
      </c>
      <c r="AM729">
        <v>13486</v>
      </c>
      <c r="AN729">
        <v>77</v>
      </c>
      <c r="AO729">
        <v>75</v>
      </c>
      <c r="AP729">
        <v>75</v>
      </c>
      <c r="AQ729">
        <v>4</v>
      </c>
      <c r="AR729" t="s">
        <v>29</v>
      </c>
      <c r="AS729" t="s">
        <v>117</v>
      </c>
      <c r="AT729" t="s">
        <v>108</v>
      </c>
      <c r="AU729">
        <v>24.33</v>
      </c>
      <c r="AV729">
        <v>30</v>
      </c>
      <c r="AW729">
        <v>6</v>
      </c>
      <c r="AX729">
        <v>0</v>
      </c>
      <c r="AY729">
        <v>27.8</v>
      </c>
      <c r="AZ729">
        <v>84</v>
      </c>
      <c r="BA729">
        <v>5249</v>
      </c>
      <c r="BB729">
        <v>69</v>
      </c>
      <c r="BC729">
        <v>71</v>
      </c>
      <c r="BD729">
        <v>71</v>
      </c>
      <c r="BE729">
        <v>3.5</v>
      </c>
      <c r="BF729" t="s">
        <v>28</v>
      </c>
      <c r="BG729">
        <v>14</v>
      </c>
      <c r="BH729">
        <v>38</v>
      </c>
      <c r="BI729">
        <v>0.52400000000000002</v>
      </c>
      <c r="BJ729" t="s">
        <v>108</v>
      </c>
      <c r="BK729">
        <v>0.62860000000000005</v>
      </c>
      <c r="BL729">
        <v>0.40279999999999999</v>
      </c>
      <c r="BM729">
        <v>1.87</v>
      </c>
      <c r="BN729">
        <v>1.33</v>
      </c>
    </row>
    <row r="730" spans="1:66" x14ac:dyDescent="0.25">
      <c r="A730">
        <v>1</v>
      </c>
      <c r="B730">
        <v>1</v>
      </c>
      <c r="C730">
        <v>3</v>
      </c>
      <c r="D730">
        <v>2.0433333333333334</v>
      </c>
      <c r="E730">
        <v>3.0333333333333332</v>
      </c>
      <c r="F730">
        <v>3.85</v>
      </c>
      <c r="G730" s="40">
        <v>0.38</v>
      </c>
      <c r="H730" s="40">
        <v>0.32</v>
      </c>
      <c r="I730" s="40">
        <v>0.3</v>
      </c>
      <c r="J730">
        <v>1.98</v>
      </c>
      <c r="K730">
        <v>2.95</v>
      </c>
      <c r="L730">
        <v>3.75</v>
      </c>
      <c r="M730">
        <v>2.0499999999999998</v>
      </c>
      <c r="N730">
        <v>3.1</v>
      </c>
      <c r="O730">
        <v>3.85</v>
      </c>
      <c r="P730">
        <v>2.1</v>
      </c>
      <c r="Q730">
        <v>3.05</v>
      </c>
      <c r="R730">
        <v>3.95</v>
      </c>
      <c r="S730">
        <v>0.47164842771317761</v>
      </c>
      <c r="T730">
        <v>0.27932120245426462</v>
      </c>
      <c r="U730">
        <v>0.24903036983255775</v>
      </c>
      <c r="V730">
        <v>0.45583882364174544</v>
      </c>
      <c r="W730">
        <v>0.30144180273083165</v>
      </c>
      <c r="X730">
        <v>0.24271937362742288</v>
      </c>
      <c r="Y730">
        <v>0.45041592672212361</v>
      </c>
      <c r="Z730">
        <v>0.31012244134965888</v>
      </c>
      <c r="AA730">
        <v>0.23946163192821759</v>
      </c>
      <c r="AB730">
        <v>0.45930105935901561</v>
      </c>
      <c r="AC730">
        <v>0.29696181551158501</v>
      </c>
      <c r="AD730">
        <v>0.24373712512939941</v>
      </c>
      <c r="AE730" t="s">
        <v>112</v>
      </c>
      <c r="AF730" t="s">
        <v>108</v>
      </c>
      <c r="AG730">
        <v>59.75</v>
      </c>
      <c r="AH730">
        <v>28</v>
      </c>
      <c r="AI730">
        <v>8</v>
      </c>
      <c r="AJ730">
        <v>4</v>
      </c>
      <c r="AK730">
        <v>26</v>
      </c>
      <c r="AL730">
        <v>17</v>
      </c>
      <c r="AM730">
        <v>9035</v>
      </c>
      <c r="AN730">
        <v>71</v>
      </c>
      <c r="AO730">
        <v>75</v>
      </c>
      <c r="AP730">
        <v>75</v>
      </c>
      <c r="AQ730">
        <v>3.5</v>
      </c>
      <c r="AR730" t="s">
        <v>29</v>
      </c>
      <c r="AS730" t="s">
        <v>111</v>
      </c>
      <c r="AT730" t="s">
        <v>108</v>
      </c>
      <c r="AU730">
        <v>56.2</v>
      </c>
      <c r="AV730">
        <v>28</v>
      </c>
      <c r="AW730">
        <v>2</v>
      </c>
      <c r="AX730">
        <v>2</v>
      </c>
      <c r="AY730">
        <v>25.9</v>
      </c>
      <c r="AZ730">
        <v>15</v>
      </c>
      <c r="BA730">
        <v>9286</v>
      </c>
      <c r="BB730">
        <v>74</v>
      </c>
      <c r="BC730">
        <v>71</v>
      </c>
      <c r="BD730">
        <v>72</v>
      </c>
      <c r="BE730">
        <v>3.5</v>
      </c>
      <c r="BF730" t="s">
        <v>29</v>
      </c>
      <c r="BG730">
        <v>11</v>
      </c>
      <c r="BH730">
        <v>53</v>
      </c>
      <c r="BI730">
        <v>0.441</v>
      </c>
      <c r="BJ730" t="s">
        <v>108</v>
      </c>
      <c r="BK730">
        <v>0.52939999999999998</v>
      </c>
      <c r="BL730">
        <v>0.43940000000000001</v>
      </c>
      <c r="BM730">
        <v>1.5</v>
      </c>
      <c r="BN730">
        <v>1.29</v>
      </c>
    </row>
    <row r="731" spans="1:66" x14ac:dyDescent="0.25">
      <c r="A731">
        <v>3</v>
      </c>
      <c r="B731">
        <v>-3</v>
      </c>
      <c r="C731">
        <v>4</v>
      </c>
      <c r="D731">
        <v>2.8766666666666665</v>
      </c>
      <c r="E731">
        <v>3.1666666666666665</v>
      </c>
      <c r="F731">
        <v>2.416666666666667</v>
      </c>
      <c r="G731" s="40">
        <v>0.26</v>
      </c>
      <c r="H731" s="40">
        <v>0.35</v>
      </c>
      <c r="I731" s="40">
        <v>0.39</v>
      </c>
      <c r="J731">
        <v>2.75</v>
      </c>
      <c r="K731">
        <v>3.1</v>
      </c>
      <c r="L731">
        <v>2.33</v>
      </c>
      <c r="M731">
        <v>2.95</v>
      </c>
      <c r="N731">
        <v>3.2</v>
      </c>
      <c r="O731">
        <v>2.4500000000000002</v>
      </c>
      <c r="P731">
        <v>2.93</v>
      </c>
      <c r="Q731">
        <v>3.2</v>
      </c>
      <c r="R731">
        <v>2.4700000000000002</v>
      </c>
      <c r="S731">
        <v>0.33256722954080964</v>
      </c>
      <c r="T731">
        <v>0.27491779997111021</v>
      </c>
      <c r="U731">
        <v>0.39251497048808004</v>
      </c>
      <c r="V731">
        <v>0.31990207079465471</v>
      </c>
      <c r="W731">
        <v>0.29490972151382233</v>
      </c>
      <c r="X731">
        <v>0.38518820769152301</v>
      </c>
      <c r="Y731">
        <v>0.32238723176884704</v>
      </c>
      <c r="Z731">
        <v>0.29518580908835063</v>
      </c>
      <c r="AA731">
        <v>0.38242695914280239</v>
      </c>
      <c r="AB731">
        <v>0.32495217736810378</v>
      </c>
      <c r="AC731">
        <v>0.28833777685776102</v>
      </c>
      <c r="AD731">
        <v>0.3867100457741352</v>
      </c>
      <c r="AE731" t="s">
        <v>116</v>
      </c>
      <c r="AF731" t="s">
        <v>108</v>
      </c>
      <c r="AG731">
        <v>83.05</v>
      </c>
      <c r="AH731">
        <v>34</v>
      </c>
      <c r="AI731">
        <v>9</v>
      </c>
      <c r="AJ731">
        <v>5</v>
      </c>
      <c r="AK731">
        <v>26.4</v>
      </c>
      <c r="AL731">
        <v>75</v>
      </c>
      <c r="AM731">
        <v>5476</v>
      </c>
      <c r="AN731">
        <v>78</v>
      </c>
      <c r="AO731">
        <v>75</v>
      </c>
      <c r="AP731">
        <v>76</v>
      </c>
      <c r="AQ731">
        <v>4</v>
      </c>
      <c r="AR731" t="s">
        <v>29</v>
      </c>
      <c r="AS731" t="s">
        <v>107</v>
      </c>
      <c r="AT731" t="s">
        <v>108</v>
      </c>
      <c r="AU731">
        <v>148.6</v>
      </c>
      <c r="AV731">
        <v>32</v>
      </c>
      <c r="AW731">
        <v>2</v>
      </c>
      <c r="AX731">
        <v>7</v>
      </c>
      <c r="AY731">
        <v>27.2</v>
      </c>
      <c r="AZ731">
        <v>2</v>
      </c>
      <c r="BA731">
        <v>13486</v>
      </c>
      <c r="BB731">
        <v>77</v>
      </c>
      <c r="BC731">
        <v>75</v>
      </c>
      <c r="BD731">
        <v>75</v>
      </c>
      <c r="BE731">
        <v>4</v>
      </c>
      <c r="BF731" t="s">
        <v>29</v>
      </c>
      <c r="BG731">
        <v>17</v>
      </c>
      <c r="BH731">
        <v>65</v>
      </c>
      <c r="BI731">
        <v>0.39500000000000002</v>
      </c>
      <c r="BJ731" t="s">
        <v>108</v>
      </c>
      <c r="BK731">
        <v>0.44619999999999999</v>
      </c>
      <c r="BL731">
        <v>0.62860000000000005</v>
      </c>
      <c r="BM731">
        <v>1.69</v>
      </c>
      <c r="BN731">
        <v>1.87</v>
      </c>
    </row>
    <row r="732" spans="1:66" x14ac:dyDescent="0.25">
      <c r="A732">
        <v>1</v>
      </c>
      <c r="B732">
        <v>1</v>
      </c>
      <c r="C732">
        <v>3</v>
      </c>
      <c r="D732">
        <v>3.2166666666666663</v>
      </c>
      <c r="E732">
        <v>3.1833333333333336</v>
      </c>
      <c r="F732">
        <v>2.2033333333333331</v>
      </c>
      <c r="G732" s="40">
        <v>0.28000000000000003</v>
      </c>
      <c r="H732" s="40">
        <v>0.26</v>
      </c>
      <c r="I732" s="40">
        <v>0.45999999999999996</v>
      </c>
      <c r="J732">
        <v>3.15</v>
      </c>
      <c r="K732">
        <v>3.15</v>
      </c>
      <c r="L732">
        <v>2.1</v>
      </c>
      <c r="M732">
        <v>3.3</v>
      </c>
      <c r="N732">
        <v>3.2</v>
      </c>
      <c r="O732">
        <v>2.25</v>
      </c>
      <c r="P732">
        <v>3.2</v>
      </c>
      <c r="Q732">
        <v>3.2</v>
      </c>
      <c r="R732">
        <v>2.2599999999999998</v>
      </c>
      <c r="S732">
        <v>0.2929936305732484</v>
      </c>
      <c r="T732">
        <v>0.26751592356687898</v>
      </c>
      <c r="U732">
        <v>0.43949044585987257</v>
      </c>
      <c r="V732">
        <v>0.28588445503275761</v>
      </c>
      <c r="W732">
        <v>0.29481834425253123</v>
      </c>
      <c r="X732">
        <v>0.4192972007147111</v>
      </c>
      <c r="Y732">
        <v>0.29274611398963729</v>
      </c>
      <c r="Z732">
        <v>0.29274611398963729</v>
      </c>
      <c r="AA732">
        <v>0.41450777202072542</v>
      </c>
      <c r="AB732">
        <v>0.29054139986521443</v>
      </c>
      <c r="AC732">
        <v>0.28502679393634917</v>
      </c>
      <c r="AD732">
        <v>0.4244318061984364</v>
      </c>
      <c r="AE732" t="s">
        <v>118</v>
      </c>
      <c r="AF732" t="s">
        <v>108</v>
      </c>
      <c r="AG732">
        <v>65.8</v>
      </c>
      <c r="AH732">
        <v>34</v>
      </c>
      <c r="AI732">
        <v>4</v>
      </c>
      <c r="AJ732">
        <v>2</v>
      </c>
      <c r="AK732">
        <v>27.6</v>
      </c>
      <c r="AL732">
        <v>89</v>
      </c>
      <c r="AM732">
        <v>5108</v>
      </c>
      <c r="AN732">
        <v>70</v>
      </c>
      <c r="AO732">
        <v>73</v>
      </c>
      <c r="AP732">
        <v>72</v>
      </c>
      <c r="AQ732">
        <v>3.5</v>
      </c>
      <c r="AR732" t="s">
        <v>29</v>
      </c>
      <c r="AS732" t="s">
        <v>109</v>
      </c>
      <c r="AT732" t="s">
        <v>108</v>
      </c>
      <c r="AU732">
        <v>143.19999999999999</v>
      </c>
      <c r="AV732">
        <v>31</v>
      </c>
      <c r="AW732">
        <v>3</v>
      </c>
      <c r="AX732">
        <v>4</v>
      </c>
      <c r="AY732">
        <v>27</v>
      </c>
      <c r="AZ732">
        <v>5</v>
      </c>
      <c r="BA732">
        <v>11026</v>
      </c>
      <c r="BB732">
        <v>74</v>
      </c>
      <c r="BC732">
        <v>76</v>
      </c>
      <c r="BD732">
        <v>74</v>
      </c>
      <c r="BE732">
        <v>3.5</v>
      </c>
      <c r="BF732" t="s">
        <v>29</v>
      </c>
      <c r="BG732">
        <v>-16</v>
      </c>
      <c r="BH732">
        <v>44</v>
      </c>
      <c r="BI732">
        <v>0.35099999999999998</v>
      </c>
      <c r="BJ732" t="s">
        <v>108</v>
      </c>
      <c r="BK732">
        <v>0.4839</v>
      </c>
      <c r="BL732">
        <v>0.50649999999999995</v>
      </c>
      <c r="BM732">
        <v>1.52</v>
      </c>
      <c r="BN732">
        <v>1.65</v>
      </c>
    </row>
    <row r="733" spans="1:66" x14ac:dyDescent="0.25">
      <c r="A733">
        <v>2</v>
      </c>
      <c r="B733">
        <v>0</v>
      </c>
      <c r="C733">
        <v>0</v>
      </c>
      <c r="D733">
        <v>3.4666666666666668</v>
      </c>
      <c r="E733">
        <v>3.2666666666666671</v>
      </c>
      <c r="F733">
        <v>2.1933333333333338</v>
      </c>
      <c r="G733" s="40">
        <v>0.12</v>
      </c>
      <c r="H733" s="40">
        <v>0.43</v>
      </c>
      <c r="I733" s="40">
        <v>0.45</v>
      </c>
      <c r="J733">
        <v>3.55</v>
      </c>
      <c r="K733">
        <v>3.3</v>
      </c>
      <c r="L733">
        <v>2.1800000000000002</v>
      </c>
      <c r="M733">
        <v>3.4</v>
      </c>
      <c r="N733">
        <v>3.25</v>
      </c>
      <c r="O733">
        <v>2.2000000000000002</v>
      </c>
      <c r="P733">
        <v>3.45</v>
      </c>
      <c r="Q733">
        <v>3.25</v>
      </c>
      <c r="R733">
        <v>2.2000000000000002</v>
      </c>
      <c r="S733">
        <v>0.28088318346448976</v>
      </c>
      <c r="T733">
        <v>0.26171530217819911</v>
      </c>
      <c r="U733">
        <v>0.45740151435731119</v>
      </c>
      <c r="V733">
        <v>0.27842679127725856</v>
      </c>
      <c r="W733">
        <v>0.29127725856697817</v>
      </c>
      <c r="X733">
        <v>0.43029595015576322</v>
      </c>
      <c r="Y733">
        <v>0.27550332337925054</v>
      </c>
      <c r="Z733">
        <v>0.29245737404874289</v>
      </c>
      <c r="AA733">
        <v>0.43203930257200651</v>
      </c>
      <c r="AB733">
        <v>0.27827109937366629</v>
      </c>
      <c r="AC733">
        <v>0.2818166449313067</v>
      </c>
      <c r="AD733">
        <v>0.43991225569502695</v>
      </c>
      <c r="AE733" t="s">
        <v>151</v>
      </c>
      <c r="AF733" t="s">
        <v>141</v>
      </c>
      <c r="AG733">
        <v>111.8</v>
      </c>
      <c r="AH733">
        <v>27</v>
      </c>
      <c r="AI733">
        <v>8</v>
      </c>
      <c r="AJ733">
        <v>4</v>
      </c>
      <c r="AK733">
        <v>28.3</v>
      </c>
      <c r="AL733">
        <v>116</v>
      </c>
      <c r="AM733">
        <v>4556</v>
      </c>
      <c r="AN733">
        <v>79</v>
      </c>
      <c r="AO733">
        <v>76</v>
      </c>
      <c r="AP733">
        <v>75</v>
      </c>
      <c r="AQ733">
        <v>4</v>
      </c>
      <c r="AR733" t="s">
        <v>29</v>
      </c>
      <c r="AS733" t="s">
        <v>148</v>
      </c>
      <c r="AT733" t="s">
        <v>141</v>
      </c>
      <c r="AU733">
        <v>188.3</v>
      </c>
      <c r="AV733">
        <v>26</v>
      </c>
      <c r="AW733">
        <v>0</v>
      </c>
      <c r="AX733">
        <v>2</v>
      </c>
      <c r="AY733">
        <v>26.4</v>
      </c>
      <c r="AZ733">
        <v>61</v>
      </c>
      <c r="BA733">
        <v>6139</v>
      </c>
      <c r="BB733">
        <v>80</v>
      </c>
      <c r="BC733">
        <v>78</v>
      </c>
      <c r="BD733">
        <v>79</v>
      </c>
      <c r="BE733">
        <v>4.5</v>
      </c>
      <c r="BF733" t="s">
        <v>29</v>
      </c>
      <c r="BG733">
        <v>-14</v>
      </c>
      <c r="BH733">
        <v>28</v>
      </c>
      <c r="BI733">
        <v>0.219</v>
      </c>
      <c r="BJ733" t="s">
        <v>270</v>
      </c>
      <c r="BK733">
        <v>0.28889999999999999</v>
      </c>
      <c r="BL733">
        <v>0.3478</v>
      </c>
      <c r="BM733">
        <v>1.36</v>
      </c>
      <c r="BN733">
        <v>1.28</v>
      </c>
    </row>
    <row r="734" spans="1:66" x14ac:dyDescent="0.25">
      <c r="A734">
        <v>2</v>
      </c>
      <c r="B734">
        <v>0</v>
      </c>
      <c r="C734">
        <v>2</v>
      </c>
      <c r="D734">
        <v>2.793333333333333</v>
      </c>
      <c r="E734">
        <v>3.3000000000000003</v>
      </c>
      <c r="F734">
        <v>2.5433333333333334</v>
      </c>
      <c r="G734" s="40">
        <v>0.28999999999999998</v>
      </c>
      <c r="H734" s="40">
        <v>0.39</v>
      </c>
      <c r="I734" s="40">
        <v>0.31999999999999995</v>
      </c>
      <c r="J734">
        <v>2.8</v>
      </c>
      <c r="K734">
        <v>3.35</v>
      </c>
      <c r="L734">
        <v>2.5499999999999998</v>
      </c>
      <c r="M734">
        <v>2.8</v>
      </c>
      <c r="N734">
        <v>3.25</v>
      </c>
      <c r="O734">
        <v>2.5</v>
      </c>
      <c r="P734">
        <v>2.78</v>
      </c>
      <c r="Q734">
        <v>3.3</v>
      </c>
      <c r="R734">
        <v>2.58</v>
      </c>
      <c r="S734">
        <v>0.3515301902398677</v>
      </c>
      <c r="T734">
        <v>0.26247587537910116</v>
      </c>
      <c r="U734">
        <v>0.38599393438103119</v>
      </c>
      <c r="V734">
        <v>0.3353973168214654</v>
      </c>
      <c r="W734">
        <v>0.28895768833849328</v>
      </c>
      <c r="X734">
        <v>0.37564499484004127</v>
      </c>
      <c r="Y734">
        <v>0.34247236569001305</v>
      </c>
      <c r="Z734">
        <v>0.28850702321764737</v>
      </c>
      <c r="AA734">
        <v>0.36902061109233958</v>
      </c>
      <c r="AB734">
        <v>0.34313329091711542</v>
      </c>
      <c r="AC734">
        <v>0.27998019564508064</v>
      </c>
      <c r="AD734">
        <v>0.37688651343780405</v>
      </c>
      <c r="AE734" t="s">
        <v>153</v>
      </c>
      <c r="AF734" t="s">
        <v>141</v>
      </c>
      <c r="AG734">
        <v>143.80000000000001</v>
      </c>
      <c r="AH734">
        <v>21</v>
      </c>
      <c r="AI734">
        <v>9</v>
      </c>
      <c r="AJ734">
        <v>8</v>
      </c>
      <c r="AK734">
        <v>28</v>
      </c>
      <c r="AL734">
        <v>138</v>
      </c>
      <c r="AM734">
        <v>4059</v>
      </c>
      <c r="AN734">
        <v>80</v>
      </c>
      <c r="AO734">
        <v>75</v>
      </c>
      <c r="AP734">
        <v>75</v>
      </c>
      <c r="AQ734">
        <v>4</v>
      </c>
      <c r="AR734" t="s">
        <v>29</v>
      </c>
      <c r="AS734" t="s">
        <v>149</v>
      </c>
      <c r="AT734" t="s">
        <v>141</v>
      </c>
      <c r="AU734">
        <v>298.89999999999998</v>
      </c>
      <c r="AV734">
        <v>24</v>
      </c>
      <c r="AW734">
        <v>9</v>
      </c>
      <c r="AX734">
        <v>10</v>
      </c>
      <c r="AY734">
        <v>28.2</v>
      </c>
      <c r="AZ734">
        <v>77</v>
      </c>
      <c r="BA734">
        <v>5396</v>
      </c>
      <c r="BB734">
        <v>82</v>
      </c>
      <c r="BC734">
        <v>79</v>
      </c>
      <c r="BD734">
        <v>79</v>
      </c>
      <c r="BE734">
        <v>4.5</v>
      </c>
      <c r="BF734" t="s">
        <v>29</v>
      </c>
      <c r="BG734">
        <v>-8</v>
      </c>
      <c r="BH734">
        <v>48</v>
      </c>
      <c r="BI734">
        <v>0.438</v>
      </c>
      <c r="BJ734" t="s">
        <v>270</v>
      </c>
      <c r="BK734">
        <v>0.375</v>
      </c>
      <c r="BL734">
        <v>0.53449999999999998</v>
      </c>
      <c r="BM734">
        <v>1.55</v>
      </c>
      <c r="BN734">
        <v>1.78</v>
      </c>
    </row>
    <row r="735" spans="1:66" x14ac:dyDescent="0.25">
      <c r="A735">
        <v>2</v>
      </c>
      <c r="B735">
        <v>0</v>
      </c>
      <c r="C735">
        <v>4</v>
      </c>
      <c r="D735">
        <v>1.4233333333333331</v>
      </c>
      <c r="E735">
        <v>4.4276666666666662</v>
      </c>
      <c r="F735">
        <v>8.2666666666666675</v>
      </c>
      <c r="G735" s="40">
        <v>0.62</v>
      </c>
      <c r="H735" s="40">
        <v>0.22</v>
      </c>
      <c r="I735" s="40">
        <v>0.16</v>
      </c>
      <c r="J735">
        <v>1.41</v>
      </c>
      <c r="K735">
        <v>4.5</v>
      </c>
      <c r="L735">
        <v>9</v>
      </c>
      <c r="M735">
        <v>1.43</v>
      </c>
      <c r="N735">
        <v>4.3330000000000002</v>
      </c>
      <c r="O735">
        <v>7.5</v>
      </c>
      <c r="P735">
        <v>1.43</v>
      </c>
      <c r="Q735">
        <v>4.45</v>
      </c>
      <c r="R735">
        <v>8.3000000000000007</v>
      </c>
      <c r="S735">
        <v>0.73585563012257227</v>
      </c>
      <c r="T735">
        <v>0.14886032115822484</v>
      </c>
      <c r="U735">
        <v>0.11528404871920299</v>
      </c>
      <c r="V735">
        <v>0.65759533488240984</v>
      </c>
      <c r="W735">
        <v>0.21702315460001065</v>
      </c>
      <c r="X735">
        <v>0.12538151051757948</v>
      </c>
      <c r="Y735">
        <v>0.66950650292291658</v>
      </c>
      <c r="Z735">
        <v>0.21514478633253273</v>
      </c>
      <c r="AA735">
        <v>0.11534871074455068</v>
      </c>
      <c r="AB735">
        <v>0.68765248930929956</v>
      </c>
      <c r="AC735">
        <v>0.19367608736358943</v>
      </c>
      <c r="AD735">
        <v>0.11867142332711106</v>
      </c>
      <c r="AE735" t="s">
        <v>146</v>
      </c>
      <c r="AF735" t="s">
        <v>141</v>
      </c>
      <c r="AG735">
        <v>430.9</v>
      </c>
      <c r="AH735">
        <v>27</v>
      </c>
      <c r="AI735">
        <v>20</v>
      </c>
      <c r="AJ735">
        <v>14</v>
      </c>
      <c r="AK735">
        <v>28</v>
      </c>
      <c r="AL735">
        <v>31</v>
      </c>
      <c r="AM735">
        <v>7447</v>
      </c>
      <c r="AN735">
        <v>80</v>
      </c>
      <c r="AO735">
        <v>81</v>
      </c>
      <c r="AP735">
        <v>82</v>
      </c>
      <c r="AQ735">
        <v>4.5</v>
      </c>
      <c r="AR735" t="s">
        <v>29</v>
      </c>
      <c r="AS735" t="s">
        <v>156</v>
      </c>
      <c r="AT735" t="s">
        <v>141</v>
      </c>
      <c r="AU735">
        <v>66.099999999999994</v>
      </c>
      <c r="AV735">
        <v>24</v>
      </c>
      <c r="AW735">
        <v>6</v>
      </c>
      <c r="AX735">
        <v>3</v>
      </c>
      <c r="AY735">
        <v>26.8</v>
      </c>
      <c r="AZ735">
        <v>177</v>
      </c>
      <c r="BA735">
        <v>3663</v>
      </c>
      <c r="BB735">
        <v>77</v>
      </c>
      <c r="BC735">
        <v>74</v>
      </c>
      <c r="BD735">
        <v>76</v>
      </c>
      <c r="BE735">
        <v>4</v>
      </c>
      <c r="BF735" t="s">
        <v>43</v>
      </c>
      <c r="BG735">
        <v>11</v>
      </c>
      <c r="BH735">
        <v>45</v>
      </c>
      <c r="BI735">
        <v>0.5</v>
      </c>
      <c r="BJ735" t="s">
        <v>270</v>
      </c>
      <c r="BK735">
        <v>0.62960000000000005</v>
      </c>
      <c r="BL735">
        <v>0.26829999999999998</v>
      </c>
      <c r="BM735">
        <v>1.46</v>
      </c>
      <c r="BN735">
        <v>0.95</v>
      </c>
    </row>
    <row r="736" spans="1:66" x14ac:dyDescent="0.25">
      <c r="A736">
        <v>1</v>
      </c>
      <c r="B736">
        <v>1</v>
      </c>
      <c r="C736">
        <v>1</v>
      </c>
      <c r="D736">
        <v>1.4400000000000002</v>
      </c>
      <c r="E736">
        <v>4.2666666666666666</v>
      </c>
      <c r="F736">
        <v>8.5</v>
      </c>
      <c r="G736" s="40">
        <v>0.36</v>
      </c>
      <c r="H736" s="40">
        <v>0.4</v>
      </c>
      <c r="I736" s="40">
        <v>0.24</v>
      </c>
      <c r="J736">
        <v>1.43</v>
      </c>
      <c r="K736">
        <v>4.4000000000000004</v>
      </c>
      <c r="L736">
        <v>9</v>
      </c>
      <c r="M736">
        <v>1.45</v>
      </c>
      <c r="N736">
        <v>4.0999999999999996</v>
      </c>
      <c r="O736">
        <v>8</v>
      </c>
      <c r="P736">
        <v>1.44</v>
      </c>
      <c r="Q736">
        <v>4.3</v>
      </c>
      <c r="R736">
        <v>8.5</v>
      </c>
      <c r="S736">
        <v>0.73107357463997291</v>
      </c>
      <c r="T736">
        <v>0.15276695738945367</v>
      </c>
      <c r="U736">
        <v>0.11615946797057347</v>
      </c>
      <c r="V736">
        <v>0.65150461813486948</v>
      </c>
      <c r="W736">
        <v>0.23041016982818555</v>
      </c>
      <c r="X736">
        <v>0.11808521203694508</v>
      </c>
      <c r="Y736">
        <v>0.66476301334982357</v>
      </c>
      <c r="Z736">
        <v>0.22261831144738278</v>
      </c>
      <c r="AA736">
        <v>0.11261867520279363</v>
      </c>
      <c r="AB736">
        <v>0.68244706870822203</v>
      </c>
      <c r="AC736">
        <v>0.20193181288834064</v>
      </c>
      <c r="AD736">
        <v>0.1156211184034374</v>
      </c>
      <c r="AE736" t="s">
        <v>143</v>
      </c>
      <c r="AF736" t="s">
        <v>141</v>
      </c>
      <c r="AG736">
        <v>755.2</v>
      </c>
      <c r="AH736">
        <v>22</v>
      </c>
      <c r="AI736">
        <v>19</v>
      </c>
      <c r="AJ736">
        <v>19</v>
      </c>
      <c r="AK736">
        <v>28</v>
      </c>
      <c r="AL736">
        <v>13</v>
      </c>
      <c r="AM736">
        <v>9329</v>
      </c>
      <c r="AN736">
        <v>85</v>
      </c>
      <c r="AO736">
        <v>82</v>
      </c>
      <c r="AP736">
        <v>83</v>
      </c>
      <c r="AQ736">
        <v>5</v>
      </c>
      <c r="AR736" t="s">
        <v>29</v>
      </c>
      <c r="AS736" t="s">
        <v>157</v>
      </c>
      <c r="AT736" t="s">
        <v>141</v>
      </c>
      <c r="AU736">
        <v>93.5</v>
      </c>
      <c r="AV736">
        <v>27</v>
      </c>
      <c r="AW736">
        <v>4</v>
      </c>
      <c r="AX736">
        <v>1</v>
      </c>
      <c r="AY736">
        <v>27.7</v>
      </c>
      <c r="AZ736">
        <v>202</v>
      </c>
      <c r="BA736">
        <v>3267</v>
      </c>
      <c r="BB736">
        <v>76</v>
      </c>
      <c r="BC736">
        <v>77</v>
      </c>
      <c r="BD736">
        <v>75</v>
      </c>
      <c r="BE736">
        <v>4</v>
      </c>
      <c r="BF736" t="s">
        <v>46</v>
      </c>
      <c r="BG736">
        <v>41</v>
      </c>
      <c r="BH736">
        <v>142</v>
      </c>
      <c r="BI736">
        <v>0.53100000000000003</v>
      </c>
      <c r="BJ736" t="s">
        <v>270</v>
      </c>
      <c r="BK736">
        <v>0.60419999999999996</v>
      </c>
      <c r="BL736">
        <v>0.33329999999999999</v>
      </c>
      <c r="BM736">
        <v>1.6</v>
      </c>
      <c r="BN736">
        <v>1.1399999999999999</v>
      </c>
    </row>
    <row r="737" spans="1:66" x14ac:dyDescent="0.25">
      <c r="A737">
        <v>3</v>
      </c>
      <c r="B737">
        <v>-3</v>
      </c>
      <c r="C737">
        <v>5</v>
      </c>
      <c r="D737">
        <v>6.5333333333333341</v>
      </c>
      <c r="E737">
        <v>4.3933333333333335</v>
      </c>
      <c r="F737">
        <v>1.49</v>
      </c>
      <c r="G737" s="40">
        <v>0.12</v>
      </c>
      <c r="H737" s="40">
        <v>0.23</v>
      </c>
      <c r="I737" s="40">
        <v>0.65</v>
      </c>
      <c r="J737">
        <v>7</v>
      </c>
      <c r="K737">
        <v>4.4000000000000004</v>
      </c>
      <c r="L737">
        <v>1.49</v>
      </c>
      <c r="M737">
        <v>6</v>
      </c>
      <c r="N737">
        <v>4.33</v>
      </c>
      <c r="O737">
        <v>1.5</v>
      </c>
      <c r="P737">
        <v>6.6</v>
      </c>
      <c r="Q737">
        <v>4.45</v>
      </c>
      <c r="R737">
        <v>1.48</v>
      </c>
      <c r="S737">
        <v>0.14646378922065512</v>
      </c>
      <c r="T737">
        <v>0.16545129497760933</v>
      </c>
      <c r="U737">
        <v>0.68808491580173547</v>
      </c>
      <c r="V737">
        <v>0.15660036166365279</v>
      </c>
      <c r="W737">
        <v>0.21699819168173598</v>
      </c>
      <c r="X737">
        <v>0.62640144665461117</v>
      </c>
      <c r="Y737">
        <v>0.14403814189484734</v>
      </c>
      <c r="Z737">
        <v>0.2136296037092118</v>
      </c>
      <c r="AA737">
        <v>0.64233225439594088</v>
      </c>
      <c r="AB737">
        <v>0.14903409759305175</v>
      </c>
      <c r="AC737">
        <v>0.19869303012285236</v>
      </c>
      <c r="AD737">
        <v>0.65227287228409581</v>
      </c>
      <c r="AE737" t="s">
        <v>150</v>
      </c>
      <c r="AF737" t="s">
        <v>141</v>
      </c>
      <c r="AG737">
        <v>88.35</v>
      </c>
      <c r="AH737">
        <v>25</v>
      </c>
      <c r="AI737">
        <v>11</v>
      </c>
      <c r="AJ737">
        <v>6</v>
      </c>
      <c r="AK737">
        <v>28.4</v>
      </c>
      <c r="AL737">
        <v>103</v>
      </c>
      <c r="AM737">
        <v>4803</v>
      </c>
      <c r="AN737">
        <v>77</v>
      </c>
      <c r="AO737">
        <v>78</v>
      </c>
      <c r="AP737">
        <v>77</v>
      </c>
      <c r="AQ737">
        <v>4</v>
      </c>
      <c r="AR737" t="s">
        <v>46</v>
      </c>
      <c r="AS737" t="s">
        <v>144</v>
      </c>
      <c r="AT737" t="s">
        <v>141</v>
      </c>
      <c r="AU737">
        <v>783.5</v>
      </c>
      <c r="AV737">
        <v>25</v>
      </c>
      <c r="AW737">
        <v>18</v>
      </c>
      <c r="AX737">
        <v>17</v>
      </c>
      <c r="AY737">
        <v>27.6</v>
      </c>
      <c r="AZ737">
        <v>18</v>
      </c>
      <c r="BA737">
        <v>8949</v>
      </c>
      <c r="BB737">
        <v>84</v>
      </c>
      <c r="BC737">
        <v>86</v>
      </c>
      <c r="BD737">
        <v>84</v>
      </c>
      <c r="BE737">
        <v>5</v>
      </c>
      <c r="BF737" t="s">
        <v>28</v>
      </c>
      <c r="BG737">
        <v>-81</v>
      </c>
      <c r="BH737">
        <v>26</v>
      </c>
      <c r="BI737">
        <v>0.12</v>
      </c>
      <c r="BJ737" t="s">
        <v>270</v>
      </c>
      <c r="BK737">
        <v>0.43099999999999999</v>
      </c>
      <c r="BL737">
        <v>0.59619999999999995</v>
      </c>
      <c r="BM737">
        <v>1.43</v>
      </c>
      <c r="BN737">
        <v>1.69</v>
      </c>
    </row>
    <row r="738" spans="1:66" x14ac:dyDescent="0.25">
      <c r="A738">
        <v>2</v>
      </c>
      <c r="B738">
        <v>0</v>
      </c>
      <c r="C738">
        <v>0</v>
      </c>
      <c r="D738">
        <v>1.7466666666666668</v>
      </c>
      <c r="E738">
        <v>3.8000000000000003</v>
      </c>
      <c r="F738">
        <v>4.7</v>
      </c>
      <c r="G738" s="40">
        <v>0.48</v>
      </c>
      <c r="H738" s="40">
        <v>0.36</v>
      </c>
      <c r="I738" s="40">
        <v>0.16000000000000003</v>
      </c>
      <c r="J738">
        <v>1.74</v>
      </c>
      <c r="K738">
        <v>3.95</v>
      </c>
      <c r="L738">
        <v>4.7</v>
      </c>
      <c r="M738">
        <v>1.75</v>
      </c>
      <c r="N738">
        <v>3.65</v>
      </c>
      <c r="O738">
        <v>4.6500000000000004</v>
      </c>
      <c r="P738">
        <v>1.75</v>
      </c>
      <c r="Q738">
        <v>3.8</v>
      </c>
      <c r="R738">
        <v>4.75</v>
      </c>
      <c r="S738">
        <v>0.57992827700745697</v>
      </c>
      <c r="T738">
        <v>0.20537487150467607</v>
      </c>
      <c r="U738">
        <v>0.21469685148786705</v>
      </c>
      <c r="V738">
        <v>0.53885228986427491</v>
      </c>
      <c r="W738">
        <v>0.25835383760615926</v>
      </c>
      <c r="X738">
        <v>0.20279387252956582</v>
      </c>
      <c r="Y738">
        <v>0.54676258992805749</v>
      </c>
      <c r="Z738">
        <v>0.25179856115107913</v>
      </c>
      <c r="AA738">
        <v>0.20143884892086328</v>
      </c>
      <c r="AB738">
        <v>0.55518105226659642</v>
      </c>
      <c r="AC738">
        <v>0.23850909008730481</v>
      </c>
      <c r="AD738">
        <v>0.20630985764609874</v>
      </c>
      <c r="AE738" t="s">
        <v>147</v>
      </c>
      <c r="AF738" t="s">
        <v>141</v>
      </c>
      <c r="AG738">
        <v>373.5</v>
      </c>
      <c r="AH738">
        <v>25</v>
      </c>
      <c r="AI738">
        <v>5</v>
      </c>
      <c r="AJ738">
        <v>7</v>
      </c>
      <c r="AK738">
        <v>26.2</v>
      </c>
      <c r="AL738">
        <v>32</v>
      </c>
      <c r="AM738">
        <v>7427</v>
      </c>
      <c r="AN738">
        <v>81</v>
      </c>
      <c r="AO738">
        <v>81</v>
      </c>
      <c r="AP738">
        <v>77</v>
      </c>
      <c r="AQ738">
        <v>4.5</v>
      </c>
      <c r="AR738" t="s">
        <v>28</v>
      </c>
      <c r="AS738" t="s">
        <v>142</v>
      </c>
      <c r="AT738" t="s">
        <v>141</v>
      </c>
      <c r="AU738">
        <v>251.9</v>
      </c>
      <c r="AV738">
        <v>27</v>
      </c>
      <c r="AW738">
        <v>17</v>
      </c>
      <c r="AX738">
        <v>12</v>
      </c>
      <c r="AY738">
        <v>25.5</v>
      </c>
      <c r="AZ738">
        <v>11</v>
      </c>
      <c r="BA738">
        <v>9770</v>
      </c>
      <c r="BB738">
        <v>77</v>
      </c>
      <c r="BC738">
        <v>78</v>
      </c>
      <c r="BD738">
        <v>77</v>
      </c>
      <c r="BE738">
        <v>4</v>
      </c>
      <c r="BF738" t="s">
        <v>29</v>
      </c>
      <c r="BG738">
        <v>-22</v>
      </c>
      <c r="BH738">
        <v>176</v>
      </c>
      <c r="BI738">
        <v>0.32600000000000001</v>
      </c>
      <c r="BJ738" t="s">
        <v>270</v>
      </c>
      <c r="BK738">
        <v>0.40820000000000001</v>
      </c>
      <c r="BL738">
        <v>0.3095</v>
      </c>
      <c r="BM738">
        <v>1.39</v>
      </c>
      <c r="BN738">
        <v>1.43</v>
      </c>
    </row>
    <row r="739" spans="1:66" x14ac:dyDescent="0.25">
      <c r="A739">
        <v>3</v>
      </c>
      <c r="B739">
        <v>-3</v>
      </c>
      <c r="C739">
        <v>3</v>
      </c>
      <c r="D739">
        <v>4.6499999999999995</v>
      </c>
      <c r="E739">
        <v>3.65</v>
      </c>
      <c r="F739">
        <v>1.78</v>
      </c>
      <c r="G739" s="40">
        <v>0.18</v>
      </c>
      <c r="H739" s="40">
        <v>0.28000000000000003</v>
      </c>
      <c r="I739" s="40">
        <v>0.54</v>
      </c>
      <c r="J739">
        <v>4.8</v>
      </c>
      <c r="K739">
        <v>3.75</v>
      </c>
      <c r="L739">
        <v>1.76</v>
      </c>
      <c r="M739">
        <v>4.5</v>
      </c>
      <c r="N739">
        <v>3.5</v>
      </c>
      <c r="O739">
        <v>1.8</v>
      </c>
      <c r="P739">
        <v>4.6500000000000004</v>
      </c>
      <c r="Q739">
        <v>3.7</v>
      </c>
      <c r="R739">
        <v>1.78</v>
      </c>
      <c r="S739">
        <v>0.210461856680184</v>
      </c>
      <c r="T739">
        <v>0.21555126146476877</v>
      </c>
      <c r="U739">
        <v>0.57398688185504732</v>
      </c>
      <c r="V739">
        <v>0.20895522388059704</v>
      </c>
      <c r="W739">
        <v>0.26865671641791045</v>
      </c>
      <c r="X739">
        <v>0.52238805970149249</v>
      </c>
      <c r="Y739">
        <v>0.20537607583884249</v>
      </c>
      <c r="Z739">
        <v>0.25810777098665338</v>
      </c>
      <c r="AA739">
        <v>0.53651615317450418</v>
      </c>
      <c r="AB739">
        <v>0.20826438546654116</v>
      </c>
      <c r="AC739">
        <v>0.24743858295644419</v>
      </c>
      <c r="AD739">
        <v>0.5442970315770147</v>
      </c>
      <c r="AE739" t="s">
        <v>260</v>
      </c>
      <c r="AF739" t="s">
        <v>253</v>
      </c>
      <c r="AG739">
        <v>550.1</v>
      </c>
      <c r="AH739">
        <v>28</v>
      </c>
      <c r="AI739">
        <v>18</v>
      </c>
      <c r="AJ739">
        <v>13</v>
      </c>
      <c r="AK739">
        <v>26.9</v>
      </c>
      <c r="AL739">
        <v>85</v>
      </c>
      <c r="AM739">
        <v>5188</v>
      </c>
      <c r="AN739">
        <v>80</v>
      </c>
      <c r="AO739">
        <v>81</v>
      </c>
      <c r="AP739">
        <v>79</v>
      </c>
      <c r="AQ739">
        <v>4.5</v>
      </c>
      <c r="AR739" t="s">
        <v>29</v>
      </c>
      <c r="AS739" t="s">
        <v>255</v>
      </c>
      <c r="AT739" t="s">
        <v>253</v>
      </c>
      <c r="AU739">
        <v>882.5</v>
      </c>
      <c r="AV739">
        <v>27</v>
      </c>
      <c r="AW739">
        <v>18</v>
      </c>
      <c r="AX739">
        <v>17</v>
      </c>
      <c r="AY739">
        <v>26.7</v>
      </c>
      <c r="AZ739">
        <v>19</v>
      </c>
      <c r="BA739">
        <v>8832</v>
      </c>
      <c r="BB739">
        <v>82</v>
      </c>
      <c r="BC739">
        <v>84</v>
      </c>
      <c r="BD739">
        <v>82</v>
      </c>
      <c r="BE739">
        <v>4.5</v>
      </c>
      <c r="BF739" t="s">
        <v>28</v>
      </c>
      <c r="BG739">
        <v>-52</v>
      </c>
      <c r="BH739">
        <v>73</v>
      </c>
      <c r="BI739">
        <v>0.20300000000000001</v>
      </c>
      <c r="BJ739" t="s">
        <v>267</v>
      </c>
      <c r="BK739">
        <v>0.56599999999999995</v>
      </c>
      <c r="BL739">
        <v>0.57630000000000003</v>
      </c>
      <c r="BM739">
        <v>1.79</v>
      </c>
      <c r="BN739">
        <v>1.68</v>
      </c>
    </row>
    <row r="740" spans="1:66" x14ac:dyDescent="0.25">
      <c r="A740">
        <v>1</v>
      </c>
      <c r="B740">
        <v>3</v>
      </c>
      <c r="C740">
        <v>4</v>
      </c>
      <c r="D740">
        <v>1.4966666666666668</v>
      </c>
      <c r="E740">
        <v>4.6499999999999995</v>
      </c>
      <c r="F740">
        <v>6.083333333333333</v>
      </c>
      <c r="G740" s="40">
        <v>0.3</v>
      </c>
      <c r="H740" s="40">
        <v>0.45</v>
      </c>
      <c r="I740" s="40">
        <v>0.24999999999999994</v>
      </c>
      <c r="J740">
        <v>1.48</v>
      </c>
      <c r="K740">
        <v>4.75</v>
      </c>
      <c r="L740">
        <v>6.5</v>
      </c>
      <c r="M740">
        <v>1.51</v>
      </c>
      <c r="N740">
        <v>4.5</v>
      </c>
      <c r="O740">
        <v>5.75</v>
      </c>
      <c r="P740">
        <v>1.5</v>
      </c>
      <c r="Q740">
        <v>4.7</v>
      </c>
      <c r="R740">
        <v>6</v>
      </c>
      <c r="S740">
        <v>0.68699324617601609</v>
      </c>
      <c r="T740">
        <v>0.15658367623313715</v>
      </c>
      <c r="U740">
        <v>0.15642307759084675</v>
      </c>
      <c r="V740">
        <v>0.62571791306450641</v>
      </c>
      <c r="W740">
        <v>0.20996312193942326</v>
      </c>
      <c r="X740">
        <v>0.16431896499607038</v>
      </c>
      <c r="Y740">
        <v>0.63728813559322028</v>
      </c>
      <c r="Z740">
        <v>0.20338983050847459</v>
      </c>
      <c r="AA740">
        <v>0.15932203389830507</v>
      </c>
      <c r="AB740">
        <v>0.64999976494458089</v>
      </c>
      <c r="AC740">
        <v>0.18997887622701168</v>
      </c>
      <c r="AD740">
        <v>0.1600213588284074</v>
      </c>
      <c r="AE740" t="s">
        <v>252</v>
      </c>
      <c r="AF740" t="s">
        <v>253</v>
      </c>
      <c r="AG740">
        <v>879.5</v>
      </c>
      <c r="AH740">
        <v>27</v>
      </c>
      <c r="AI740">
        <v>19</v>
      </c>
      <c r="AJ740">
        <v>18</v>
      </c>
      <c r="AK740">
        <v>27</v>
      </c>
      <c r="AL740">
        <v>1</v>
      </c>
      <c r="AM740">
        <v>14695</v>
      </c>
      <c r="AN740">
        <v>86</v>
      </c>
      <c r="AO740">
        <v>83</v>
      </c>
      <c r="AP740">
        <v>80</v>
      </c>
      <c r="AQ740">
        <v>5</v>
      </c>
      <c r="AR740" t="s">
        <v>29</v>
      </c>
      <c r="AS740" t="s">
        <v>256</v>
      </c>
      <c r="AT740" t="s">
        <v>253</v>
      </c>
      <c r="AU740">
        <v>548.5</v>
      </c>
      <c r="AV740">
        <v>26</v>
      </c>
      <c r="AW740">
        <v>17</v>
      </c>
      <c r="AX740">
        <v>16</v>
      </c>
      <c r="AY740">
        <v>25.2</v>
      </c>
      <c r="AZ740">
        <v>25</v>
      </c>
      <c r="BA740">
        <v>7938</v>
      </c>
      <c r="BB740">
        <v>83</v>
      </c>
      <c r="BC740">
        <v>79</v>
      </c>
      <c r="BD740">
        <v>79</v>
      </c>
      <c r="BE740">
        <v>4.5</v>
      </c>
      <c r="BF740" t="s">
        <v>29</v>
      </c>
      <c r="BG740">
        <v>42</v>
      </c>
      <c r="BH740">
        <v>225</v>
      </c>
      <c r="BI740">
        <v>0.4</v>
      </c>
      <c r="BJ740" t="s">
        <v>267</v>
      </c>
      <c r="BK740">
        <v>0.52829999999999999</v>
      </c>
      <c r="BL740">
        <v>0.5</v>
      </c>
      <c r="BM740">
        <v>1.83</v>
      </c>
      <c r="BN740">
        <v>1.62</v>
      </c>
    </row>
    <row r="741" spans="1:66" x14ac:dyDescent="0.25">
      <c r="A741">
        <v>1</v>
      </c>
      <c r="B741">
        <v>3</v>
      </c>
      <c r="C741">
        <v>3</v>
      </c>
      <c r="D741">
        <v>1.1666666666666667</v>
      </c>
      <c r="E741">
        <v>7.3666666666666671</v>
      </c>
      <c r="F741">
        <v>17</v>
      </c>
      <c r="G741" s="40">
        <v>0.52</v>
      </c>
      <c r="H741" s="40">
        <v>0.28999999999999998</v>
      </c>
      <c r="I741" s="40">
        <v>0.19</v>
      </c>
      <c r="J741">
        <v>1.1499999999999999</v>
      </c>
      <c r="K741">
        <v>8</v>
      </c>
      <c r="L741">
        <v>18</v>
      </c>
      <c r="M741">
        <v>1.18</v>
      </c>
      <c r="N741">
        <v>6.5</v>
      </c>
      <c r="O741">
        <v>17</v>
      </c>
      <c r="P741">
        <v>1.17</v>
      </c>
      <c r="Q741">
        <v>7.6</v>
      </c>
      <c r="R741">
        <v>16</v>
      </c>
      <c r="S741">
        <v>0.87494675653328657</v>
      </c>
      <c r="T741">
        <v>6.9153867354864576E-2</v>
      </c>
      <c r="U741">
        <v>5.5899376111848864E-2</v>
      </c>
      <c r="V741">
        <v>0.79939231715257175</v>
      </c>
      <c r="W741">
        <v>0.14512045142154381</v>
      </c>
      <c r="X741">
        <v>5.5487231425884395E-2</v>
      </c>
      <c r="Y741">
        <v>0.81494785942149428</v>
      </c>
      <c r="Z741">
        <v>0.125459078358309</v>
      </c>
      <c r="AA741">
        <v>5.9593062220196766E-2</v>
      </c>
      <c r="AB741">
        <v>0.82976231103578424</v>
      </c>
      <c r="AC741">
        <v>0.11324446571157244</v>
      </c>
      <c r="AD741">
        <v>5.6993223252643339E-2</v>
      </c>
      <c r="AE741" t="s">
        <v>254</v>
      </c>
      <c r="AF741" t="s">
        <v>253</v>
      </c>
      <c r="AG741">
        <v>1040</v>
      </c>
      <c r="AH741">
        <v>22</v>
      </c>
      <c r="AI741">
        <v>16</v>
      </c>
      <c r="AJ741">
        <v>19</v>
      </c>
      <c r="AK741">
        <v>27.6</v>
      </c>
      <c r="AL741">
        <v>8</v>
      </c>
      <c r="AM741">
        <v>10390</v>
      </c>
      <c r="AN741">
        <v>85</v>
      </c>
      <c r="AO741">
        <v>86</v>
      </c>
      <c r="AP741">
        <v>83</v>
      </c>
      <c r="AQ741">
        <v>5</v>
      </c>
      <c r="AR741" t="s">
        <v>28</v>
      </c>
      <c r="AS741" t="s">
        <v>262</v>
      </c>
      <c r="AT741" t="s">
        <v>253</v>
      </c>
      <c r="AU741">
        <v>461.75</v>
      </c>
      <c r="AV741">
        <v>27</v>
      </c>
      <c r="AW741">
        <v>14</v>
      </c>
      <c r="AX741">
        <v>15</v>
      </c>
      <c r="AY741">
        <v>27.9</v>
      </c>
      <c r="AZ741">
        <v>149</v>
      </c>
      <c r="BA741">
        <v>3982</v>
      </c>
      <c r="BB741">
        <v>81</v>
      </c>
      <c r="BC741">
        <v>79</v>
      </c>
      <c r="BD741">
        <v>80</v>
      </c>
      <c r="BE741">
        <v>4.5</v>
      </c>
      <c r="BF741" t="s">
        <v>29</v>
      </c>
      <c r="BG741">
        <v>23</v>
      </c>
      <c r="BH741">
        <v>169</v>
      </c>
      <c r="BI741">
        <v>0.40899999999999997</v>
      </c>
      <c r="BJ741" t="s">
        <v>267</v>
      </c>
      <c r="BK741">
        <v>0.77049999999999996</v>
      </c>
      <c r="BL741">
        <v>0.5</v>
      </c>
      <c r="BM741">
        <v>2.15</v>
      </c>
      <c r="BN741">
        <v>1.5</v>
      </c>
    </row>
    <row r="742" spans="1:66" x14ac:dyDescent="0.25">
      <c r="A742">
        <v>3</v>
      </c>
      <c r="B742">
        <v>-2</v>
      </c>
      <c r="C742">
        <v>2</v>
      </c>
      <c r="D742">
        <v>2.9499999999999997</v>
      </c>
      <c r="E742">
        <v>3.4166666666666665</v>
      </c>
      <c r="F742">
        <v>2.3816666666666664</v>
      </c>
      <c r="G742" s="40">
        <v>0.39</v>
      </c>
      <c r="H742" s="40">
        <v>0.33</v>
      </c>
      <c r="I742" s="40">
        <v>0.27999999999999997</v>
      </c>
      <c r="J742">
        <v>2.9</v>
      </c>
      <c r="K742">
        <v>3.4</v>
      </c>
      <c r="L742">
        <v>2.35</v>
      </c>
      <c r="M742">
        <v>3</v>
      </c>
      <c r="N742">
        <v>3.45</v>
      </c>
      <c r="O742">
        <v>2.375</v>
      </c>
      <c r="P742">
        <v>2.95</v>
      </c>
      <c r="Q742">
        <v>3.4</v>
      </c>
      <c r="R742">
        <v>2.42</v>
      </c>
      <c r="S742">
        <v>0.33327085871364764</v>
      </c>
      <c r="T742">
        <v>0.25545871989504271</v>
      </c>
      <c r="U742">
        <v>0.41127042139130982</v>
      </c>
      <c r="V742">
        <v>0.31921110299488675</v>
      </c>
      <c r="W742">
        <v>0.27757487216946675</v>
      </c>
      <c r="X742">
        <v>0.40321402483564639</v>
      </c>
      <c r="Y742">
        <v>0.32397527267000037</v>
      </c>
      <c r="Z742">
        <v>0.28109619246367684</v>
      </c>
      <c r="AA742">
        <v>0.39492853486632279</v>
      </c>
      <c r="AB742">
        <v>0.32548574479284492</v>
      </c>
      <c r="AC742">
        <v>0.27137659484272875</v>
      </c>
      <c r="AD742">
        <v>0.40313766036442633</v>
      </c>
      <c r="AE742" t="s">
        <v>311</v>
      </c>
      <c r="AF742" t="s">
        <v>307</v>
      </c>
      <c r="AG742">
        <v>326.60000000000002</v>
      </c>
      <c r="AH742">
        <v>33</v>
      </c>
      <c r="AI742">
        <v>26</v>
      </c>
      <c r="AJ742">
        <v>12</v>
      </c>
      <c r="AK742">
        <v>27.4</v>
      </c>
      <c r="AL742">
        <v>41</v>
      </c>
      <c r="AM742">
        <v>6846</v>
      </c>
      <c r="AN742">
        <v>82</v>
      </c>
      <c r="AO742">
        <v>80</v>
      </c>
      <c r="AP742">
        <v>79</v>
      </c>
      <c r="AQ742">
        <v>4.5</v>
      </c>
      <c r="AR742" t="s">
        <v>46</v>
      </c>
      <c r="AS742" t="s">
        <v>306</v>
      </c>
      <c r="AT742" t="s">
        <v>307</v>
      </c>
      <c r="AU742">
        <v>640.4</v>
      </c>
      <c r="AV742">
        <v>25</v>
      </c>
      <c r="AW742">
        <v>14</v>
      </c>
      <c r="AX742">
        <v>20</v>
      </c>
      <c r="AY742">
        <v>27.3</v>
      </c>
      <c r="AZ742">
        <v>14</v>
      </c>
      <c r="BA742">
        <v>9319</v>
      </c>
      <c r="BB742">
        <v>87</v>
      </c>
      <c r="BC742">
        <v>81</v>
      </c>
      <c r="BD742">
        <v>83</v>
      </c>
      <c r="BE742">
        <v>5</v>
      </c>
      <c r="BF742" t="s">
        <v>28</v>
      </c>
      <c r="BG742">
        <v>-115</v>
      </c>
      <c r="BH742">
        <v>181</v>
      </c>
      <c r="BI742">
        <v>0.249</v>
      </c>
      <c r="BJ742" t="s">
        <v>322</v>
      </c>
      <c r="BK742">
        <v>0.5</v>
      </c>
      <c r="BL742">
        <v>0.65380000000000005</v>
      </c>
      <c r="BM742">
        <v>1.63</v>
      </c>
      <c r="BN742">
        <v>2.08</v>
      </c>
    </row>
    <row r="743" spans="1:66" x14ac:dyDescent="0.25">
      <c r="A743">
        <v>1</v>
      </c>
      <c r="B743">
        <v>1</v>
      </c>
      <c r="C743">
        <v>7</v>
      </c>
      <c r="D743">
        <v>3.2833333333333332</v>
      </c>
      <c r="E743">
        <v>3.4666666666666668</v>
      </c>
      <c r="F743">
        <v>2.1833333333333331</v>
      </c>
      <c r="G743" s="40">
        <v>0.23</v>
      </c>
      <c r="H743" s="40">
        <v>0.25</v>
      </c>
      <c r="I743" s="40">
        <v>0.52</v>
      </c>
      <c r="J743">
        <v>3.3</v>
      </c>
      <c r="K743">
        <v>3.4</v>
      </c>
      <c r="L743">
        <v>2.15</v>
      </c>
      <c r="M743">
        <v>3.3</v>
      </c>
      <c r="N743">
        <v>3.5</v>
      </c>
      <c r="O743">
        <v>2.2000000000000002</v>
      </c>
      <c r="P743">
        <v>3.25</v>
      </c>
      <c r="Q743">
        <v>3.5</v>
      </c>
      <c r="R743">
        <v>2.2000000000000002</v>
      </c>
      <c r="S743">
        <v>0.29480901077375116</v>
      </c>
      <c r="T743">
        <v>0.25269343780607245</v>
      </c>
      <c r="U743">
        <v>0.45249755142017628</v>
      </c>
      <c r="V743">
        <v>0.29045643153526973</v>
      </c>
      <c r="W743">
        <v>0.27385892116182575</v>
      </c>
      <c r="X743">
        <v>0.43568464730290457</v>
      </c>
      <c r="Y743">
        <v>0.29361296472831272</v>
      </c>
      <c r="Z743">
        <v>0.27264061010486179</v>
      </c>
      <c r="AA743">
        <v>0.43374642516682549</v>
      </c>
      <c r="AB743">
        <v>0.29295946901244457</v>
      </c>
      <c r="AC743">
        <v>0.26639765635758667</v>
      </c>
      <c r="AD743">
        <v>0.44064287462996882</v>
      </c>
      <c r="AE743" t="s">
        <v>320</v>
      </c>
      <c r="AF743" t="s">
        <v>307</v>
      </c>
      <c r="AG743">
        <v>248.8</v>
      </c>
      <c r="AH743">
        <v>26</v>
      </c>
      <c r="AI743">
        <v>16</v>
      </c>
      <c r="AJ743">
        <v>14</v>
      </c>
      <c r="AK743">
        <v>26.8</v>
      </c>
      <c r="AL743">
        <v>268</v>
      </c>
      <c r="AM743">
        <v>2679</v>
      </c>
      <c r="AN743">
        <v>78</v>
      </c>
      <c r="AO743">
        <v>76</v>
      </c>
      <c r="AP743">
        <v>75</v>
      </c>
      <c r="AQ743">
        <v>4</v>
      </c>
      <c r="AR743" t="s">
        <v>29</v>
      </c>
      <c r="AS743" t="s">
        <v>313</v>
      </c>
      <c r="AT743" t="s">
        <v>307</v>
      </c>
      <c r="AU743">
        <v>466.9</v>
      </c>
      <c r="AV743">
        <v>28</v>
      </c>
      <c r="AW743">
        <v>19</v>
      </c>
      <c r="AX743">
        <v>17</v>
      </c>
      <c r="AY743">
        <v>26.2</v>
      </c>
      <c r="AZ743">
        <v>121</v>
      </c>
      <c r="BA743">
        <v>4490</v>
      </c>
      <c r="BB743">
        <v>84</v>
      </c>
      <c r="BC743">
        <v>78</v>
      </c>
      <c r="BD743">
        <v>80</v>
      </c>
      <c r="BE743">
        <v>4.5</v>
      </c>
      <c r="BF743" t="s">
        <v>29</v>
      </c>
      <c r="BG743">
        <v>-57</v>
      </c>
      <c r="BH743">
        <v>198</v>
      </c>
      <c r="BI743">
        <v>0.28599999999999998</v>
      </c>
      <c r="BJ743" t="s">
        <v>322</v>
      </c>
      <c r="BK743">
        <v>0.26829999999999998</v>
      </c>
      <c r="BL743">
        <v>0.56599999999999995</v>
      </c>
      <c r="BM743">
        <v>1.24</v>
      </c>
      <c r="BN743">
        <v>1.85</v>
      </c>
    </row>
    <row r="744" spans="1:66" x14ac:dyDescent="0.25">
      <c r="A744">
        <v>2</v>
      </c>
      <c r="B744">
        <v>0</v>
      </c>
      <c r="C744">
        <v>4</v>
      </c>
      <c r="D744">
        <v>1.6533333333333331</v>
      </c>
      <c r="E744">
        <v>4.166666666666667</v>
      </c>
      <c r="F744">
        <v>4.8500000000000005</v>
      </c>
      <c r="G744" s="40">
        <v>0.44</v>
      </c>
      <c r="H744" s="40">
        <v>0.34</v>
      </c>
      <c r="I744" s="40">
        <v>0.22000000000000003</v>
      </c>
      <c r="J744">
        <v>1.63</v>
      </c>
      <c r="K744">
        <v>4.0999999999999996</v>
      </c>
      <c r="L744">
        <v>4.8</v>
      </c>
      <c r="M744">
        <v>1.65</v>
      </c>
      <c r="N744">
        <v>4.2</v>
      </c>
      <c r="O744">
        <v>5</v>
      </c>
      <c r="P744">
        <v>1.68</v>
      </c>
      <c r="Q744">
        <v>4.2</v>
      </c>
      <c r="R744">
        <v>4.75</v>
      </c>
      <c r="S744">
        <v>0.60293058481415296</v>
      </c>
      <c r="T744">
        <v>0.19232423742604093</v>
      </c>
      <c r="U744">
        <v>0.20474517775980608</v>
      </c>
      <c r="V744">
        <v>0.58043117744610284</v>
      </c>
      <c r="W744">
        <v>0.22802653399668321</v>
      </c>
      <c r="X744">
        <v>0.19154228855721392</v>
      </c>
      <c r="Y744">
        <v>0.57022809123649465</v>
      </c>
      <c r="Z744">
        <v>0.22809123649459781</v>
      </c>
      <c r="AA744">
        <v>0.20168067226890757</v>
      </c>
      <c r="AB744">
        <v>0.58452995116558348</v>
      </c>
      <c r="AC744">
        <v>0.21614733597244062</v>
      </c>
      <c r="AD744">
        <v>0.19932271286197586</v>
      </c>
      <c r="AE744" t="s">
        <v>317</v>
      </c>
      <c r="AF744" t="s">
        <v>307</v>
      </c>
      <c r="AG744">
        <v>216.9</v>
      </c>
      <c r="AH744">
        <v>27</v>
      </c>
      <c r="AI744">
        <v>15</v>
      </c>
      <c r="AJ744">
        <v>12</v>
      </c>
      <c r="AK744">
        <v>27.2</v>
      </c>
      <c r="AL744">
        <v>218</v>
      </c>
      <c r="AM744">
        <v>3086</v>
      </c>
      <c r="AN744">
        <v>79</v>
      </c>
      <c r="AO744">
        <v>77</v>
      </c>
      <c r="AP744">
        <v>72</v>
      </c>
      <c r="AQ744">
        <v>4</v>
      </c>
      <c r="AR744" t="s">
        <v>29</v>
      </c>
      <c r="AS744" t="s">
        <v>319</v>
      </c>
      <c r="AT744" t="s">
        <v>307</v>
      </c>
      <c r="AU744">
        <v>153.53</v>
      </c>
      <c r="AV744">
        <v>29</v>
      </c>
      <c r="AW744">
        <v>17</v>
      </c>
      <c r="AX744">
        <v>11</v>
      </c>
      <c r="AY744">
        <v>26.9</v>
      </c>
      <c r="AZ744">
        <v>246</v>
      </c>
      <c r="BA744">
        <v>2866</v>
      </c>
      <c r="BB744">
        <v>76</v>
      </c>
      <c r="BC744">
        <v>73</v>
      </c>
      <c r="BD744">
        <v>73</v>
      </c>
      <c r="BE744">
        <v>4</v>
      </c>
      <c r="BF744" t="s">
        <v>29</v>
      </c>
      <c r="BG744">
        <v>5</v>
      </c>
      <c r="BH744">
        <v>18</v>
      </c>
      <c r="BI744">
        <v>0.2</v>
      </c>
      <c r="BJ744" t="s">
        <v>322</v>
      </c>
      <c r="BK744">
        <v>0.43590000000000001</v>
      </c>
      <c r="BL744">
        <v>0.26829999999999998</v>
      </c>
      <c r="BM744">
        <v>1.64</v>
      </c>
      <c r="BN744">
        <v>1.1499999999999999</v>
      </c>
    </row>
    <row r="745" spans="1:66" x14ac:dyDescent="0.25">
      <c r="A745">
        <v>1</v>
      </c>
      <c r="B745">
        <v>1</v>
      </c>
      <c r="C745">
        <v>5</v>
      </c>
      <c r="D745">
        <v>2.27</v>
      </c>
      <c r="E745">
        <v>3.3666666666666667</v>
      </c>
      <c r="F745">
        <v>3.1666666666666665</v>
      </c>
      <c r="G745" s="40">
        <v>0.24</v>
      </c>
      <c r="H745" s="40">
        <v>0.4</v>
      </c>
      <c r="I745" s="40">
        <v>0.36</v>
      </c>
      <c r="J745">
        <v>2.2799999999999998</v>
      </c>
      <c r="K745">
        <v>3.25</v>
      </c>
      <c r="L745">
        <v>3.1</v>
      </c>
      <c r="M745">
        <v>2.25</v>
      </c>
      <c r="N745">
        <v>3.5</v>
      </c>
      <c r="O745">
        <v>3.2</v>
      </c>
      <c r="P745">
        <v>2.2799999999999998</v>
      </c>
      <c r="Q745">
        <v>3.35</v>
      </c>
      <c r="R745">
        <v>3.2</v>
      </c>
      <c r="S745">
        <v>0.42298315491657734</v>
      </c>
      <c r="T745">
        <v>0.26591955695123054</v>
      </c>
      <c r="U745">
        <v>0.31109728813219228</v>
      </c>
      <c r="V745">
        <v>0.42626070409134154</v>
      </c>
      <c r="W745">
        <v>0.27402473834443386</v>
      </c>
      <c r="X745">
        <v>0.29971455756422449</v>
      </c>
      <c r="Y745">
        <v>0.41786855850939431</v>
      </c>
      <c r="Z745">
        <v>0.28440009355266238</v>
      </c>
      <c r="AA745">
        <v>0.29773134793794337</v>
      </c>
      <c r="AB745">
        <v>0.42237080583910441</v>
      </c>
      <c r="AC745">
        <v>0.27478146294944228</v>
      </c>
      <c r="AD745">
        <v>0.30284773121145342</v>
      </c>
      <c r="AE745" t="s">
        <v>309</v>
      </c>
      <c r="AF745" t="s">
        <v>307</v>
      </c>
      <c r="AG745">
        <v>573.29999999999995</v>
      </c>
      <c r="AH745">
        <v>28</v>
      </c>
      <c r="AI745">
        <v>19</v>
      </c>
      <c r="AJ745">
        <v>20</v>
      </c>
      <c r="AK745">
        <v>28.8</v>
      </c>
      <c r="AL745">
        <v>37</v>
      </c>
      <c r="AM745">
        <v>7235</v>
      </c>
      <c r="AN745">
        <v>83</v>
      </c>
      <c r="AO745">
        <v>81</v>
      </c>
      <c r="AP745">
        <v>83</v>
      </c>
      <c r="AQ745">
        <v>4.5</v>
      </c>
      <c r="AR745" t="s">
        <v>29</v>
      </c>
      <c r="AS745" t="s">
        <v>310</v>
      </c>
      <c r="AT745" t="s">
        <v>307</v>
      </c>
      <c r="AU745">
        <v>517.75</v>
      </c>
      <c r="AV745">
        <v>25</v>
      </c>
      <c r="AW745">
        <v>18</v>
      </c>
      <c r="AX745">
        <v>17</v>
      </c>
      <c r="AY745">
        <v>27.6</v>
      </c>
      <c r="AZ745">
        <v>38</v>
      </c>
      <c r="BA745">
        <v>7165</v>
      </c>
      <c r="BB745">
        <v>82</v>
      </c>
      <c r="BC745">
        <v>80</v>
      </c>
      <c r="BD745">
        <v>80</v>
      </c>
      <c r="BE745">
        <v>4.5</v>
      </c>
      <c r="BF745" t="s">
        <v>29</v>
      </c>
      <c r="BG745">
        <v>66</v>
      </c>
      <c r="BH745">
        <v>272</v>
      </c>
      <c r="BI745">
        <v>0.45600000000000002</v>
      </c>
      <c r="BJ745" t="s">
        <v>322</v>
      </c>
      <c r="BK745">
        <v>0.64580000000000004</v>
      </c>
      <c r="BL745">
        <v>0.58819999999999995</v>
      </c>
      <c r="BM745">
        <v>2.1</v>
      </c>
      <c r="BN745">
        <v>2.02</v>
      </c>
    </row>
    <row r="746" spans="1:66" x14ac:dyDescent="0.25">
      <c r="A746">
        <v>1</v>
      </c>
      <c r="B746">
        <v>1</v>
      </c>
      <c r="C746">
        <v>3</v>
      </c>
      <c r="D746">
        <v>2.1</v>
      </c>
      <c r="E746">
        <v>3.3000000000000003</v>
      </c>
      <c r="F746">
        <v>3.6833333333333336</v>
      </c>
      <c r="G746" s="40">
        <v>0.34</v>
      </c>
      <c r="H746" s="40">
        <v>0.37</v>
      </c>
      <c r="I746" s="40">
        <v>0.28999999999999992</v>
      </c>
      <c r="J746">
        <v>2.1</v>
      </c>
      <c r="K746">
        <v>3.25</v>
      </c>
      <c r="L746">
        <v>3.6</v>
      </c>
      <c r="M746">
        <v>2.1</v>
      </c>
      <c r="N746">
        <v>3.35</v>
      </c>
      <c r="O746">
        <v>3.75</v>
      </c>
      <c r="P746">
        <v>2.1</v>
      </c>
      <c r="Q746">
        <v>3.3</v>
      </c>
      <c r="R746">
        <v>3.7</v>
      </c>
      <c r="S746">
        <v>0.46601941747572811</v>
      </c>
      <c r="T746">
        <v>0.26213592233009714</v>
      </c>
      <c r="U746">
        <v>0.27184466019417475</v>
      </c>
      <c r="V746">
        <v>0.45727545727545726</v>
      </c>
      <c r="W746">
        <v>0.28665028665028669</v>
      </c>
      <c r="X746">
        <v>0.2560742560742561</v>
      </c>
      <c r="Y746">
        <v>0.45373467112597549</v>
      </c>
      <c r="Z746">
        <v>0.28874024526198444</v>
      </c>
      <c r="AA746">
        <v>0.25752508361204013</v>
      </c>
      <c r="AB746">
        <v>0.45900984862572031</v>
      </c>
      <c r="AC746">
        <v>0.27917548474745613</v>
      </c>
      <c r="AD746">
        <v>0.26181466662682368</v>
      </c>
      <c r="AE746" t="s">
        <v>315</v>
      </c>
      <c r="AF746" t="s">
        <v>307</v>
      </c>
      <c r="AG746">
        <v>184.13</v>
      </c>
      <c r="AH746">
        <v>30</v>
      </c>
      <c r="AI746">
        <v>20</v>
      </c>
      <c r="AJ746">
        <v>13</v>
      </c>
      <c r="AK746">
        <v>26</v>
      </c>
      <c r="AL746">
        <v>162</v>
      </c>
      <c r="AM746">
        <v>3817</v>
      </c>
      <c r="AN746">
        <v>76</v>
      </c>
      <c r="AO746">
        <v>74</v>
      </c>
      <c r="AP746">
        <v>77</v>
      </c>
      <c r="AQ746">
        <v>4</v>
      </c>
      <c r="AR746" t="s">
        <v>46</v>
      </c>
      <c r="AS746" t="s">
        <v>316</v>
      </c>
      <c r="AT746" t="s">
        <v>307</v>
      </c>
      <c r="AU746">
        <v>101.6</v>
      </c>
      <c r="AV746">
        <v>26</v>
      </c>
      <c r="AW746">
        <v>22</v>
      </c>
      <c r="AX746">
        <v>5</v>
      </c>
      <c r="AY746">
        <v>27.4</v>
      </c>
      <c r="AZ746">
        <v>217</v>
      </c>
      <c r="BA746">
        <v>3100</v>
      </c>
      <c r="BB746">
        <v>76</v>
      </c>
      <c r="BC746">
        <v>75</v>
      </c>
      <c r="BD746">
        <v>72</v>
      </c>
      <c r="BE746">
        <v>4</v>
      </c>
      <c r="BF746" t="s">
        <v>29</v>
      </c>
      <c r="BG746">
        <v>9</v>
      </c>
      <c r="BH746">
        <v>103</v>
      </c>
      <c r="BI746">
        <v>0.36</v>
      </c>
      <c r="BJ746" t="s">
        <v>322</v>
      </c>
      <c r="BK746">
        <v>0.2195</v>
      </c>
      <c r="BL746">
        <v>0.27500000000000002</v>
      </c>
      <c r="BM746">
        <v>1.34</v>
      </c>
      <c r="BN746">
        <v>1.1299999999999999</v>
      </c>
    </row>
    <row r="747" spans="1:66" x14ac:dyDescent="0.25">
      <c r="A747">
        <v>1</v>
      </c>
      <c r="B747">
        <v>1</v>
      </c>
      <c r="C747">
        <v>5</v>
      </c>
      <c r="D747">
        <v>2.8833333333333329</v>
      </c>
      <c r="E747">
        <v>3.35</v>
      </c>
      <c r="F747">
        <v>2.3433333333333333</v>
      </c>
      <c r="G747" s="40">
        <v>0.17</v>
      </c>
      <c r="H747" s="40">
        <v>0.34</v>
      </c>
      <c r="I747" s="40">
        <v>0.48999999999999994</v>
      </c>
      <c r="J747">
        <v>2.8</v>
      </c>
      <c r="K747">
        <v>3.2</v>
      </c>
      <c r="L747">
        <v>2.33</v>
      </c>
      <c r="M747">
        <v>2.95</v>
      </c>
      <c r="N747">
        <v>3.45</v>
      </c>
      <c r="O747">
        <v>2.35</v>
      </c>
      <c r="P747">
        <v>2.9</v>
      </c>
      <c r="Q747">
        <v>3.4</v>
      </c>
      <c r="R747">
        <v>2.35</v>
      </c>
      <c r="S747">
        <v>0.33254787014952536</v>
      </c>
      <c r="T747">
        <v>0.26782378803988621</v>
      </c>
      <c r="U747">
        <v>0.39962834181058843</v>
      </c>
      <c r="V747">
        <v>0.32150292455635965</v>
      </c>
      <c r="W747">
        <v>0.27490829780906112</v>
      </c>
      <c r="X747">
        <v>0.40358877763457912</v>
      </c>
      <c r="Y747">
        <v>0.32394080681127108</v>
      </c>
      <c r="Z747">
        <v>0.27630245286843708</v>
      </c>
      <c r="AA747">
        <v>0.39975674032029196</v>
      </c>
      <c r="AB747">
        <v>0.32599720050571868</v>
      </c>
      <c r="AC747">
        <v>0.27301151290579478</v>
      </c>
      <c r="AD747">
        <v>0.40099128658848654</v>
      </c>
      <c r="AE747" t="s">
        <v>104</v>
      </c>
      <c r="AF747" t="s">
        <v>85</v>
      </c>
      <c r="AG747">
        <v>8.68</v>
      </c>
      <c r="AH747">
        <v>32</v>
      </c>
      <c r="AI747">
        <v>5</v>
      </c>
      <c r="AJ747">
        <v>0</v>
      </c>
      <c r="AK747">
        <v>27.6</v>
      </c>
      <c r="AL747">
        <v>277</v>
      </c>
      <c r="AM747">
        <v>2592</v>
      </c>
      <c r="AN747">
        <v>65</v>
      </c>
      <c r="AO747">
        <v>66</v>
      </c>
      <c r="AP747">
        <v>66</v>
      </c>
      <c r="AQ747">
        <v>2.5</v>
      </c>
      <c r="AR747" t="s">
        <v>43</v>
      </c>
      <c r="AS747" t="s">
        <v>88</v>
      </c>
      <c r="AT747" t="s">
        <v>85</v>
      </c>
      <c r="AU747">
        <v>44.55</v>
      </c>
      <c r="AV747">
        <v>22</v>
      </c>
      <c r="AW747">
        <v>1</v>
      </c>
      <c r="AX747">
        <v>1</v>
      </c>
      <c r="AY747">
        <v>25.7</v>
      </c>
      <c r="AZ747">
        <v>69</v>
      </c>
      <c r="BA747">
        <v>5669</v>
      </c>
      <c r="BB747">
        <v>74</v>
      </c>
      <c r="BC747">
        <v>71</v>
      </c>
      <c r="BD747">
        <v>69</v>
      </c>
      <c r="BE747">
        <v>3</v>
      </c>
      <c r="BF747" t="s">
        <v>29</v>
      </c>
      <c r="BG747">
        <v>-4</v>
      </c>
      <c r="BH747">
        <v>6</v>
      </c>
      <c r="BI747">
        <v>0.14299999999999999</v>
      </c>
      <c r="BJ747" t="s">
        <v>85</v>
      </c>
      <c r="BK747">
        <v>0.1842</v>
      </c>
      <c r="BL747">
        <v>0.41670000000000001</v>
      </c>
      <c r="BM747">
        <v>0.84</v>
      </c>
      <c r="BN747">
        <v>1.54</v>
      </c>
    </row>
    <row r="748" spans="1:66" x14ac:dyDescent="0.25">
      <c r="A748">
        <v>3</v>
      </c>
      <c r="B748">
        <v>-2</v>
      </c>
      <c r="C748">
        <v>2</v>
      </c>
      <c r="D748">
        <v>1.42</v>
      </c>
      <c r="E748">
        <v>4.2443333333333335</v>
      </c>
      <c r="F748">
        <v>7.3999999999999995</v>
      </c>
      <c r="G748" s="40">
        <v>0.35</v>
      </c>
      <c r="H748" s="40">
        <v>0.4</v>
      </c>
      <c r="I748" s="40">
        <v>0.25</v>
      </c>
      <c r="J748">
        <v>1.4</v>
      </c>
      <c r="K748">
        <v>4</v>
      </c>
      <c r="L748">
        <v>7.5</v>
      </c>
      <c r="M748">
        <v>1.42</v>
      </c>
      <c r="N748">
        <v>4.3330000000000002</v>
      </c>
      <c r="O748">
        <v>7.5</v>
      </c>
      <c r="P748">
        <v>1.44</v>
      </c>
      <c r="Q748">
        <v>4.4000000000000004</v>
      </c>
      <c r="R748">
        <v>7.2</v>
      </c>
      <c r="S748">
        <v>0.70025756600128775</v>
      </c>
      <c r="T748">
        <v>0.16902768834513843</v>
      </c>
      <c r="U748">
        <v>0.13071474565357369</v>
      </c>
      <c r="V748">
        <v>0.65917368554712386</v>
      </c>
      <c r="W748">
        <v>0.21602276332262077</v>
      </c>
      <c r="X748">
        <v>0.12480355113025544</v>
      </c>
      <c r="Y748">
        <v>0.65476190476190488</v>
      </c>
      <c r="Z748">
        <v>0.2142857142857143</v>
      </c>
      <c r="AA748">
        <v>0.13095238095238096</v>
      </c>
      <c r="AB748">
        <v>0.67139771877010546</v>
      </c>
      <c r="AC748">
        <v>0.19977872198449118</v>
      </c>
      <c r="AD748">
        <v>0.12882355924540337</v>
      </c>
      <c r="AE748" t="s">
        <v>102</v>
      </c>
      <c r="AF748" t="s">
        <v>85</v>
      </c>
      <c r="AG748">
        <v>27.13</v>
      </c>
      <c r="AH748">
        <v>27</v>
      </c>
      <c r="AI748">
        <v>2</v>
      </c>
      <c r="AJ748">
        <v>0</v>
      </c>
      <c r="AK748">
        <v>25.3</v>
      </c>
      <c r="AL748">
        <v>232</v>
      </c>
      <c r="AM748">
        <v>3005</v>
      </c>
      <c r="AN748">
        <v>65</v>
      </c>
      <c r="AO748">
        <v>70</v>
      </c>
      <c r="AP748">
        <v>65</v>
      </c>
      <c r="AQ748">
        <v>3</v>
      </c>
      <c r="AR748" t="s">
        <v>46</v>
      </c>
      <c r="AS748" t="s">
        <v>105</v>
      </c>
      <c r="AT748" t="s">
        <v>85</v>
      </c>
      <c r="AU748">
        <v>11.18</v>
      </c>
      <c r="AV748">
        <v>31</v>
      </c>
      <c r="AW748">
        <v>31</v>
      </c>
      <c r="AX748">
        <v>5</v>
      </c>
      <c r="AY748">
        <v>0</v>
      </c>
      <c r="AZ748">
        <v>280</v>
      </c>
      <c r="BA748">
        <v>2561</v>
      </c>
      <c r="BB748">
        <v>66</v>
      </c>
      <c r="BC748">
        <v>67</v>
      </c>
      <c r="BD748">
        <v>69</v>
      </c>
      <c r="BE748">
        <v>2.5</v>
      </c>
      <c r="BF748" t="s">
        <v>46</v>
      </c>
      <c r="BG748">
        <v>14</v>
      </c>
      <c r="BH748">
        <v>22</v>
      </c>
      <c r="BI748">
        <v>0.54500000000000004</v>
      </c>
      <c r="BJ748" t="s">
        <v>85</v>
      </c>
      <c r="BK748">
        <v>0.3846</v>
      </c>
      <c r="BL748">
        <v>0.25</v>
      </c>
      <c r="BM748">
        <v>1.1299999999999999</v>
      </c>
      <c r="BN748">
        <v>0.97</v>
      </c>
    </row>
    <row r="749" spans="1:66" x14ac:dyDescent="0.25">
      <c r="A749">
        <v>1</v>
      </c>
      <c r="B749">
        <v>3</v>
      </c>
      <c r="C749">
        <v>5</v>
      </c>
      <c r="D749">
        <v>2.09</v>
      </c>
      <c r="E749">
        <v>3.15</v>
      </c>
      <c r="F749">
        <v>3.5666666666666664</v>
      </c>
      <c r="G749" s="40">
        <v>0.27</v>
      </c>
      <c r="H749" s="40">
        <v>0.49</v>
      </c>
      <c r="I749" s="40">
        <v>0.24</v>
      </c>
      <c r="J749">
        <v>2.04</v>
      </c>
      <c r="K749">
        <v>3.05</v>
      </c>
      <c r="L749">
        <v>3.55</v>
      </c>
      <c r="M749">
        <v>2.1</v>
      </c>
      <c r="N749">
        <v>3.2</v>
      </c>
      <c r="O749">
        <v>3.6</v>
      </c>
      <c r="P749">
        <v>2.13</v>
      </c>
      <c r="Q749">
        <v>3.2</v>
      </c>
      <c r="R749">
        <v>3.55</v>
      </c>
      <c r="S749">
        <v>0.46095693091608397</v>
      </c>
      <c r="T749">
        <v>0.27415514258565926</v>
      </c>
      <c r="U749">
        <v>0.26488792649825671</v>
      </c>
      <c r="V749">
        <v>0.44651162790697674</v>
      </c>
      <c r="W749">
        <v>0.2930232558139535</v>
      </c>
      <c r="X749">
        <v>0.26046511627906976</v>
      </c>
      <c r="Y749">
        <v>0.44137931034482764</v>
      </c>
      <c r="Z749">
        <v>0.29379310344827586</v>
      </c>
      <c r="AA749">
        <v>0.26482758620689656</v>
      </c>
      <c r="AB749">
        <v>0.44961595638929608</v>
      </c>
      <c r="AC749">
        <v>0.28699050061596282</v>
      </c>
      <c r="AD749">
        <v>0.26339354299474099</v>
      </c>
      <c r="AE749" t="s">
        <v>97</v>
      </c>
      <c r="AF749" t="s">
        <v>85</v>
      </c>
      <c r="AG749">
        <v>28.93</v>
      </c>
      <c r="AH749">
        <v>23</v>
      </c>
      <c r="AI749">
        <v>4</v>
      </c>
      <c r="AJ749">
        <v>0</v>
      </c>
      <c r="AK749">
        <v>26.5</v>
      </c>
      <c r="AL749">
        <v>151</v>
      </c>
      <c r="AM749">
        <v>3948</v>
      </c>
      <c r="AN749">
        <v>69</v>
      </c>
      <c r="AO749">
        <v>72</v>
      </c>
      <c r="AP749">
        <v>69</v>
      </c>
      <c r="AQ749">
        <v>3</v>
      </c>
      <c r="AR749" t="s">
        <v>29</v>
      </c>
      <c r="AS749" t="s">
        <v>101</v>
      </c>
      <c r="AT749" t="s">
        <v>85</v>
      </c>
      <c r="AU749">
        <v>16.600000000000001</v>
      </c>
      <c r="AV749">
        <v>31</v>
      </c>
      <c r="AW749">
        <v>4</v>
      </c>
      <c r="AX749">
        <v>0</v>
      </c>
      <c r="AY749">
        <v>26</v>
      </c>
      <c r="AZ749">
        <v>225</v>
      </c>
      <c r="BA749">
        <v>3041</v>
      </c>
      <c r="BB749">
        <v>68</v>
      </c>
      <c r="BC749">
        <v>68</v>
      </c>
      <c r="BD749">
        <v>68</v>
      </c>
      <c r="BE749">
        <v>2.5</v>
      </c>
      <c r="BF749" t="s">
        <v>46</v>
      </c>
      <c r="BG749">
        <v>9</v>
      </c>
      <c r="BH749">
        <v>23</v>
      </c>
      <c r="BI749">
        <v>0.375</v>
      </c>
      <c r="BJ749" t="s">
        <v>85</v>
      </c>
      <c r="BK749">
        <v>0.2571</v>
      </c>
      <c r="BL749">
        <v>0.23680000000000001</v>
      </c>
      <c r="BM749">
        <v>0.83</v>
      </c>
      <c r="BN749">
        <v>0.82</v>
      </c>
    </row>
    <row r="750" spans="1:66" x14ac:dyDescent="0.25">
      <c r="A750">
        <v>3</v>
      </c>
      <c r="B750">
        <v>-1</v>
      </c>
      <c r="C750">
        <v>1</v>
      </c>
      <c r="D750">
        <v>2.3833333333333333</v>
      </c>
      <c r="E750">
        <v>2.9833333333333329</v>
      </c>
      <c r="F750">
        <v>3.1166666666666671</v>
      </c>
      <c r="G750" s="40">
        <v>0.28000000000000003</v>
      </c>
      <c r="H750" s="40">
        <v>0.3</v>
      </c>
      <c r="I750" s="40">
        <v>0.42</v>
      </c>
      <c r="J750">
        <v>2.35</v>
      </c>
      <c r="K750">
        <v>2.9</v>
      </c>
      <c r="L750">
        <v>3</v>
      </c>
      <c r="M750">
        <v>2.4</v>
      </c>
      <c r="N750">
        <v>3</v>
      </c>
      <c r="O750">
        <v>3.2</v>
      </c>
      <c r="P750">
        <v>2.4</v>
      </c>
      <c r="Q750">
        <v>3.05</v>
      </c>
      <c r="R750">
        <v>3.15</v>
      </c>
      <c r="S750">
        <v>0.39535613429557581</v>
      </c>
      <c r="T750">
        <v>0.29494822717288982</v>
      </c>
      <c r="U750">
        <v>0.30969563853153437</v>
      </c>
      <c r="V750">
        <v>0.39215686274509803</v>
      </c>
      <c r="W750">
        <v>0.31372549019607843</v>
      </c>
      <c r="X750">
        <v>0.29411764705882354</v>
      </c>
      <c r="Y750">
        <v>0.39234303215926492</v>
      </c>
      <c r="Z750">
        <v>0.30872894333843798</v>
      </c>
      <c r="AA750">
        <v>0.29892802450229711</v>
      </c>
      <c r="AB750">
        <v>0.39328534306664625</v>
      </c>
      <c r="AC750">
        <v>0.3058008869024687</v>
      </c>
      <c r="AD750">
        <v>0.30091377003088499</v>
      </c>
      <c r="AE750" t="s">
        <v>90</v>
      </c>
      <c r="AF750" t="s">
        <v>85</v>
      </c>
      <c r="AG750">
        <v>29.75</v>
      </c>
      <c r="AH750">
        <v>24</v>
      </c>
      <c r="AI750">
        <v>3</v>
      </c>
      <c r="AJ750">
        <v>0</v>
      </c>
      <c r="AK750">
        <v>26.6</v>
      </c>
      <c r="AL750">
        <v>88</v>
      </c>
      <c r="AM750">
        <v>5121</v>
      </c>
      <c r="AN750">
        <v>73</v>
      </c>
      <c r="AO750">
        <v>71</v>
      </c>
      <c r="AP750">
        <v>71</v>
      </c>
      <c r="AQ750">
        <v>3.5</v>
      </c>
      <c r="AR750" t="s">
        <v>29</v>
      </c>
      <c r="AS750" t="s">
        <v>100</v>
      </c>
      <c r="AT750" t="s">
        <v>85</v>
      </c>
      <c r="AU750">
        <v>15.1</v>
      </c>
      <c r="AV750">
        <v>31</v>
      </c>
      <c r="AW750">
        <v>4</v>
      </c>
      <c r="AX750">
        <v>0</v>
      </c>
      <c r="AY750">
        <v>26.5</v>
      </c>
      <c r="AZ750">
        <v>224</v>
      </c>
      <c r="BA750">
        <v>3048</v>
      </c>
      <c r="BB750">
        <v>69</v>
      </c>
      <c r="BC750">
        <v>68</v>
      </c>
      <c r="BD750">
        <v>68</v>
      </c>
      <c r="BE750">
        <v>2.5</v>
      </c>
      <c r="BF750" t="s">
        <v>46</v>
      </c>
      <c r="BG750">
        <v>32</v>
      </c>
      <c r="BH750">
        <v>62</v>
      </c>
      <c r="BI750">
        <v>0.56699999999999995</v>
      </c>
      <c r="BJ750" t="s">
        <v>85</v>
      </c>
      <c r="BK750">
        <v>0.45950000000000002</v>
      </c>
      <c r="BL750">
        <v>0.31580000000000003</v>
      </c>
      <c r="BM750">
        <v>1.43</v>
      </c>
      <c r="BN750">
        <v>1.21</v>
      </c>
    </row>
    <row r="751" spans="1:66" x14ac:dyDescent="0.25">
      <c r="A751">
        <v>2</v>
      </c>
      <c r="B751">
        <v>0</v>
      </c>
      <c r="C751">
        <v>0</v>
      </c>
      <c r="D751">
        <v>2.16</v>
      </c>
      <c r="E751">
        <v>3.2666666666666671</v>
      </c>
      <c r="F751">
        <v>3.2833333333333332</v>
      </c>
      <c r="G751" s="40">
        <v>0.34</v>
      </c>
      <c r="H751" s="40">
        <v>0.37</v>
      </c>
      <c r="I751" s="40">
        <v>0.28999999999999992</v>
      </c>
      <c r="J751">
        <v>2.1</v>
      </c>
      <c r="K751">
        <v>3.2</v>
      </c>
      <c r="L751">
        <v>3.2</v>
      </c>
      <c r="M751">
        <v>2.2000000000000002</v>
      </c>
      <c r="N751">
        <v>3.3</v>
      </c>
      <c r="O751">
        <v>3.35</v>
      </c>
      <c r="P751">
        <v>2.1800000000000002</v>
      </c>
      <c r="Q751">
        <v>3.3</v>
      </c>
      <c r="R751">
        <v>3.3</v>
      </c>
      <c r="S751">
        <v>0.44432800628766045</v>
      </c>
      <c r="T751">
        <v>0.2640817395860624</v>
      </c>
      <c r="U751">
        <v>0.2915902541262772</v>
      </c>
      <c r="V751">
        <v>0.43040685224839398</v>
      </c>
      <c r="W751">
        <v>0.28693790149892934</v>
      </c>
      <c r="X751">
        <v>0.28265524625267668</v>
      </c>
      <c r="Y751">
        <v>0.43080939947780678</v>
      </c>
      <c r="Z751">
        <v>0.28459530026109664</v>
      </c>
      <c r="AA751">
        <v>0.28459530026109664</v>
      </c>
      <c r="AB751">
        <v>0.43518141933795373</v>
      </c>
      <c r="AC751">
        <v>0.27853831378202948</v>
      </c>
      <c r="AD751">
        <v>0.28628026688001684</v>
      </c>
      <c r="AE751" t="s">
        <v>89</v>
      </c>
      <c r="AF751" t="s">
        <v>85</v>
      </c>
      <c r="AG751">
        <v>31.6</v>
      </c>
      <c r="AH751">
        <v>27</v>
      </c>
      <c r="AI751">
        <v>3</v>
      </c>
      <c r="AJ751">
        <v>1</v>
      </c>
      <c r="AK751">
        <v>27.6</v>
      </c>
      <c r="AL751">
        <v>78</v>
      </c>
      <c r="AM751">
        <v>5364</v>
      </c>
      <c r="AN751">
        <v>71</v>
      </c>
      <c r="AO751">
        <v>71</v>
      </c>
      <c r="AP751">
        <v>72</v>
      </c>
      <c r="AQ751">
        <v>3.5</v>
      </c>
      <c r="AR751" t="s">
        <v>29</v>
      </c>
      <c r="AS751" t="s">
        <v>103</v>
      </c>
      <c r="AT751" t="s">
        <v>85</v>
      </c>
      <c r="AU751">
        <v>15.98</v>
      </c>
      <c r="AV751">
        <v>29</v>
      </c>
      <c r="AW751">
        <v>3</v>
      </c>
      <c r="AX751">
        <v>0</v>
      </c>
      <c r="AY751">
        <v>25.8</v>
      </c>
      <c r="AZ751">
        <v>235</v>
      </c>
      <c r="BA751">
        <v>2968</v>
      </c>
      <c r="BB751">
        <v>67</v>
      </c>
      <c r="BC751">
        <v>68</v>
      </c>
      <c r="BD751">
        <v>67</v>
      </c>
      <c r="BE751">
        <v>2.5</v>
      </c>
      <c r="BF751" t="s">
        <v>43</v>
      </c>
      <c r="BG751">
        <v>0</v>
      </c>
      <c r="BH751">
        <v>27</v>
      </c>
      <c r="BI751">
        <v>0.36799999999999999</v>
      </c>
      <c r="BJ751" t="s">
        <v>85</v>
      </c>
      <c r="BK751">
        <v>0.47499999999999998</v>
      </c>
      <c r="BL751">
        <v>0.22220000000000001</v>
      </c>
      <c r="BM751">
        <v>1</v>
      </c>
      <c r="BN751">
        <v>0.92</v>
      </c>
    </row>
    <row r="752" spans="1:66" x14ac:dyDescent="0.25">
      <c r="A752">
        <v>1</v>
      </c>
      <c r="B752">
        <v>2</v>
      </c>
      <c r="C752">
        <v>4</v>
      </c>
      <c r="D752">
        <v>2.1966666666666668</v>
      </c>
      <c r="E752">
        <v>3.4833333333333329</v>
      </c>
      <c r="F752">
        <v>3.0500000000000003</v>
      </c>
      <c r="G752" s="40">
        <v>0.44</v>
      </c>
      <c r="H752" s="40">
        <v>0.31</v>
      </c>
      <c r="I752" s="40">
        <v>0.25000000000000006</v>
      </c>
      <c r="J752">
        <v>2.1</v>
      </c>
      <c r="K752">
        <v>3.5</v>
      </c>
      <c r="L752">
        <v>3</v>
      </c>
      <c r="M752">
        <v>2.25</v>
      </c>
      <c r="N752">
        <v>3.45</v>
      </c>
      <c r="O752">
        <v>3.1</v>
      </c>
      <c r="P752">
        <v>2.2400000000000002</v>
      </c>
      <c r="Q752">
        <v>3.5</v>
      </c>
      <c r="R752">
        <v>3.05</v>
      </c>
      <c r="S752">
        <v>0.44581091468101458</v>
      </c>
      <c r="T752">
        <v>0.24212144504227512</v>
      </c>
      <c r="U752">
        <v>0.31206764027671025</v>
      </c>
      <c r="V752">
        <v>0.42052491890297844</v>
      </c>
      <c r="W752">
        <v>0.27425538189324677</v>
      </c>
      <c r="X752">
        <v>0.30521969920377462</v>
      </c>
      <c r="Y752">
        <v>0.42115437724385524</v>
      </c>
      <c r="Z752">
        <v>0.2695388014360674</v>
      </c>
      <c r="AA752">
        <v>0.30930682132007736</v>
      </c>
      <c r="AB752">
        <v>0.42916340360928279</v>
      </c>
      <c r="AC752">
        <v>0.26197187612386313</v>
      </c>
      <c r="AD752">
        <v>0.30886472026685402</v>
      </c>
      <c r="AE752" t="s">
        <v>93</v>
      </c>
      <c r="AF752" t="s">
        <v>85</v>
      </c>
      <c r="AG752">
        <v>19.079999999999998</v>
      </c>
      <c r="AH752">
        <v>33</v>
      </c>
      <c r="AI752">
        <v>5</v>
      </c>
      <c r="AJ752">
        <v>0</v>
      </c>
      <c r="AK752">
        <v>25.7</v>
      </c>
      <c r="AL752">
        <v>100</v>
      </c>
      <c r="AM752">
        <v>4829</v>
      </c>
      <c r="AN752">
        <v>72</v>
      </c>
      <c r="AO752">
        <v>70</v>
      </c>
      <c r="AP752">
        <v>67</v>
      </c>
      <c r="AQ752">
        <v>3</v>
      </c>
      <c r="AR752" t="s">
        <v>29</v>
      </c>
      <c r="AS752" t="s">
        <v>99</v>
      </c>
      <c r="AT752" t="s">
        <v>85</v>
      </c>
      <c r="AU752">
        <v>14.2</v>
      </c>
      <c r="AV752">
        <v>31</v>
      </c>
      <c r="AW752">
        <v>1</v>
      </c>
      <c r="AX752">
        <v>0</v>
      </c>
      <c r="AY752">
        <v>26.5</v>
      </c>
      <c r="AZ752">
        <v>173</v>
      </c>
      <c r="BA752">
        <v>3707</v>
      </c>
      <c r="BB752">
        <v>70</v>
      </c>
      <c r="BC752">
        <v>69</v>
      </c>
      <c r="BD752">
        <v>68</v>
      </c>
      <c r="BE752">
        <v>3</v>
      </c>
      <c r="BF752" t="s">
        <v>46</v>
      </c>
      <c r="BG752">
        <v>2</v>
      </c>
      <c r="BH752">
        <v>20</v>
      </c>
      <c r="BI752">
        <v>0.46200000000000002</v>
      </c>
      <c r="BJ752" t="s">
        <v>85</v>
      </c>
      <c r="BK752">
        <v>0.38890000000000002</v>
      </c>
      <c r="BL752">
        <v>0.40479999999999999</v>
      </c>
      <c r="BM752">
        <v>1.36</v>
      </c>
      <c r="BN752">
        <v>1.24</v>
      </c>
    </row>
    <row r="753" spans="1:66" x14ac:dyDescent="0.25">
      <c r="A753">
        <v>3</v>
      </c>
      <c r="B753">
        <v>-1</v>
      </c>
      <c r="C753">
        <v>3</v>
      </c>
      <c r="D753">
        <v>2.6316666666666664</v>
      </c>
      <c r="E753">
        <v>2.9733333333333332</v>
      </c>
      <c r="F753">
        <v>2.7816666666666667</v>
      </c>
      <c r="G753" s="40">
        <v>0.3</v>
      </c>
      <c r="H753" s="40">
        <v>0.36</v>
      </c>
      <c r="I753" s="40">
        <v>0.33999999999999997</v>
      </c>
      <c r="J753">
        <v>2.6</v>
      </c>
      <c r="K753">
        <v>2.95</v>
      </c>
      <c r="L753">
        <v>2.6</v>
      </c>
      <c r="M753">
        <v>2.625</v>
      </c>
      <c r="N753">
        <v>3</v>
      </c>
      <c r="O753">
        <v>2.875</v>
      </c>
      <c r="P753">
        <v>2.67</v>
      </c>
      <c r="Q753">
        <v>2.97</v>
      </c>
      <c r="R753">
        <v>2.87</v>
      </c>
      <c r="S753">
        <v>0.35447761194029853</v>
      </c>
      <c r="T753">
        <v>0.29104477611940299</v>
      </c>
      <c r="U753">
        <v>0.35447761194029853</v>
      </c>
      <c r="V753">
        <v>0.35867446393762181</v>
      </c>
      <c r="W753">
        <v>0.31384015594541909</v>
      </c>
      <c r="X753">
        <v>0.32748538011695905</v>
      </c>
      <c r="Y753">
        <v>0.35344387913769298</v>
      </c>
      <c r="Z753">
        <v>0.31774247720459264</v>
      </c>
      <c r="AA753">
        <v>0.32881364365771437</v>
      </c>
      <c r="AB753">
        <v>0.3555319850052045</v>
      </c>
      <c r="AC753">
        <v>0.30754246975647154</v>
      </c>
      <c r="AD753">
        <v>0.33692554523832396</v>
      </c>
      <c r="AE753" t="s">
        <v>91</v>
      </c>
      <c r="AF753" t="s">
        <v>85</v>
      </c>
      <c r="AG753">
        <v>41.05</v>
      </c>
      <c r="AH753">
        <v>29</v>
      </c>
      <c r="AI753">
        <v>5</v>
      </c>
      <c r="AJ753">
        <v>3</v>
      </c>
      <c r="AK753">
        <v>27.6</v>
      </c>
      <c r="AL753">
        <v>97</v>
      </c>
      <c r="AM753">
        <v>4926</v>
      </c>
      <c r="AN753">
        <v>71</v>
      </c>
      <c r="AO753">
        <v>74</v>
      </c>
      <c r="AP753">
        <v>73</v>
      </c>
      <c r="AQ753">
        <v>3.5</v>
      </c>
      <c r="AR753" t="s">
        <v>29</v>
      </c>
      <c r="AS753" t="s">
        <v>95</v>
      </c>
      <c r="AT753" t="s">
        <v>85</v>
      </c>
      <c r="AU753">
        <v>36.68</v>
      </c>
      <c r="AV753">
        <v>24</v>
      </c>
      <c r="AW753">
        <v>3</v>
      </c>
      <c r="AX753">
        <v>0</v>
      </c>
      <c r="AY753">
        <v>26.8</v>
      </c>
      <c r="AZ753">
        <v>130</v>
      </c>
      <c r="BA753">
        <v>4218</v>
      </c>
      <c r="BB753">
        <v>71</v>
      </c>
      <c r="BC753">
        <v>71</v>
      </c>
      <c r="BD753">
        <v>70</v>
      </c>
      <c r="BE753">
        <v>3.5</v>
      </c>
      <c r="BF753" t="s">
        <v>46</v>
      </c>
      <c r="BG753">
        <v>6</v>
      </c>
      <c r="BH753">
        <v>39</v>
      </c>
      <c r="BI753">
        <v>0.37</v>
      </c>
      <c r="BJ753" t="s">
        <v>85</v>
      </c>
      <c r="BK753">
        <v>0.42859999999999998</v>
      </c>
      <c r="BL753">
        <v>0.32429999999999998</v>
      </c>
      <c r="BM753">
        <v>1.35</v>
      </c>
      <c r="BN753">
        <v>1.03</v>
      </c>
    </row>
    <row r="754" spans="1:66" x14ac:dyDescent="0.25">
      <c r="A754">
        <v>1</v>
      </c>
      <c r="B754">
        <v>2</v>
      </c>
      <c r="C754">
        <v>4</v>
      </c>
      <c r="D754">
        <v>1.2750000000000001</v>
      </c>
      <c r="E754">
        <v>5.833333333333333</v>
      </c>
      <c r="F754">
        <v>10.5</v>
      </c>
      <c r="G754" s="40">
        <v>0.59</v>
      </c>
      <c r="H754" s="40">
        <v>0.26</v>
      </c>
      <c r="I754" s="40">
        <v>0.15000000000000002</v>
      </c>
      <c r="J754">
        <v>1.26</v>
      </c>
      <c r="K754">
        <v>5.75</v>
      </c>
      <c r="L754">
        <v>9</v>
      </c>
      <c r="M754">
        <v>1.2849999999999999</v>
      </c>
      <c r="N754">
        <v>5.75</v>
      </c>
      <c r="O754">
        <v>12</v>
      </c>
      <c r="P754">
        <v>1.28</v>
      </c>
      <c r="Q754">
        <v>6</v>
      </c>
      <c r="R754">
        <v>10.5</v>
      </c>
      <c r="S754">
        <v>0.77715830376752826</v>
      </c>
      <c r="T754">
        <v>0.11403953370501774</v>
      </c>
      <c r="U754">
        <v>0.10880216252745396</v>
      </c>
      <c r="V754">
        <v>0.75156235108309399</v>
      </c>
      <c r="W754">
        <v>0.16795784715509143</v>
      </c>
      <c r="X754">
        <v>8.0479801761814643E-2</v>
      </c>
      <c r="Y754">
        <v>0.74893009985734671</v>
      </c>
      <c r="Z754">
        <v>0.15977175463623397</v>
      </c>
      <c r="AA754">
        <v>9.1298145506419404E-2</v>
      </c>
      <c r="AB754">
        <v>0.75921691823598969</v>
      </c>
      <c r="AC754">
        <v>0.14725637849878104</v>
      </c>
      <c r="AD754">
        <v>9.3526703265229327E-2</v>
      </c>
      <c r="AE754" t="s">
        <v>10</v>
      </c>
      <c r="AF754" t="s">
        <v>23</v>
      </c>
      <c r="AG754">
        <v>997.75</v>
      </c>
      <c r="AH754">
        <v>35</v>
      </c>
      <c r="AI754">
        <v>24</v>
      </c>
      <c r="AJ754">
        <v>19</v>
      </c>
      <c r="AK754">
        <v>26.1</v>
      </c>
      <c r="AL754">
        <v>12</v>
      </c>
      <c r="AM754">
        <v>9495</v>
      </c>
      <c r="AN754">
        <v>87</v>
      </c>
      <c r="AO754">
        <v>82</v>
      </c>
      <c r="AP754">
        <v>82</v>
      </c>
      <c r="AQ754">
        <v>5</v>
      </c>
      <c r="AR754" t="s">
        <v>28</v>
      </c>
      <c r="AS754" t="s">
        <v>39</v>
      </c>
      <c r="AT754" t="s">
        <v>23</v>
      </c>
      <c r="AU754">
        <v>87.45</v>
      </c>
      <c r="AV754">
        <v>29</v>
      </c>
      <c r="AW754">
        <v>14</v>
      </c>
      <c r="AX754">
        <v>7</v>
      </c>
      <c r="AY754">
        <v>26.2</v>
      </c>
      <c r="AZ754">
        <v>229</v>
      </c>
      <c r="BA754">
        <v>3029</v>
      </c>
      <c r="BB754">
        <v>71</v>
      </c>
      <c r="BC754">
        <v>73</v>
      </c>
      <c r="BD754">
        <v>73</v>
      </c>
      <c r="BE754">
        <v>3.5</v>
      </c>
      <c r="BF754" t="s">
        <v>29</v>
      </c>
      <c r="BG754">
        <v>46</v>
      </c>
      <c r="BH754">
        <v>152</v>
      </c>
      <c r="BI754">
        <v>0.53600000000000003</v>
      </c>
      <c r="BJ754" t="s">
        <v>266</v>
      </c>
      <c r="BK754">
        <v>0.66669999999999996</v>
      </c>
      <c r="BL754">
        <v>0.24390000000000001</v>
      </c>
      <c r="BM754">
        <v>2.21</v>
      </c>
      <c r="BN754">
        <v>1.24</v>
      </c>
    </row>
    <row r="755" spans="1:66" x14ac:dyDescent="0.25">
      <c r="A755">
        <v>2</v>
      </c>
      <c r="B755">
        <v>0</v>
      </c>
      <c r="C755">
        <v>2</v>
      </c>
      <c r="D755">
        <v>2</v>
      </c>
      <c r="E755">
        <v>3.25</v>
      </c>
      <c r="F755">
        <v>4.05</v>
      </c>
      <c r="G755" s="40">
        <v>0.44</v>
      </c>
      <c r="H755" s="40">
        <v>0.35</v>
      </c>
      <c r="I755" s="40">
        <v>0.21000000000000008</v>
      </c>
      <c r="J755">
        <v>1.97</v>
      </c>
      <c r="K755">
        <v>3.15</v>
      </c>
      <c r="L755">
        <v>3.95</v>
      </c>
      <c r="M755">
        <v>2</v>
      </c>
      <c r="N755">
        <v>3.3</v>
      </c>
      <c r="O755">
        <v>4.2</v>
      </c>
      <c r="P755">
        <v>2.0299999999999998</v>
      </c>
      <c r="Q755">
        <v>3.3</v>
      </c>
      <c r="R755">
        <v>4</v>
      </c>
      <c r="S755">
        <v>0.49139280831853555</v>
      </c>
      <c r="T755">
        <v>0.26353280373525817</v>
      </c>
      <c r="U755">
        <v>0.24507438794620631</v>
      </c>
      <c r="V755">
        <v>0.48024948024948022</v>
      </c>
      <c r="W755">
        <v>0.29106029106029102</v>
      </c>
      <c r="X755">
        <v>0.22869022869022868</v>
      </c>
      <c r="Y755">
        <v>0.47110889039580284</v>
      </c>
      <c r="Z755">
        <v>0.28980334772832722</v>
      </c>
      <c r="AA755">
        <v>0.23908776187586994</v>
      </c>
      <c r="AB755">
        <v>0.48091705965460618</v>
      </c>
      <c r="AC755">
        <v>0.28146548084129214</v>
      </c>
      <c r="AD755">
        <v>0.23761745950410162</v>
      </c>
      <c r="AE755" t="s">
        <v>36</v>
      </c>
      <c r="AF755" t="s">
        <v>23</v>
      </c>
      <c r="AG755">
        <v>87.7</v>
      </c>
      <c r="AH755">
        <v>27</v>
      </c>
      <c r="AI755">
        <v>15</v>
      </c>
      <c r="AJ755">
        <v>6</v>
      </c>
      <c r="AK755">
        <v>26</v>
      </c>
      <c r="AL755">
        <v>180</v>
      </c>
      <c r="AM755">
        <v>3627</v>
      </c>
      <c r="AN755">
        <v>75</v>
      </c>
      <c r="AO755">
        <v>73</v>
      </c>
      <c r="AP755">
        <v>74</v>
      </c>
      <c r="AQ755">
        <v>3.5</v>
      </c>
      <c r="AR755" t="s">
        <v>29</v>
      </c>
      <c r="AS755" t="s">
        <v>37</v>
      </c>
      <c r="AT755" t="s">
        <v>23</v>
      </c>
      <c r="AU755">
        <v>90.78</v>
      </c>
      <c r="AV755">
        <v>27</v>
      </c>
      <c r="AW755">
        <v>19</v>
      </c>
      <c r="AX755">
        <v>10</v>
      </c>
      <c r="AY755">
        <v>24.4</v>
      </c>
      <c r="AZ755">
        <v>223</v>
      </c>
      <c r="BA755">
        <v>3054</v>
      </c>
      <c r="BB755">
        <v>73</v>
      </c>
      <c r="BC755">
        <v>73</v>
      </c>
      <c r="BD755">
        <v>74</v>
      </c>
      <c r="BE755">
        <v>3.5</v>
      </c>
      <c r="BF755" t="s">
        <v>29</v>
      </c>
      <c r="BG755">
        <v>-2</v>
      </c>
      <c r="BH755">
        <v>14</v>
      </c>
      <c r="BI755">
        <v>0.308</v>
      </c>
      <c r="BJ755" t="s">
        <v>266</v>
      </c>
      <c r="BK755">
        <v>0.28210000000000002</v>
      </c>
      <c r="BL755">
        <v>0.24390000000000001</v>
      </c>
      <c r="BM755">
        <v>1.26</v>
      </c>
      <c r="BN755">
        <v>1.1200000000000001</v>
      </c>
    </row>
    <row r="756" spans="1:66" x14ac:dyDescent="0.25">
      <c r="A756">
        <v>2</v>
      </c>
      <c r="B756">
        <v>0</v>
      </c>
      <c r="C756">
        <v>6</v>
      </c>
      <c r="D756">
        <v>2.4333333333333331</v>
      </c>
      <c r="E756">
        <v>3.3000000000000003</v>
      </c>
      <c r="F756">
        <v>2.9333333333333336</v>
      </c>
      <c r="G756" s="40">
        <v>0.19</v>
      </c>
      <c r="H756" s="40">
        <v>0.45</v>
      </c>
      <c r="I756" s="40">
        <v>0.36000000000000004</v>
      </c>
      <c r="J756">
        <v>2.4</v>
      </c>
      <c r="K756">
        <v>3.3</v>
      </c>
      <c r="L756">
        <v>2.8</v>
      </c>
      <c r="M756">
        <v>2.4500000000000002</v>
      </c>
      <c r="N756">
        <v>3.35</v>
      </c>
      <c r="O756">
        <v>3</v>
      </c>
      <c r="P756">
        <v>2.4500000000000002</v>
      </c>
      <c r="Q756">
        <v>3.25</v>
      </c>
      <c r="R756">
        <v>3</v>
      </c>
      <c r="S756">
        <v>0.39718896408120768</v>
      </c>
      <c r="T756">
        <v>0.26236335242061432</v>
      </c>
      <c r="U756">
        <v>0.34044768349817806</v>
      </c>
      <c r="V756">
        <v>0.39246314556282336</v>
      </c>
      <c r="W756">
        <v>0.28702528556087081</v>
      </c>
      <c r="X756">
        <v>0.32051156887630577</v>
      </c>
      <c r="Y756">
        <v>0.38902743142144636</v>
      </c>
      <c r="Z756">
        <v>0.29326683291770578</v>
      </c>
      <c r="AA756">
        <v>0.31770573566084792</v>
      </c>
      <c r="AB756">
        <v>0.39289318035515913</v>
      </c>
      <c r="AC756">
        <v>0.28088515696639699</v>
      </c>
      <c r="AD756">
        <v>0.32622166267844394</v>
      </c>
      <c r="AE756" t="s">
        <v>48</v>
      </c>
      <c r="AF756" t="s">
        <v>23</v>
      </c>
      <c r="AG756">
        <v>85.63</v>
      </c>
      <c r="AH756">
        <v>28</v>
      </c>
      <c r="AI756">
        <v>16</v>
      </c>
      <c r="AJ756">
        <v>8</v>
      </c>
      <c r="AK756">
        <v>25</v>
      </c>
      <c r="AL756">
        <v>426</v>
      </c>
      <c r="AM756">
        <v>1736</v>
      </c>
      <c r="AN756">
        <v>70</v>
      </c>
      <c r="AO756">
        <v>70</v>
      </c>
      <c r="AP756">
        <v>73</v>
      </c>
      <c r="AQ756">
        <v>3.5</v>
      </c>
      <c r="AR756" t="s">
        <v>46</v>
      </c>
      <c r="AS756" t="s">
        <v>44</v>
      </c>
      <c r="AT756" t="s">
        <v>23</v>
      </c>
      <c r="AU756">
        <v>87.7</v>
      </c>
      <c r="AV756">
        <v>29</v>
      </c>
      <c r="AW756">
        <v>16</v>
      </c>
      <c r="AX756">
        <v>10</v>
      </c>
      <c r="AY756">
        <v>25.1</v>
      </c>
      <c r="AZ756">
        <v>326</v>
      </c>
      <c r="BA756">
        <v>2298</v>
      </c>
      <c r="BB756">
        <v>74</v>
      </c>
      <c r="BC756">
        <v>73</v>
      </c>
      <c r="BD756">
        <v>72</v>
      </c>
      <c r="BE756">
        <v>3.5</v>
      </c>
      <c r="BF756" t="s">
        <v>29</v>
      </c>
      <c r="BG756">
        <v>-42</v>
      </c>
      <c r="BH756">
        <v>67</v>
      </c>
      <c r="BI756">
        <v>0.23899999999999999</v>
      </c>
      <c r="BJ756" t="s">
        <v>266</v>
      </c>
      <c r="BK756">
        <v>0.34150000000000003</v>
      </c>
      <c r="BL756">
        <v>0.33329999999999999</v>
      </c>
      <c r="BM756">
        <v>1.22</v>
      </c>
      <c r="BN756">
        <v>1.08</v>
      </c>
    </row>
    <row r="757" spans="1:66" x14ac:dyDescent="0.25">
      <c r="A757">
        <v>1</v>
      </c>
      <c r="B757">
        <v>1</v>
      </c>
      <c r="C757">
        <v>3</v>
      </c>
      <c r="D757">
        <v>16.166666666666668</v>
      </c>
      <c r="E757">
        <v>8.2999999999999989</v>
      </c>
      <c r="F757">
        <v>1.161</v>
      </c>
      <c r="G757" s="40">
        <v>0.15</v>
      </c>
      <c r="H757" s="40">
        <v>0.14000000000000001</v>
      </c>
      <c r="I757" s="40">
        <v>0.71</v>
      </c>
      <c r="J757">
        <v>15</v>
      </c>
      <c r="K757">
        <v>8</v>
      </c>
      <c r="L757">
        <v>1.1599999999999999</v>
      </c>
      <c r="M757">
        <v>19</v>
      </c>
      <c r="N757">
        <v>8.5</v>
      </c>
      <c r="O757">
        <v>1.153</v>
      </c>
      <c r="P757">
        <v>14.5</v>
      </c>
      <c r="Q757">
        <v>8.4</v>
      </c>
      <c r="R757">
        <v>1.17</v>
      </c>
      <c r="S757">
        <v>6.6499207067140992E-2</v>
      </c>
      <c r="T757">
        <v>7.3597253271553004E-2</v>
      </c>
      <c r="U757">
        <v>0.85990353966130595</v>
      </c>
      <c r="V757">
        <v>5.0725256524720833E-2</v>
      </c>
      <c r="W757">
        <v>0.11338586752584658</v>
      </c>
      <c r="X757">
        <v>0.83588887594943262</v>
      </c>
      <c r="Y757">
        <v>6.6140396923139042E-2</v>
      </c>
      <c r="Z757">
        <v>0.11417092326018048</v>
      </c>
      <c r="AA757">
        <v>0.81968867981668048</v>
      </c>
      <c r="AB757">
        <v>6.1121620171666953E-2</v>
      </c>
      <c r="AC757">
        <v>0.10038468135252669</v>
      </c>
      <c r="AD757">
        <v>0.83849369847580635</v>
      </c>
      <c r="AE757" t="s">
        <v>275</v>
      </c>
      <c r="AF757" t="s">
        <v>26</v>
      </c>
      <c r="AG757">
        <v>97.1</v>
      </c>
      <c r="AH757">
        <v>28</v>
      </c>
      <c r="AI757">
        <v>18</v>
      </c>
      <c r="AJ757">
        <v>10</v>
      </c>
      <c r="AK757">
        <v>26</v>
      </c>
      <c r="AL757">
        <v>276</v>
      </c>
      <c r="AM757">
        <v>2599</v>
      </c>
      <c r="AN757">
        <v>73</v>
      </c>
      <c r="AO757">
        <v>74</v>
      </c>
      <c r="AP757">
        <v>74</v>
      </c>
      <c r="AQ757">
        <v>3.5</v>
      </c>
      <c r="AR757" t="s">
        <v>46</v>
      </c>
      <c r="AS757" t="s">
        <v>31</v>
      </c>
      <c r="AT757" t="s">
        <v>26</v>
      </c>
      <c r="AU757">
        <v>852.4</v>
      </c>
      <c r="AV757">
        <v>25</v>
      </c>
      <c r="AW757">
        <v>15</v>
      </c>
      <c r="AX757">
        <v>17</v>
      </c>
      <c r="AY757">
        <v>26.1</v>
      </c>
      <c r="AZ757">
        <v>6</v>
      </c>
      <c r="BA757">
        <v>10885</v>
      </c>
      <c r="BB757">
        <v>92</v>
      </c>
      <c r="BC757">
        <v>85</v>
      </c>
      <c r="BD757">
        <v>82</v>
      </c>
      <c r="BE757">
        <v>5</v>
      </c>
      <c r="BF757" t="s">
        <v>29</v>
      </c>
      <c r="BG757">
        <v>-10</v>
      </c>
      <c r="BH757">
        <v>40</v>
      </c>
      <c r="BI757">
        <v>0.36699999999999999</v>
      </c>
      <c r="BJ757" t="s">
        <v>273</v>
      </c>
      <c r="BK757">
        <v>0.30559999999999998</v>
      </c>
      <c r="BL757">
        <v>0.72919999999999996</v>
      </c>
      <c r="BM757">
        <v>1.19</v>
      </c>
      <c r="BN757">
        <v>2.83</v>
      </c>
    </row>
    <row r="758" spans="1:66" x14ac:dyDescent="0.25">
      <c r="A758">
        <v>1</v>
      </c>
      <c r="B758">
        <v>1</v>
      </c>
      <c r="C758">
        <v>3</v>
      </c>
      <c r="D758">
        <v>1.3533333333333335</v>
      </c>
      <c r="E758">
        <v>5.3999999999999995</v>
      </c>
      <c r="F758">
        <v>8.1</v>
      </c>
      <c r="G758" s="40">
        <v>0.61</v>
      </c>
      <c r="H758" s="40">
        <v>0.23</v>
      </c>
      <c r="I758" s="40">
        <v>0.16</v>
      </c>
      <c r="J758">
        <v>1.34</v>
      </c>
      <c r="K758">
        <v>5.4</v>
      </c>
      <c r="L758">
        <v>8</v>
      </c>
      <c r="M758">
        <v>1.35</v>
      </c>
      <c r="N758">
        <v>5.5</v>
      </c>
      <c r="O758">
        <v>8.5</v>
      </c>
      <c r="P758">
        <v>1.37</v>
      </c>
      <c r="Q758">
        <v>5.3</v>
      </c>
      <c r="R758">
        <v>7.8</v>
      </c>
      <c r="S758">
        <v>0.74682503775544673</v>
      </c>
      <c r="T758">
        <v>0.12808176842051605</v>
      </c>
      <c r="U758">
        <v>0.12509319382403733</v>
      </c>
      <c r="V758">
        <v>0.71210967250571211</v>
      </c>
      <c r="W758">
        <v>0.17479055597867479</v>
      </c>
      <c r="X758">
        <v>0.1130997715156131</v>
      </c>
      <c r="Y758">
        <v>0.6972860829524179</v>
      </c>
      <c r="Z758">
        <v>0.18024187427260616</v>
      </c>
      <c r="AA758">
        <v>0.12247204277497598</v>
      </c>
      <c r="AB758">
        <v>0.71874026440452565</v>
      </c>
      <c r="AC758">
        <v>0.16103806622393232</v>
      </c>
      <c r="AD758">
        <v>0.12022166937154215</v>
      </c>
      <c r="AE758" t="s">
        <v>50</v>
      </c>
      <c r="AF758" t="s">
        <v>26</v>
      </c>
      <c r="AG758">
        <v>565.79999999999995</v>
      </c>
      <c r="AH758">
        <v>33</v>
      </c>
      <c r="AI758">
        <v>18</v>
      </c>
      <c r="AJ758">
        <v>17</v>
      </c>
      <c r="AK758">
        <v>24.7</v>
      </c>
      <c r="AL758">
        <v>36</v>
      </c>
      <c r="AM758">
        <v>7276</v>
      </c>
      <c r="AN758">
        <v>87</v>
      </c>
      <c r="AO758">
        <v>81</v>
      </c>
      <c r="AP758">
        <v>81</v>
      </c>
      <c r="AQ758">
        <v>4.5</v>
      </c>
      <c r="AR758" t="s">
        <v>29</v>
      </c>
      <c r="AS758" t="s">
        <v>61</v>
      </c>
      <c r="AT758" t="s">
        <v>26</v>
      </c>
      <c r="AU758">
        <v>169.63</v>
      </c>
      <c r="AV758">
        <v>33</v>
      </c>
      <c r="AW758">
        <v>18</v>
      </c>
      <c r="AX758">
        <v>4</v>
      </c>
      <c r="AY758">
        <v>23.3</v>
      </c>
      <c r="AZ758">
        <v>671</v>
      </c>
      <c r="BA758">
        <v>828</v>
      </c>
      <c r="BB758">
        <v>74</v>
      </c>
      <c r="BC758">
        <v>73</v>
      </c>
      <c r="BD758">
        <v>72</v>
      </c>
      <c r="BE758">
        <v>3.5</v>
      </c>
      <c r="BF758" t="s">
        <v>29</v>
      </c>
      <c r="BG758">
        <v>9</v>
      </c>
      <c r="BH758">
        <v>159</v>
      </c>
      <c r="BI758">
        <v>0.40200000000000002</v>
      </c>
      <c r="BJ758" t="s">
        <v>273</v>
      </c>
      <c r="BK758">
        <v>0.60780000000000001</v>
      </c>
      <c r="BL758">
        <v>0.37840000000000001</v>
      </c>
      <c r="BM758">
        <v>2.27</v>
      </c>
      <c r="BN758">
        <v>1.59</v>
      </c>
    </row>
    <row r="759" spans="1:66" x14ac:dyDescent="0.25">
      <c r="A759">
        <v>1</v>
      </c>
      <c r="B759">
        <v>2</v>
      </c>
      <c r="C759">
        <v>2</v>
      </c>
      <c r="D759">
        <v>3.9333333333333336</v>
      </c>
      <c r="E759">
        <v>4.2666666666666666</v>
      </c>
      <c r="F759">
        <v>1.7866666666666668</v>
      </c>
      <c r="G759" s="40">
        <v>0.28999999999999998</v>
      </c>
      <c r="H759" s="40">
        <v>0.35</v>
      </c>
      <c r="I759" s="40">
        <v>0.36</v>
      </c>
      <c r="J759">
        <v>3.9</v>
      </c>
      <c r="K759">
        <v>4.4000000000000004</v>
      </c>
      <c r="L759">
        <v>1.76</v>
      </c>
      <c r="M759">
        <v>4</v>
      </c>
      <c r="N759">
        <v>4.2</v>
      </c>
      <c r="O759">
        <v>1.8</v>
      </c>
      <c r="P759">
        <v>3.9</v>
      </c>
      <c r="Q759">
        <v>4.2</v>
      </c>
      <c r="R759">
        <v>1.8</v>
      </c>
      <c r="S759">
        <v>0.25263403331341722</v>
      </c>
      <c r="T759">
        <v>0.18755191559435158</v>
      </c>
      <c r="U759">
        <v>0.55981405109223126</v>
      </c>
      <c r="V759">
        <v>0.23954372623574144</v>
      </c>
      <c r="W759">
        <v>0.22813688212927755</v>
      </c>
      <c r="X759">
        <v>0.53231939163498099</v>
      </c>
      <c r="Y759">
        <v>0.24418604651162792</v>
      </c>
      <c r="Z759">
        <v>0.22674418604651161</v>
      </c>
      <c r="AA759">
        <v>0.52906976744186041</v>
      </c>
      <c r="AB759">
        <v>0.24545460202026223</v>
      </c>
      <c r="AC759">
        <v>0.21414432792338026</v>
      </c>
      <c r="AD759">
        <v>0.54040107005635762</v>
      </c>
      <c r="AE759" t="s">
        <v>54</v>
      </c>
      <c r="AF759" t="s">
        <v>26</v>
      </c>
      <c r="AG759">
        <v>207.65</v>
      </c>
      <c r="AH759">
        <v>32</v>
      </c>
      <c r="AI759">
        <v>20</v>
      </c>
      <c r="AJ759">
        <v>16</v>
      </c>
      <c r="AK759">
        <v>25.8</v>
      </c>
      <c r="AL759">
        <v>194</v>
      </c>
      <c r="AM759">
        <v>3438</v>
      </c>
      <c r="AN759">
        <v>75</v>
      </c>
      <c r="AO759">
        <v>77</v>
      </c>
      <c r="AP759">
        <v>76</v>
      </c>
      <c r="AQ759">
        <v>4</v>
      </c>
      <c r="AR759" t="s">
        <v>29</v>
      </c>
      <c r="AS759" t="s">
        <v>25</v>
      </c>
      <c r="AT759" t="s">
        <v>26</v>
      </c>
      <c r="AU759">
        <v>505.55</v>
      </c>
      <c r="AV759">
        <v>28</v>
      </c>
      <c r="AW759">
        <v>21</v>
      </c>
      <c r="AX759">
        <v>16</v>
      </c>
      <c r="AY759">
        <v>24.1</v>
      </c>
      <c r="AZ759">
        <v>16</v>
      </c>
      <c r="BA759">
        <v>9221</v>
      </c>
      <c r="BB759">
        <v>78</v>
      </c>
      <c r="BC759">
        <v>81</v>
      </c>
      <c r="BD759">
        <v>80</v>
      </c>
      <c r="BE759">
        <v>4.5</v>
      </c>
      <c r="BF759" t="s">
        <v>29</v>
      </c>
      <c r="BG759">
        <v>-2</v>
      </c>
      <c r="BH759">
        <v>9</v>
      </c>
      <c r="BI759">
        <v>0.182</v>
      </c>
      <c r="BJ759" t="s">
        <v>273</v>
      </c>
      <c r="BK759">
        <v>0.36359999999999998</v>
      </c>
      <c r="BL759">
        <v>0.58330000000000004</v>
      </c>
      <c r="BM759">
        <v>1.73</v>
      </c>
      <c r="BN759">
        <v>1.79</v>
      </c>
    </row>
    <row r="760" spans="1:66" x14ac:dyDescent="0.25">
      <c r="A760">
        <v>2</v>
      </c>
      <c r="B760">
        <v>0</v>
      </c>
      <c r="C760">
        <v>2</v>
      </c>
      <c r="D760">
        <v>1.9866666666666666</v>
      </c>
      <c r="E760">
        <v>3.4166666666666665</v>
      </c>
      <c r="F760">
        <v>3.9666666666666668</v>
      </c>
      <c r="G760" s="40">
        <v>0.41</v>
      </c>
      <c r="H760" s="40">
        <v>0.34</v>
      </c>
      <c r="I760" s="40">
        <v>0.25000000000000006</v>
      </c>
      <c r="J760">
        <v>1.96</v>
      </c>
      <c r="K760">
        <v>3.4</v>
      </c>
      <c r="L760">
        <v>4</v>
      </c>
      <c r="M760">
        <v>2</v>
      </c>
      <c r="N760">
        <v>3.45</v>
      </c>
      <c r="O760">
        <v>4</v>
      </c>
      <c r="P760">
        <v>2</v>
      </c>
      <c r="Q760">
        <v>3.4</v>
      </c>
      <c r="R760">
        <v>3.9</v>
      </c>
      <c r="S760">
        <v>0.50567309869430677</v>
      </c>
      <c r="T760">
        <v>0.24654708294548291</v>
      </c>
      <c r="U760">
        <v>0.24777981836021032</v>
      </c>
      <c r="V760">
        <v>0.4808362369337979</v>
      </c>
      <c r="W760">
        <v>0.27874564459930312</v>
      </c>
      <c r="X760">
        <v>0.24041811846689895</v>
      </c>
      <c r="Y760">
        <v>0.47595118449389801</v>
      </c>
      <c r="Z760">
        <v>0.27997128499641061</v>
      </c>
      <c r="AA760">
        <v>0.2440775305096913</v>
      </c>
      <c r="AB760">
        <v>0.48748684004066756</v>
      </c>
      <c r="AC760">
        <v>0.26842133751373221</v>
      </c>
      <c r="AD760">
        <v>0.24409182244560021</v>
      </c>
      <c r="AE760" t="s">
        <v>58</v>
      </c>
      <c r="AF760" t="s">
        <v>26</v>
      </c>
      <c r="AG760">
        <v>77.8</v>
      </c>
      <c r="AH760">
        <v>31</v>
      </c>
      <c r="AI760">
        <v>13</v>
      </c>
      <c r="AJ760">
        <v>7</v>
      </c>
      <c r="AK760">
        <v>26.9</v>
      </c>
      <c r="AL760">
        <v>243</v>
      </c>
      <c r="AM760">
        <v>2873</v>
      </c>
      <c r="AN760">
        <v>75</v>
      </c>
      <c r="AO760">
        <v>72</v>
      </c>
      <c r="AP760">
        <v>73</v>
      </c>
      <c r="AQ760">
        <v>3.5</v>
      </c>
      <c r="AR760" t="s">
        <v>46</v>
      </c>
      <c r="AS760" t="s">
        <v>59</v>
      </c>
      <c r="AT760" t="s">
        <v>26</v>
      </c>
      <c r="AU760">
        <v>137.05000000000001</v>
      </c>
      <c r="AV760">
        <v>28</v>
      </c>
      <c r="AW760">
        <v>15</v>
      </c>
      <c r="AX760">
        <v>8</v>
      </c>
      <c r="AY760">
        <v>26.3</v>
      </c>
      <c r="AZ760">
        <v>258</v>
      </c>
      <c r="BA760">
        <v>2751</v>
      </c>
      <c r="BB760">
        <v>77</v>
      </c>
      <c r="BC760">
        <v>76</v>
      </c>
      <c r="BD760">
        <v>75</v>
      </c>
      <c r="BE760">
        <v>4</v>
      </c>
      <c r="BF760" t="s">
        <v>29</v>
      </c>
      <c r="BG760">
        <v>-5</v>
      </c>
      <c r="BH760">
        <v>9</v>
      </c>
      <c r="BI760">
        <v>0.25</v>
      </c>
      <c r="BJ760" t="s">
        <v>273</v>
      </c>
      <c r="BK760">
        <v>0.36109999999999998</v>
      </c>
      <c r="BL760">
        <v>0.2286</v>
      </c>
      <c r="BM760">
        <v>1.47</v>
      </c>
      <c r="BN760">
        <v>1.29</v>
      </c>
    </row>
    <row r="761" spans="1:66" x14ac:dyDescent="0.25">
      <c r="A761">
        <v>3</v>
      </c>
      <c r="B761">
        <v>-2</v>
      </c>
      <c r="C761">
        <v>2</v>
      </c>
      <c r="D761">
        <v>2.0633333333333335</v>
      </c>
      <c r="E761">
        <v>3.5666666666666664</v>
      </c>
      <c r="F761">
        <v>3.5500000000000003</v>
      </c>
      <c r="G761" s="40">
        <v>0.48</v>
      </c>
      <c r="H761" s="40">
        <v>0.31</v>
      </c>
      <c r="I761" s="40">
        <v>0.21000000000000002</v>
      </c>
      <c r="J761">
        <v>2.06</v>
      </c>
      <c r="K761">
        <v>3.5</v>
      </c>
      <c r="L761">
        <v>3.55</v>
      </c>
      <c r="M761">
        <v>2.0499999999999998</v>
      </c>
      <c r="N761">
        <v>3.65</v>
      </c>
      <c r="O761">
        <v>3.6</v>
      </c>
      <c r="P761">
        <v>2.08</v>
      </c>
      <c r="Q761">
        <v>3.55</v>
      </c>
      <c r="R761">
        <v>3.5</v>
      </c>
      <c r="S761">
        <v>0.47833072418585137</v>
      </c>
      <c r="T761">
        <v>0.24410271473728831</v>
      </c>
      <c r="U761">
        <v>0.27756656107686023</v>
      </c>
      <c r="V761">
        <v>0.46924381751629318</v>
      </c>
      <c r="W761">
        <v>0.26354789750915097</v>
      </c>
      <c r="X761">
        <v>0.26720828497455584</v>
      </c>
      <c r="Y761">
        <v>0.45867326220975307</v>
      </c>
      <c r="Z761">
        <v>0.26874377053416515</v>
      </c>
      <c r="AA761">
        <v>0.27258296725608178</v>
      </c>
      <c r="AB761">
        <v>0.4687492679706326</v>
      </c>
      <c r="AC761">
        <v>0.25879812759353477</v>
      </c>
      <c r="AD761">
        <v>0.27245260443583263</v>
      </c>
      <c r="AE761" t="s">
        <v>55</v>
      </c>
      <c r="AF761" t="s">
        <v>26</v>
      </c>
      <c r="AG761">
        <v>125.15</v>
      </c>
      <c r="AH761">
        <v>26</v>
      </c>
      <c r="AI761">
        <v>9</v>
      </c>
      <c r="AJ761">
        <v>7</v>
      </c>
      <c r="AK761">
        <v>25.4</v>
      </c>
      <c r="AL761">
        <v>213</v>
      </c>
      <c r="AM761">
        <v>3138</v>
      </c>
      <c r="AN761">
        <v>75</v>
      </c>
      <c r="AO761">
        <v>75</v>
      </c>
      <c r="AP761">
        <v>73</v>
      </c>
      <c r="AQ761">
        <v>3.5</v>
      </c>
      <c r="AR761" t="s">
        <v>29</v>
      </c>
      <c r="AS761" t="s">
        <v>51</v>
      </c>
      <c r="AT761" t="s">
        <v>26</v>
      </c>
      <c r="AU761">
        <v>231.25</v>
      </c>
      <c r="AV761">
        <v>32</v>
      </c>
      <c r="AW761">
        <v>21</v>
      </c>
      <c r="AX761">
        <v>12</v>
      </c>
      <c r="AY761">
        <v>25.4</v>
      </c>
      <c r="AZ761">
        <v>45</v>
      </c>
      <c r="BA761">
        <v>6714</v>
      </c>
      <c r="BB761">
        <v>79</v>
      </c>
      <c r="BC761">
        <v>77</v>
      </c>
      <c r="BD761">
        <v>75</v>
      </c>
      <c r="BE761">
        <v>4</v>
      </c>
      <c r="BF761" t="s">
        <v>46</v>
      </c>
      <c r="BG761">
        <v>-7</v>
      </c>
      <c r="BH761">
        <v>51</v>
      </c>
      <c r="BI761">
        <v>0.35899999999999999</v>
      </c>
      <c r="BJ761" t="s">
        <v>273</v>
      </c>
      <c r="BK761">
        <v>0.36109999999999998</v>
      </c>
      <c r="BL761">
        <v>0.47220000000000001</v>
      </c>
      <c r="BM761">
        <v>1.5</v>
      </c>
      <c r="BN761">
        <v>2</v>
      </c>
    </row>
    <row r="762" spans="1:66" x14ac:dyDescent="0.25">
      <c r="A762">
        <v>2</v>
      </c>
      <c r="B762">
        <v>0</v>
      </c>
      <c r="C762">
        <v>2</v>
      </c>
      <c r="D762">
        <v>2.14</v>
      </c>
      <c r="E762">
        <v>3.5666666666666664</v>
      </c>
      <c r="F762">
        <v>3.3333333333333335</v>
      </c>
      <c r="G762" s="40">
        <v>0.43</v>
      </c>
      <c r="H762" s="40">
        <v>0.37</v>
      </c>
      <c r="I762" s="40">
        <v>0.20000000000000007</v>
      </c>
      <c r="J762">
        <v>2.1</v>
      </c>
      <c r="K762">
        <v>3.5</v>
      </c>
      <c r="L762">
        <v>3.4</v>
      </c>
      <c r="M762">
        <v>2.15</v>
      </c>
      <c r="N762">
        <v>3.65</v>
      </c>
      <c r="O762">
        <v>3.3</v>
      </c>
      <c r="P762">
        <v>2.17</v>
      </c>
      <c r="Q762">
        <v>3.55</v>
      </c>
      <c r="R762">
        <v>3.3</v>
      </c>
      <c r="S762">
        <v>0.46671242278654768</v>
      </c>
      <c r="T762">
        <v>0.24502402196293754</v>
      </c>
      <c r="U762">
        <v>0.28826355525051472</v>
      </c>
      <c r="V762">
        <v>0.44631773969430294</v>
      </c>
      <c r="W762">
        <v>0.26289949050486333</v>
      </c>
      <c r="X762">
        <v>0.29078276980083373</v>
      </c>
      <c r="Y762">
        <v>0.44075321206192747</v>
      </c>
      <c r="Z762">
        <v>0.26941816061250218</v>
      </c>
      <c r="AA762">
        <v>0.28982862732557046</v>
      </c>
      <c r="AB762">
        <v>0.45126112484759268</v>
      </c>
      <c r="AC762">
        <v>0.25911389102676768</v>
      </c>
      <c r="AD762">
        <v>0.28962498412563964</v>
      </c>
      <c r="AE762" t="s">
        <v>57</v>
      </c>
      <c r="AF762" t="s">
        <v>26</v>
      </c>
      <c r="AG762">
        <v>100.5</v>
      </c>
      <c r="AH762">
        <v>25</v>
      </c>
      <c r="AI762">
        <v>13</v>
      </c>
      <c r="AJ762">
        <v>6</v>
      </c>
      <c r="AK762">
        <v>25.5</v>
      </c>
      <c r="AL762">
        <v>234</v>
      </c>
      <c r="AM762">
        <v>2973</v>
      </c>
      <c r="AN762">
        <v>72</v>
      </c>
      <c r="AO762">
        <v>73</v>
      </c>
      <c r="AP762">
        <v>73</v>
      </c>
      <c r="AQ762">
        <v>3.5</v>
      </c>
      <c r="AR762" t="s">
        <v>46</v>
      </c>
      <c r="AS762" t="s">
        <v>60</v>
      </c>
      <c r="AT762" t="s">
        <v>26</v>
      </c>
      <c r="AU762">
        <v>76.66</v>
      </c>
      <c r="AV762">
        <v>30</v>
      </c>
      <c r="AW762">
        <v>11</v>
      </c>
      <c r="AX762">
        <v>6</v>
      </c>
      <c r="AY762">
        <v>25.1</v>
      </c>
      <c r="AZ762">
        <v>299</v>
      </c>
      <c r="BA762">
        <v>2454</v>
      </c>
      <c r="BB762">
        <v>74</v>
      </c>
      <c r="BC762">
        <v>74</v>
      </c>
      <c r="BD762">
        <v>72</v>
      </c>
      <c r="BE762">
        <v>3.5</v>
      </c>
      <c r="BF762" t="s">
        <v>46</v>
      </c>
      <c r="BG762">
        <v>0</v>
      </c>
      <c r="BH762">
        <v>44</v>
      </c>
      <c r="BI762">
        <v>0.375</v>
      </c>
      <c r="BJ762" t="s">
        <v>273</v>
      </c>
      <c r="BK762">
        <v>0.30559999999999998</v>
      </c>
      <c r="BL762">
        <v>0.28210000000000002</v>
      </c>
      <c r="BM762">
        <v>1.28</v>
      </c>
      <c r="BN762">
        <v>1.23</v>
      </c>
    </row>
    <row r="763" spans="1:66" x14ac:dyDescent="0.25">
      <c r="A763">
        <v>3</v>
      </c>
      <c r="B763">
        <v>-2</v>
      </c>
      <c r="C763">
        <v>4</v>
      </c>
      <c r="D763">
        <v>5.5</v>
      </c>
      <c r="E763">
        <v>3.8333333333333335</v>
      </c>
      <c r="F763">
        <v>1.58</v>
      </c>
      <c r="G763" s="40">
        <v>0.28000000000000003</v>
      </c>
      <c r="H763" s="40">
        <v>0.34</v>
      </c>
      <c r="I763" s="40">
        <v>0.37999999999999995</v>
      </c>
      <c r="J763">
        <v>5.0999999999999996</v>
      </c>
      <c r="K763">
        <v>3.85</v>
      </c>
      <c r="L763">
        <v>1.52</v>
      </c>
      <c r="M763">
        <v>6</v>
      </c>
      <c r="N763">
        <v>3.8</v>
      </c>
      <c r="O763">
        <v>1.6</v>
      </c>
      <c r="P763">
        <v>5.4</v>
      </c>
      <c r="Q763">
        <v>3.85</v>
      </c>
      <c r="R763">
        <v>1.62</v>
      </c>
      <c r="S763">
        <v>0.18487766631149352</v>
      </c>
      <c r="T763">
        <v>0.19480911119599525</v>
      </c>
      <c r="U763">
        <v>0.6203132224925112</v>
      </c>
      <c r="V763">
        <v>0.15800415800415801</v>
      </c>
      <c r="W763">
        <v>0.24948024948024952</v>
      </c>
      <c r="X763">
        <v>0.59251559251559249</v>
      </c>
      <c r="Y763">
        <v>0.17433962264150943</v>
      </c>
      <c r="Z763">
        <v>0.24452830188679248</v>
      </c>
      <c r="AA763">
        <v>0.5811320754716981</v>
      </c>
      <c r="AB763">
        <v>0.17240714898572032</v>
      </c>
      <c r="AC763">
        <v>0.22960588752101244</v>
      </c>
      <c r="AD763">
        <v>0.5979869634932673</v>
      </c>
      <c r="AE763" t="s">
        <v>124</v>
      </c>
      <c r="AF763" t="s">
        <v>108</v>
      </c>
      <c r="AG763">
        <v>150.30000000000001</v>
      </c>
      <c r="AH763">
        <v>36</v>
      </c>
      <c r="AI763">
        <v>0</v>
      </c>
      <c r="AJ763">
        <v>0</v>
      </c>
      <c r="AK763">
        <v>26.5</v>
      </c>
      <c r="AL763">
        <v>318</v>
      </c>
      <c r="AM763">
        <v>2355</v>
      </c>
      <c r="AN763">
        <v>69</v>
      </c>
      <c r="AO763">
        <v>71</v>
      </c>
      <c r="AP763">
        <v>71</v>
      </c>
      <c r="AQ763">
        <v>3.5</v>
      </c>
      <c r="AR763" t="s">
        <v>46</v>
      </c>
      <c r="AS763" t="s">
        <v>110</v>
      </c>
      <c r="AT763" t="s">
        <v>108</v>
      </c>
      <c r="AU763">
        <v>84.95</v>
      </c>
      <c r="AV763">
        <v>33</v>
      </c>
      <c r="AW763">
        <v>5</v>
      </c>
      <c r="AX763">
        <v>4</v>
      </c>
      <c r="AY763">
        <v>26.9</v>
      </c>
      <c r="AZ763">
        <v>9</v>
      </c>
      <c r="BA763">
        <v>10366</v>
      </c>
      <c r="BB763">
        <v>75</v>
      </c>
      <c r="BC763">
        <v>72</v>
      </c>
      <c r="BD763">
        <v>75</v>
      </c>
      <c r="BE763">
        <v>3.5</v>
      </c>
      <c r="BF763" t="s">
        <v>29</v>
      </c>
      <c r="BG763">
        <v>-7</v>
      </c>
      <c r="BH763">
        <v>12</v>
      </c>
      <c r="BI763">
        <v>0.23100000000000001</v>
      </c>
      <c r="BJ763" t="s">
        <v>108</v>
      </c>
      <c r="BK763">
        <v>0.4909</v>
      </c>
      <c r="BL763">
        <v>0.47299999999999998</v>
      </c>
      <c r="BM763">
        <v>1.07</v>
      </c>
      <c r="BN763">
        <v>1.36</v>
      </c>
    </row>
    <row r="764" spans="1:66" x14ac:dyDescent="0.25">
      <c r="A764">
        <v>1</v>
      </c>
      <c r="B764">
        <v>1</v>
      </c>
      <c r="C764">
        <v>1</v>
      </c>
      <c r="D764">
        <v>2.7900000000000005</v>
      </c>
      <c r="E764">
        <v>3.0999999999999996</v>
      </c>
      <c r="F764">
        <v>2.5283333333333333</v>
      </c>
      <c r="G764" s="40">
        <v>0.27</v>
      </c>
      <c r="H764" s="40">
        <v>0.31</v>
      </c>
      <c r="I764" s="40">
        <v>0.42</v>
      </c>
      <c r="J764">
        <v>2.75</v>
      </c>
      <c r="K764">
        <v>3.05</v>
      </c>
      <c r="L764">
        <v>2.38</v>
      </c>
      <c r="M764">
        <v>2.8</v>
      </c>
      <c r="N764">
        <v>3.1</v>
      </c>
      <c r="O764">
        <v>2.625</v>
      </c>
      <c r="P764">
        <v>2.82</v>
      </c>
      <c r="Q764">
        <v>3.15</v>
      </c>
      <c r="R764">
        <v>2.58</v>
      </c>
      <c r="S764">
        <v>0.33391994907433176</v>
      </c>
      <c r="T764">
        <v>0.28024817699524285</v>
      </c>
      <c r="U764">
        <v>0.38583187393042534</v>
      </c>
      <c r="V764">
        <v>0.33671252715423611</v>
      </c>
      <c r="W764">
        <v>0.30412744388124546</v>
      </c>
      <c r="X764">
        <v>0.35916002896451849</v>
      </c>
      <c r="Y764">
        <v>0.33464275126000598</v>
      </c>
      <c r="Z764">
        <v>0.29958493922324342</v>
      </c>
      <c r="AA764">
        <v>0.36577230951675066</v>
      </c>
      <c r="AB764">
        <v>0.33509174249619128</v>
      </c>
      <c r="AC764">
        <v>0.29465352003324391</v>
      </c>
      <c r="AD764">
        <v>0.37025473747056487</v>
      </c>
      <c r="AE764" t="s">
        <v>120</v>
      </c>
      <c r="AF764" t="s">
        <v>108</v>
      </c>
      <c r="AG764">
        <v>22.38</v>
      </c>
      <c r="AH764">
        <v>31</v>
      </c>
      <c r="AI764">
        <v>2</v>
      </c>
      <c r="AJ764">
        <v>1</v>
      </c>
      <c r="AK764">
        <v>27.8</v>
      </c>
      <c r="AL764">
        <v>106</v>
      </c>
      <c r="AM764">
        <v>4727</v>
      </c>
      <c r="AN764">
        <v>70</v>
      </c>
      <c r="AO764">
        <v>71</v>
      </c>
      <c r="AP764">
        <v>72</v>
      </c>
      <c r="AQ764">
        <v>3.5</v>
      </c>
      <c r="AR764" t="s">
        <v>28</v>
      </c>
      <c r="AS764" t="s">
        <v>109</v>
      </c>
      <c r="AT764" t="s">
        <v>108</v>
      </c>
      <c r="AU764">
        <v>143.19999999999999</v>
      </c>
      <c r="AV764">
        <v>31</v>
      </c>
      <c r="AW764">
        <v>3</v>
      </c>
      <c r="AX764">
        <v>4</v>
      </c>
      <c r="AY764">
        <v>27</v>
      </c>
      <c r="AZ764">
        <v>5</v>
      </c>
      <c r="BA764">
        <v>11026</v>
      </c>
      <c r="BB764">
        <v>74</v>
      </c>
      <c r="BC764">
        <v>76</v>
      </c>
      <c r="BD764">
        <v>74</v>
      </c>
      <c r="BE764">
        <v>3.5</v>
      </c>
      <c r="BF764" t="s">
        <v>29</v>
      </c>
      <c r="BG764">
        <v>-7</v>
      </c>
      <c r="BH764">
        <v>11</v>
      </c>
      <c r="BI764">
        <v>0.33</v>
      </c>
      <c r="BJ764" t="s">
        <v>108</v>
      </c>
      <c r="BK764">
        <v>0.4032</v>
      </c>
      <c r="BL764">
        <v>0.50649999999999995</v>
      </c>
      <c r="BM764">
        <v>1.26</v>
      </c>
      <c r="BN764">
        <v>1.65</v>
      </c>
    </row>
    <row r="765" spans="1:66" x14ac:dyDescent="0.25">
      <c r="A765">
        <v>3</v>
      </c>
      <c r="B765">
        <v>-1</v>
      </c>
      <c r="C765">
        <v>3</v>
      </c>
      <c r="D765">
        <v>3.0666666666666664</v>
      </c>
      <c r="E765">
        <v>3.3166666666666664</v>
      </c>
      <c r="F765">
        <v>2.2266666666666666</v>
      </c>
      <c r="G765" s="40">
        <v>0.26</v>
      </c>
      <c r="H765" s="40">
        <v>0.32</v>
      </c>
      <c r="I765" s="40">
        <v>0.42</v>
      </c>
      <c r="J765">
        <v>2.9</v>
      </c>
      <c r="K765">
        <v>3.25</v>
      </c>
      <c r="L765">
        <v>2.16</v>
      </c>
      <c r="M765">
        <v>3.2</v>
      </c>
      <c r="N765">
        <v>3.3</v>
      </c>
      <c r="O765">
        <v>2.25</v>
      </c>
      <c r="P765">
        <v>3.1</v>
      </c>
      <c r="Q765">
        <v>3.4</v>
      </c>
      <c r="R765">
        <v>2.27</v>
      </c>
      <c r="S765">
        <v>0.31581046055692169</v>
      </c>
      <c r="T765">
        <v>0.26018475443610029</v>
      </c>
      <c r="U765">
        <v>0.42400478500697819</v>
      </c>
      <c r="V765">
        <v>0.29481834425253123</v>
      </c>
      <c r="W765">
        <v>0.28588445503275761</v>
      </c>
      <c r="X765">
        <v>0.4192972007147111</v>
      </c>
      <c r="Y765">
        <v>0.30511958885155166</v>
      </c>
      <c r="Z765">
        <v>0.27819727218817947</v>
      </c>
      <c r="AA765">
        <v>0.41668313896026876</v>
      </c>
      <c r="AB765">
        <v>0.30524946455366814</v>
      </c>
      <c r="AC765">
        <v>0.2747554938856791</v>
      </c>
      <c r="AD765">
        <v>0.41999504156065265</v>
      </c>
      <c r="AE765" t="s">
        <v>112</v>
      </c>
      <c r="AF765" t="s">
        <v>108</v>
      </c>
      <c r="AG765">
        <v>59.75</v>
      </c>
      <c r="AH765">
        <v>28</v>
      </c>
      <c r="AI765">
        <v>8</v>
      </c>
      <c r="AJ765">
        <v>4</v>
      </c>
      <c r="AK765">
        <v>26</v>
      </c>
      <c r="AL765">
        <v>17</v>
      </c>
      <c r="AM765">
        <v>9035</v>
      </c>
      <c r="AN765">
        <v>71</v>
      </c>
      <c r="AO765">
        <v>75</v>
      </c>
      <c r="AP765">
        <v>75</v>
      </c>
      <c r="AQ765">
        <v>3.5</v>
      </c>
      <c r="AR765" t="s">
        <v>29</v>
      </c>
      <c r="AS765" t="s">
        <v>107</v>
      </c>
      <c r="AT765" t="s">
        <v>108</v>
      </c>
      <c r="AU765">
        <v>148.6</v>
      </c>
      <c r="AV765">
        <v>32</v>
      </c>
      <c r="AW765">
        <v>2</v>
      </c>
      <c r="AX765">
        <v>7</v>
      </c>
      <c r="AY765">
        <v>27.2</v>
      </c>
      <c r="AZ765">
        <v>2</v>
      </c>
      <c r="BA765">
        <v>13486</v>
      </c>
      <c r="BB765">
        <v>77</v>
      </c>
      <c r="BC765">
        <v>75</v>
      </c>
      <c r="BD765">
        <v>75</v>
      </c>
      <c r="BE765">
        <v>4</v>
      </c>
      <c r="BF765" t="s">
        <v>29</v>
      </c>
      <c r="BG765">
        <v>5</v>
      </c>
      <c r="BH765">
        <v>61</v>
      </c>
      <c r="BI765">
        <v>0.41499999999999998</v>
      </c>
      <c r="BJ765" t="s">
        <v>108</v>
      </c>
      <c r="BK765">
        <v>0.52939999999999998</v>
      </c>
      <c r="BL765">
        <v>0.62860000000000005</v>
      </c>
      <c r="BM765">
        <v>1.5</v>
      </c>
      <c r="BN765">
        <v>1.87</v>
      </c>
    </row>
    <row r="766" spans="1:66" x14ac:dyDescent="0.25">
      <c r="A766">
        <v>1</v>
      </c>
      <c r="B766">
        <v>2</v>
      </c>
      <c r="C766">
        <v>2</v>
      </c>
      <c r="D766">
        <v>1.7943333333333333</v>
      </c>
      <c r="E766">
        <v>3.2666666666666671</v>
      </c>
      <c r="F766">
        <v>4.6833333333333336</v>
      </c>
      <c r="G766" s="40">
        <v>0.39</v>
      </c>
      <c r="H766" s="40">
        <v>0.33</v>
      </c>
      <c r="I766" s="40">
        <v>0.27999999999999997</v>
      </c>
      <c r="J766">
        <v>1.72</v>
      </c>
      <c r="K766">
        <v>3.2</v>
      </c>
      <c r="L766">
        <v>4.5999999999999996</v>
      </c>
      <c r="M766">
        <v>1.833</v>
      </c>
      <c r="N766">
        <v>3.3</v>
      </c>
      <c r="O766">
        <v>4.75</v>
      </c>
      <c r="P766">
        <v>1.83</v>
      </c>
      <c r="Q766">
        <v>3.3</v>
      </c>
      <c r="R766">
        <v>4.7</v>
      </c>
      <c r="S766">
        <v>0.55006256791912278</v>
      </c>
      <c r="T766">
        <v>0.24426186320677051</v>
      </c>
      <c r="U766">
        <v>0.20567556887410679</v>
      </c>
      <c r="V766">
        <v>0.51510565827545574</v>
      </c>
      <c r="W766">
        <v>0.28611777927845772</v>
      </c>
      <c r="X766">
        <v>0.19877656244608641</v>
      </c>
      <c r="Y766">
        <v>0.51442786069651747</v>
      </c>
      <c r="Z766">
        <v>0.28527363184079607</v>
      </c>
      <c r="AA766">
        <v>0.20029850746268657</v>
      </c>
      <c r="AB766">
        <v>0.52653202896369866</v>
      </c>
      <c r="AC766">
        <v>0.27188442477534142</v>
      </c>
      <c r="AD766">
        <v>0.20158354626095989</v>
      </c>
      <c r="AE766" t="s">
        <v>115</v>
      </c>
      <c r="AF766" t="s">
        <v>108</v>
      </c>
      <c r="AG766">
        <v>71.75</v>
      </c>
      <c r="AH766">
        <v>32</v>
      </c>
      <c r="AI766">
        <v>2</v>
      </c>
      <c r="AJ766">
        <v>2</v>
      </c>
      <c r="AK766">
        <v>25.8</v>
      </c>
      <c r="AL766">
        <v>64</v>
      </c>
      <c r="AM766">
        <v>6079</v>
      </c>
      <c r="AN766">
        <v>72</v>
      </c>
      <c r="AO766">
        <v>72</v>
      </c>
      <c r="AP766">
        <v>74</v>
      </c>
      <c r="AQ766">
        <v>3.5</v>
      </c>
      <c r="AR766" t="s">
        <v>29</v>
      </c>
      <c r="AS766" t="s">
        <v>114</v>
      </c>
      <c r="AT766" t="s">
        <v>108</v>
      </c>
      <c r="AU766">
        <v>59.75</v>
      </c>
      <c r="AV766">
        <v>40</v>
      </c>
      <c r="AW766">
        <v>3</v>
      </c>
      <c r="AX766">
        <v>0</v>
      </c>
      <c r="AY766">
        <v>24.7</v>
      </c>
      <c r="AZ766">
        <v>40</v>
      </c>
      <c r="BA766">
        <v>7098</v>
      </c>
      <c r="BB766">
        <v>74</v>
      </c>
      <c r="BC766">
        <v>72</v>
      </c>
      <c r="BD766">
        <v>73</v>
      </c>
      <c r="BE766">
        <v>3.5</v>
      </c>
      <c r="BF766" t="s">
        <v>29</v>
      </c>
      <c r="BG766">
        <v>8</v>
      </c>
      <c r="BH766">
        <v>63</v>
      </c>
      <c r="BI766">
        <v>0.39500000000000002</v>
      </c>
      <c r="BJ766" t="s">
        <v>108</v>
      </c>
      <c r="BK766">
        <v>0.3448</v>
      </c>
      <c r="BL766">
        <v>0.39389999999999997</v>
      </c>
      <c r="BM766">
        <v>1.1599999999999999</v>
      </c>
      <c r="BN766">
        <v>1.3</v>
      </c>
    </row>
    <row r="767" spans="1:66" x14ac:dyDescent="0.25">
      <c r="A767">
        <v>2</v>
      </c>
      <c r="B767">
        <v>0</v>
      </c>
      <c r="C767">
        <v>2</v>
      </c>
      <c r="D767">
        <v>2.793333333333333</v>
      </c>
      <c r="E767">
        <v>3.0833333333333335</v>
      </c>
      <c r="F767">
        <v>2.64</v>
      </c>
      <c r="G767" s="40">
        <v>0.25</v>
      </c>
      <c r="H767" s="40">
        <v>0.44</v>
      </c>
      <c r="I767" s="40">
        <v>0.31</v>
      </c>
      <c r="J767">
        <v>2.8</v>
      </c>
      <c r="K767">
        <v>3.1</v>
      </c>
      <c r="L767">
        <v>2.65</v>
      </c>
      <c r="M767">
        <v>2.8</v>
      </c>
      <c r="N767">
        <v>3.1</v>
      </c>
      <c r="O767">
        <v>2.6</v>
      </c>
      <c r="P767">
        <v>2.78</v>
      </c>
      <c r="Q767">
        <v>3.05</v>
      </c>
      <c r="R767">
        <v>2.67</v>
      </c>
      <c r="S767">
        <v>0.34865096768042714</v>
      </c>
      <c r="T767">
        <v>0.28296310420440457</v>
      </c>
      <c r="U767">
        <v>0.36838592811516829</v>
      </c>
      <c r="V767">
        <v>0.33555370524562866</v>
      </c>
      <c r="W767">
        <v>0.30308076602830969</v>
      </c>
      <c r="X767">
        <v>0.36136552872606159</v>
      </c>
      <c r="Y767">
        <v>0.33867607121617294</v>
      </c>
      <c r="Z767">
        <v>0.30869491081342976</v>
      </c>
      <c r="AA767">
        <v>0.35262901797039731</v>
      </c>
      <c r="AB767">
        <v>0.3409602480474096</v>
      </c>
      <c r="AC767">
        <v>0.29824626034871465</v>
      </c>
      <c r="AD767">
        <v>0.36079349160387575</v>
      </c>
      <c r="AE767" t="s">
        <v>74</v>
      </c>
      <c r="AF767" t="s">
        <v>63</v>
      </c>
      <c r="AG767">
        <v>9.73</v>
      </c>
      <c r="AH767">
        <v>33</v>
      </c>
      <c r="AI767">
        <v>1</v>
      </c>
      <c r="AJ767">
        <v>0</v>
      </c>
      <c r="AK767">
        <v>26.2</v>
      </c>
      <c r="AL767">
        <v>254</v>
      </c>
      <c r="AM767">
        <v>2813</v>
      </c>
      <c r="AN767">
        <v>67</v>
      </c>
      <c r="AO767">
        <v>64</v>
      </c>
      <c r="AP767">
        <v>65</v>
      </c>
      <c r="AQ767">
        <v>2</v>
      </c>
      <c r="AR767" t="s">
        <v>46</v>
      </c>
      <c r="AS767" t="s">
        <v>66</v>
      </c>
      <c r="AT767" t="s">
        <v>63</v>
      </c>
      <c r="AU767">
        <v>22.13</v>
      </c>
      <c r="AV767">
        <v>32</v>
      </c>
      <c r="AW767">
        <v>3</v>
      </c>
      <c r="AX767">
        <v>0</v>
      </c>
      <c r="AY767">
        <v>27.7</v>
      </c>
      <c r="AZ767">
        <v>93</v>
      </c>
      <c r="BA767">
        <v>5011</v>
      </c>
      <c r="BB767">
        <v>70</v>
      </c>
      <c r="BC767">
        <v>70</v>
      </c>
      <c r="BD767">
        <v>67</v>
      </c>
      <c r="BE767">
        <v>3</v>
      </c>
      <c r="BF767" t="s">
        <v>28</v>
      </c>
      <c r="BG767">
        <v>-7</v>
      </c>
      <c r="BH767">
        <v>17</v>
      </c>
      <c r="BI767">
        <v>0.25</v>
      </c>
      <c r="BJ767" t="s">
        <v>63</v>
      </c>
      <c r="BK767">
        <v>0.25</v>
      </c>
      <c r="BL767">
        <v>0.4</v>
      </c>
      <c r="BM767">
        <v>1.17</v>
      </c>
      <c r="BN767">
        <v>1.28</v>
      </c>
    </row>
    <row r="768" spans="1:66" x14ac:dyDescent="0.25">
      <c r="A768">
        <v>3</v>
      </c>
      <c r="B768">
        <v>-2</v>
      </c>
      <c r="C768">
        <v>4</v>
      </c>
      <c r="D768">
        <v>2.25</v>
      </c>
      <c r="E768">
        <v>3.1666666666666665</v>
      </c>
      <c r="F768">
        <v>3.3333333333333335</v>
      </c>
      <c r="G768" s="40">
        <v>0.42</v>
      </c>
      <c r="H768" s="40">
        <v>0.41</v>
      </c>
      <c r="I768" s="40">
        <v>0.1700000000000001</v>
      </c>
      <c r="J768">
        <v>2.23</v>
      </c>
      <c r="K768">
        <v>3.1</v>
      </c>
      <c r="L768">
        <v>3.5</v>
      </c>
      <c r="M768">
        <v>2.25</v>
      </c>
      <c r="N768">
        <v>3.25</v>
      </c>
      <c r="O768">
        <v>3.2</v>
      </c>
      <c r="P768">
        <v>2.27</v>
      </c>
      <c r="Q768">
        <v>3.15</v>
      </c>
      <c r="R768">
        <v>3.3</v>
      </c>
      <c r="S768">
        <v>0.44121012891803008</v>
      </c>
      <c r="T768">
        <v>0.27767598894276779</v>
      </c>
      <c r="U768">
        <v>0.28111388213920202</v>
      </c>
      <c r="V768">
        <v>0.41746111389864521</v>
      </c>
      <c r="W768">
        <v>0.28901154039136978</v>
      </c>
      <c r="X768">
        <v>0.2935273457099849</v>
      </c>
      <c r="Y768">
        <v>0.41519381702714037</v>
      </c>
      <c r="Z768">
        <v>0.29920316338146308</v>
      </c>
      <c r="AA768">
        <v>0.28560301959139656</v>
      </c>
      <c r="AB768">
        <v>0.42462168661460525</v>
      </c>
      <c r="AC768">
        <v>0.28863023090520024</v>
      </c>
      <c r="AD768">
        <v>0.28674808248019451</v>
      </c>
      <c r="AE768" t="s">
        <v>67</v>
      </c>
      <c r="AF768" t="s">
        <v>63</v>
      </c>
      <c r="AG768">
        <v>21.85</v>
      </c>
      <c r="AH768">
        <v>29</v>
      </c>
      <c r="AI768">
        <v>2</v>
      </c>
      <c r="AJ768">
        <v>4</v>
      </c>
      <c r="AK768">
        <v>25.7</v>
      </c>
      <c r="AL768">
        <v>104</v>
      </c>
      <c r="AM768">
        <v>4793</v>
      </c>
      <c r="AN768">
        <v>67</v>
      </c>
      <c r="AO768">
        <v>70</v>
      </c>
      <c r="AP768">
        <v>67</v>
      </c>
      <c r="AQ768">
        <v>2.5</v>
      </c>
      <c r="AR768" t="s">
        <v>29</v>
      </c>
      <c r="AS768" t="s">
        <v>70</v>
      </c>
      <c r="AT768" t="s">
        <v>63</v>
      </c>
      <c r="AU768">
        <v>16.38</v>
      </c>
      <c r="AV768">
        <v>28</v>
      </c>
      <c r="AW768">
        <v>1</v>
      </c>
      <c r="AX768">
        <v>3</v>
      </c>
      <c r="AY768">
        <v>25.3</v>
      </c>
      <c r="AZ768">
        <v>200</v>
      </c>
      <c r="BA768">
        <v>3276</v>
      </c>
      <c r="BB768">
        <v>69</v>
      </c>
      <c r="BC768">
        <v>63</v>
      </c>
      <c r="BD768">
        <v>65</v>
      </c>
      <c r="BE768">
        <v>2</v>
      </c>
      <c r="BF768" t="s">
        <v>29</v>
      </c>
      <c r="BG768">
        <v>3</v>
      </c>
      <c r="BH768">
        <v>58</v>
      </c>
      <c r="BI768">
        <v>0.38500000000000001</v>
      </c>
      <c r="BJ768" t="s">
        <v>63</v>
      </c>
      <c r="BK768">
        <v>0.42859999999999998</v>
      </c>
      <c r="BL768">
        <v>0.36</v>
      </c>
      <c r="BM768">
        <v>1.75</v>
      </c>
      <c r="BN768">
        <v>1.44</v>
      </c>
    </row>
    <row r="769" spans="1:66" x14ac:dyDescent="0.25">
      <c r="A769">
        <v>2</v>
      </c>
      <c r="B769">
        <v>0</v>
      </c>
      <c r="C769">
        <v>0</v>
      </c>
      <c r="D769">
        <v>1.46</v>
      </c>
      <c r="E769">
        <v>4.2766666666666664</v>
      </c>
      <c r="F769">
        <v>7.0333333333333341</v>
      </c>
      <c r="G769" s="40">
        <v>0.48</v>
      </c>
      <c r="H769" s="40">
        <v>0.3</v>
      </c>
      <c r="I769" s="40">
        <v>0.22000000000000003</v>
      </c>
      <c r="J769">
        <v>1.46</v>
      </c>
      <c r="K769">
        <v>4.0999999999999996</v>
      </c>
      <c r="L769">
        <v>7.5</v>
      </c>
      <c r="M769">
        <v>1.48</v>
      </c>
      <c r="N769">
        <v>4.33</v>
      </c>
      <c r="O769">
        <v>6.5</v>
      </c>
      <c r="P769">
        <v>1.44</v>
      </c>
      <c r="Q769">
        <v>4.4000000000000004</v>
      </c>
      <c r="R769">
        <v>7.1</v>
      </c>
      <c r="S769">
        <v>0.69448909037742457</v>
      </c>
      <c r="T769">
        <v>0.17031703336243673</v>
      </c>
      <c r="U769">
        <v>0.13519387626013865</v>
      </c>
      <c r="V769">
        <v>0.63714814798045893</v>
      </c>
      <c r="W769">
        <v>0.21777811986399057</v>
      </c>
      <c r="X769">
        <v>0.14507373215555064</v>
      </c>
      <c r="Y769">
        <v>0.65355648535564848</v>
      </c>
      <c r="Z769">
        <v>0.21389121338912129</v>
      </c>
      <c r="AA769">
        <v>0.13255230125523013</v>
      </c>
      <c r="AB769">
        <v>0.66173124123784399</v>
      </c>
      <c r="AC769">
        <v>0.20066212220518287</v>
      </c>
      <c r="AD769">
        <v>0.13760663655697314</v>
      </c>
      <c r="AE769" t="s">
        <v>64</v>
      </c>
      <c r="AF769" t="s">
        <v>63</v>
      </c>
      <c r="AG769">
        <v>13.1</v>
      </c>
      <c r="AH769">
        <v>30</v>
      </c>
      <c r="AI769">
        <v>4</v>
      </c>
      <c r="AJ769">
        <v>0</v>
      </c>
      <c r="AK769">
        <v>25.1</v>
      </c>
      <c r="AL769">
        <v>71</v>
      </c>
      <c r="AM769">
        <v>5560</v>
      </c>
      <c r="AN769">
        <v>71</v>
      </c>
      <c r="AO769">
        <v>64</v>
      </c>
      <c r="AP769">
        <v>67</v>
      </c>
      <c r="AQ769">
        <v>2</v>
      </c>
      <c r="AR769" t="s">
        <v>29</v>
      </c>
      <c r="AS769" t="s">
        <v>73</v>
      </c>
      <c r="AT769" t="s">
        <v>63</v>
      </c>
      <c r="AU769">
        <v>11.68</v>
      </c>
      <c r="AV769">
        <v>34</v>
      </c>
      <c r="AW769">
        <v>4</v>
      </c>
      <c r="AX769">
        <v>1</v>
      </c>
      <c r="AY769">
        <v>25.7</v>
      </c>
      <c r="AZ769">
        <v>237</v>
      </c>
      <c r="BA769">
        <v>2952</v>
      </c>
      <c r="BB769">
        <v>69</v>
      </c>
      <c r="BC769">
        <v>68</v>
      </c>
      <c r="BD769">
        <v>68</v>
      </c>
      <c r="BE769">
        <v>2.5</v>
      </c>
      <c r="BF769" t="s">
        <v>29</v>
      </c>
      <c r="BG769">
        <v>-2</v>
      </c>
      <c r="BH769">
        <v>44</v>
      </c>
      <c r="BI769">
        <v>0.44800000000000001</v>
      </c>
      <c r="BJ769" t="s">
        <v>63</v>
      </c>
      <c r="BK769">
        <v>0.37930000000000003</v>
      </c>
      <c r="BL769">
        <v>0.31819999999999998</v>
      </c>
      <c r="BM769">
        <v>1.48</v>
      </c>
      <c r="BN769">
        <v>1.23</v>
      </c>
    </row>
    <row r="770" spans="1:66" x14ac:dyDescent="0.25">
      <c r="A770">
        <v>2</v>
      </c>
      <c r="B770">
        <v>0</v>
      </c>
      <c r="C770">
        <v>2</v>
      </c>
      <c r="D770">
        <v>3.5333333333333332</v>
      </c>
      <c r="E770">
        <v>3.25</v>
      </c>
      <c r="F770">
        <v>2.1433333333333335</v>
      </c>
      <c r="G770" s="40">
        <v>0.24</v>
      </c>
      <c r="H770" s="40">
        <v>0.39</v>
      </c>
      <c r="I770" s="40">
        <v>0.37</v>
      </c>
      <c r="J770">
        <v>3.65</v>
      </c>
      <c r="K770">
        <v>3.3</v>
      </c>
      <c r="L770">
        <v>2.08</v>
      </c>
      <c r="M770">
        <v>3.4</v>
      </c>
      <c r="N770">
        <v>3.25</v>
      </c>
      <c r="O770">
        <v>2.2000000000000002</v>
      </c>
      <c r="P770">
        <v>3.55</v>
      </c>
      <c r="Q770">
        <v>3.2</v>
      </c>
      <c r="R770">
        <v>2.15</v>
      </c>
      <c r="S770">
        <v>0.26933756580669066</v>
      </c>
      <c r="T770">
        <v>0.25802680188829946</v>
      </c>
      <c r="U770">
        <v>0.47263563230500993</v>
      </c>
      <c r="V770">
        <v>0.27842679127725856</v>
      </c>
      <c r="W770">
        <v>0.29127725856697817</v>
      </c>
      <c r="X770">
        <v>0.43029595015576322</v>
      </c>
      <c r="Y770">
        <v>0.2659194125036235</v>
      </c>
      <c r="Z770">
        <v>0.2950043482462073</v>
      </c>
      <c r="AA770">
        <v>0.43907623925016909</v>
      </c>
      <c r="AB770">
        <v>0.27122792319585759</v>
      </c>
      <c r="AC770">
        <v>0.28143613623382829</v>
      </c>
      <c r="AD770">
        <v>0.44733594057031406</v>
      </c>
      <c r="AE770" t="s">
        <v>69</v>
      </c>
      <c r="AF770" t="s">
        <v>63</v>
      </c>
      <c r="AG770">
        <v>8.83</v>
      </c>
      <c r="AH770">
        <v>30</v>
      </c>
      <c r="AI770">
        <v>1</v>
      </c>
      <c r="AJ770">
        <v>0</v>
      </c>
      <c r="AK770">
        <v>27</v>
      </c>
      <c r="AL770">
        <v>181</v>
      </c>
      <c r="AM770">
        <v>3617</v>
      </c>
      <c r="AN770">
        <v>63</v>
      </c>
      <c r="AO770">
        <v>64</v>
      </c>
      <c r="AP770">
        <v>64</v>
      </c>
      <c r="AQ770">
        <v>1.5</v>
      </c>
      <c r="AR770" t="s">
        <v>29</v>
      </c>
      <c r="AS770" t="s">
        <v>65</v>
      </c>
      <c r="AT770" t="s">
        <v>63</v>
      </c>
      <c r="AU770">
        <v>14.58</v>
      </c>
      <c r="AV770">
        <v>35</v>
      </c>
      <c r="AW770">
        <v>3</v>
      </c>
      <c r="AX770">
        <v>1</v>
      </c>
      <c r="AY770">
        <v>25.9</v>
      </c>
      <c r="AZ770">
        <v>91</v>
      </c>
      <c r="BA770">
        <v>5087</v>
      </c>
      <c r="BB770">
        <v>68</v>
      </c>
      <c r="BC770">
        <v>61</v>
      </c>
      <c r="BD770">
        <v>64</v>
      </c>
      <c r="BE770">
        <v>1.5</v>
      </c>
      <c r="BF770" t="s">
        <v>29</v>
      </c>
      <c r="BG770">
        <v>-11</v>
      </c>
      <c r="BH770">
        <v>23</v>
      </c>
      <c r="BI770">
        <v>0.28599999999999998</v>
      </c>
      <c r="BJ770" t="s">
        <v>63</v>
      </c>
      <c r="BK770">
        <v>0.37040000000000001</v>
      </c>
      <c r="BL770">
        <v>0.35289999999999999</v>
      </c>
      <c r="BM770">
        <v>1.1499999999999999</v>
      </c>
      <c r="BN770">
        <v>1.24</v>
      </c>
    </row>
    <row r="771" spans="1:66" x14ac:dyDescent="0.25">
      <c r="A771">
        <v>3</v>
      </c>
      <c r="B771">
        <v>-1</v>
      </c>
      <c r="C771">
        <v>1</v>
      </c>
      <c r="D771">
        <v>1.5166666666666666</v>
      </c>
      <c r="E771">
        <v>3.9166666666666665</v>
      </c>
      <c r="F771">
        <v>6.8666666666666671</v>
      </c>
      <c r="G771" s="40">
        <v>0.33</v>
      </c>
      <c r="H771" s="40">
        <v>0.44</v>
      </c>
      <c r="I771" s="40">
        <v>0.22999999999999993</v>
      </c>
      <c r="J771">
        <v>1.49</v>
      </c>
      <c r="K771">
        <v>3.9</v>
      </c>
      <c r="L771">
        <v>7.5</v>
      </c>
      <c r="M771">
        <v>1.53</v>
      </c>
      <c r="N771">
        <v>3.9</v>
      </c>
      <c r="O771">
        <v>6.5</v>
      </c>
      <c r="P771">
        <v>1.53</v>
      </c>
      <c r="Q771">
        <v>3.95</v>
      </c>
      <c r="R771">
        <v>6.6</v>
      </c>
      <c r="S771">
        <v>0.68482684446429631</v>
      </c>
      <c r="T771">
        <v>0.17912088910213014</v>
      </c>
      <c r="U771">
        <v>0.13605226643357354</v>
      </c>
      <c r="V771">
        <v>0.61436672967863892</v>
      </c>
      <c r="W771">
        <v>0.24102079395085066</v>
      </c>
      <c r="X771">
        <v>0.14461247637051042</v>
      </c>
      <c r="Y771">
        <v>0.6176042073842436</v>
      </c>
      <c r="Z771">
        <v>0.23922390817668174</v>
      </c>
      <c r="AA771">
        <v>0.14317188443907466</v>
      </c>
      <c r="AB771">
        <v>0.63893259384239298</v>
      </c>
      <c r="AC771">
        <v>0.21978853040988752</v>
      </c>
      <c r="AD771">
        <v>0.14127887574771955</v>
      </c>
      <c r="AE771" t="s">
        <v>72</v>
      </c>
      <c r="AF771" t="s">
        <v>63</v>
      </c>
      <c r="AG771">
        <v>14.85</v>
      </c>
      <c r="AH771">
        <v>33</v>
      </c>
      <c r="AI771">
        <v>3</v>
      </c>
      <c r="AJ771">
        <v>2</v>
      </c>
      <c r="AK771">
        <v>25.9</v>
      </c>
      <c r="AL771">
        <v>209</v>
      </c>
      <c r="AM771">
        <v>3175</v>
      </c>
      <c r="AN771">
        <v>65</v>
      </c>
      <c r="AO771">
        <v>64</v>
      </c>
      <c r="AP771">
        <v>63</v>
      </c>
      <c r="AQ771">
        <v>1.5</v>
      </c>
      <c r="AR771" t="s">
        <v>46</v>
      </c>
      <c r="AS771" t="s">
        <v>75</v>
      </c>
      <c r="AT771" t="s">
        <v>63</v>
      </c>
      <c r="AU771">
        <v>9.3000000000000007</v>
      </c>
      <c r="AV771">
        <v>29</v>
      </c>
      <c r="AW771">
        <v>4</v>
      </c>
      <c r="AX771">
        <v>0</v>
      </c>
      <c r="AY771">
        <v>25.6</v>
      </c>
      <c r="AZ771">
        <v>317</v>
      </c>
      <c r="BA771">
        <v>2374</v>
      </c>
      <c r="BB771">
        <v>69</v>
      </c>
      <c r="BC771">
        <v>66</v>
      </c>
      <c r="BD771">
        <v>64</v>
      </c>
      <c r="BE771">
        <v>2.5</v>
      </c>
      <c r="BF771" t="s">
        <v>46</v>
      </c>
      <c r="BG771">
        <v>11</v>
      </c>
      <c r="BH771">
        <v>45</v>
      </c>
      <c r="BI771">
        <v>0.52</v>
      </c>
      <c r="BJ771" t="s">
        <v>63</v>
      </c>
      <c r="BK771">
        <v>0.51719999999999999</v>
      </c>
      <c r="BL771">
        <v>0.43480000000000002</v>
      </c>
      <c r="BM771">
        <v>1.55</v>
      </c>
      <c r="BN771">
        <v>1.43</v>
      </c>
    </row>
    <row r="772" spans="1:66" x14ac:dyDescent="0.25">
      <c r="A772">
        <v>1</v>
      </c>
      <c r="B772">
        <v>2</v>
      </c>
      <c r="C772">
        <v>2</v>
      </c>
      <c r="D772">
        <v>2.0366666666666666</v>
      </c>
      <c r="E772">
        <v>3.3000000000000003</v>
      </c>
      <c r="F772">
        <v>3.8000000000000003</v>
      </c>
      <c r="G772" s="40">
        <v>0.32</v>
      </c>
      <c r="H772" s="40">
        <v>0.42</v>
      </c>
      <c r="I772" s="40">
        <v>0.25999999999999995</v>
      </c>
      <c r="J772">
        <v>1.97</v>
      </c>
      <c r="K772">
        <v>3.3</v>
      </c>
      <c r="L772">
        <v>4</v>
      </c>
      <c r="M772">
        <v>2.1</v>
      </c>
      <c r="N772">
        <v>3.35</v>
      </c>
      <c r="O772">
        <v>3.6</v>
      </c>
      <c r="P772">
        <v>2.04</v>
      </c>
      <c r="Q772">
        <v>3.25</v>
      </c>
      <c r="R772">
        <v>3.8</v>
      </c>
      <c r="S772">
        <v>0.50026846025984384</v>
      </c>
      <c r="T772">
        <v>0.25334932306218311</v>
      </c>
      <c r="U772">
        <v>0.24638221667797308</v>
      </c>
      <c r="V772">
        <v>0.45244794597636467</v>
      </c>
      <c r="W772">
        <v>0.28362408553742263</v>
      </c>
      <c r="X772">
        <v>0.26392796848621275</v>
      </c>
      <c r="Y772">
        <v>0.46199311686368399</v>
      </c>
      <c r="Z772">
        <v>0.28998952566212782</v>
      </c>
      <c r="AA772">
        <v>0.24801735747418827</v>
      </c>
      <c r="AB772">
        <v>0.47156984103329752</v>
      </c>
      <c r="AC772">
        <v>0.27565431142057784</v>
      </c>
      <c r="AD772">
        <v>0.2527758475461247</v>
      </c>
      <c r="AE772" t="s">
        <v>71</v>
      </c>
      <c r="AF772" t="s">
        <v>63</v>
      </c>
      <c r="AG772">
        <v>11.5</v>
      </c>
      <c r="AH772">
        <v>28</v>
      </c>
      <c r="AI772">
        <v>3</v>
      </c>
      <c r="AJ772">
        <v>0</v>
      </c>
      <c r="AK772">
        <v>27</v>
      </c>
      <c r="AL772">
        <v>205</v>
      </c>
      <c r="AM772">
        <v>3223</v>
      </c>
      <c r="AN772">
        <v>65</v>
      </c>
      <c r="AO772">
        <v>67</v>
      </c>
      <c r="AP772">
        <v>63</v>
      </c>
      <c r="AQ772">
        <v>2</v>
      </c>
      <c r="AR772" t="s">
        <v>29</v>
      </c>
      <c r="AS772" t="s">
        <v>76</v>
      </c>
      <c r="AT772" t="s">
        <v>63</v>
      </c>
      <c r="AU772">
        <v>10.15</v>
      </c>
      <c r="AV772">
        <v>30</v>
      </c>
      <c r="AW772">
        <v>3</v>
      </c>
      <c r="AX772">
        <v>0</v>
      </c>
      <c r="AY772">
        <v>27.4</v>
      </c>
      <c r="AZ772">
        <v>349</v>
      </c>
      <c r="BA772">
        <v>2119</v>
      </c>
      <c r="BB772">
        <v>59</v>
      </c>
      <c r="BC772">
        <v>64</v>
      </c>
      <c r="BD772">
        <v>65</v>
      </c>
      <c r="BE772">
        <v>2</v>
      </c>
      <c r="BF772" t="s">
        <v>29</v>
      </c>
      <c r="BG772">
        <v>4</v>
      </c>
      <c r="BH772">
        <v>16</v>
      </c>
      <c r="BI772">
        <v>0.4</v>
      </c>
      <c r="BJ772" t="s">
        <v>63</v>
      </c>
      <c r="BK772">
        <v>0.38479999999999998</v>
      </c>
      <c r="BL772">
        <v>0.2727</v>
      </c>
      <c r="BM772">
        <v>1.42</v>
      </c>
      <c r="BN772">
        <v>0.82</v>
      </c>
    </row>
    <row r="773" spans="1:66" x14ac:dyDescent="0.25">
      <c r="A773">
        <v>3</v>
      </c>
      <c r="B773">
        <v>-2</v>
      </c>
      <c r="C773">
        <v>2</v>
      </c>
      <c r="D773">
        <v>2.8849999999999998</v>
      </c>
      <c r="E773">
        <v>3.4666666666666668</v>
      </c>
      <c r="F773">
        <v>2.4466666666666668</v>
      </c>
      <c r="G773" s="40">
        <v>0.24</v>
      </c>
      <c r="H773" s="40">
        <v>0.44</v>
      </c>
      <c r="I773" s="40">
        <v>0.32</v>
      </c>
      <c r="J773">
        <v>2.9</v>
      </c>
      <c r="K773">
        <v>3.55</v>
      </c>
      <c r="L773">
        <v>2.48</v>
      </c>
      <c r="M773">
        <v>2.875</v>
      </c>
      <c r="N773">
        <v>3.4</v>
      </c>
      <c r="O773">
        <v>2.4</v>
      </c>
      <c r="P773">
        <v>2.88</v>
      </c>
      <c r="Q773">
        <v>3.45</v>
      </c>
      <c r="R773">
        <v>2.46</v>
      </c>
      <c r="S773">
        <v>0.34607422741386962</v>
      </c>
      <c r="T773">
        <v>0.24924220020700877</v>
      </c>
      <c r="U773">
        <v>0.40468357237912173</v>
      </c>
      <c r="V773">
        <v>0.32856855244614458</v>
      </c>
      <c r="W773">
        <v>0.27783370243607813</v>
      </c>
      <c r="X773">
        <v>0.39359774511777734</v>
      </c>
      <c r="Y773">
        <v>0.33272175569825702</v>
      </c>
      <c r="Z773">
        <v>0.27775033519158843</v>
      </c>
      <c r="AA773">
        <v>0.38952790911015456</v>
      </c>
      <c r="AB773">
        <v>0.33578817851942372</v>
      </c>
      <c r="AC773">
        <v>0.26827541261155846</v>
      </c>
      <c r="AD773">
        <v>0.39593640886901788</v>
      </c>
      <c r="AE773" t="s">
        <v>149</v>
      </c>
      <c r="AF773" t="s">
        <v>141</v>
      </c>
      <c r="AG773">
        <v>298.89999999999998</v>
      </c>
      <c r="AH773">
        <v>24</v>
      </c>
      <c r="AI773">
        <v>9</v>
      </c>
      <c r="AJ773">
        <v>10</v>
      </c>
      <c r="AK773">
        <v>28.2</v>
      </c>
      <c r="AL773">
        <v>77</v>
      </c>
      <c r="AM773">
        <v>5396</v>
      </c>
      <c r="AN773">
        <v>82</v>
      </c>
      <c r="AO773">
        <v>79</v>
      </c>
      <c r="AP773">
        <v>79</v>
      </c>
      <c r="AQ773">
        <v>4.5</v>
      </c>
      <c r="AR773" t="s">
        <v>29</v>
      </c>
      <c r="AS773" t="s">
        <v>258</v>
      </c>
      <c r="AT773" t="s">
        <v>253</v>
      </c>
      <c r="AU773">
        <v>937.25</v>
      </c>
      <c r="AV773">
        <v>28</v>
      </c>
      <c r="AW773">
        <v>17</v>
      </c>
      <c r="AX773">
        <v>21</v>
      </c>
      <c r="AY773">
        <v>27.9</v>
      </c>
      <c r="AZ773">
        <v>39</v>
      </c>
      <c r="BA773">
        <v>7151</v>
      </c>
      <c r="BB773">
        <v>83</v>
      </c>
      <c r="BC773">
        <v>82</v>
      </c>
      <c r="BD773">
        <v>82</v>
      </c>
      <c r="BE773">
        <v>4.5</v>
      </c>
      <c r="BF773" t="s">
        <v>29</v>
      </c>
      <c r="BG773">
        <v>0</v>
      </c>
      <c r="BH773">
        <v>7</v>
      </c>
      <c r="BI773">
        <v>0.16700000000000001</v>
      </c>
      <c r="BJ773" t="s">
        <v>282</v>
      </c>
      <c r="BK773">
        <v>0.53449999999999998</v>
      </c>
      <c r="BL773">
        <v>0.57379999999999998</v>
      </c>
      <c r="BM773">
        <v>1.78</v>
      </c>
      <c r="BN773">
        <v>1.98</v>
      </c>
    </row>
    <row r="774" spans="1:66" x14ac:dyDescent="0.25">
      <c r="A774">
        <v>1</v>
      </c>
      <c r="B774">
        <v>3</v>
      </c>
      <c r="C774">
        <v>4</v>
      </c>
      <c r="D774">
        <v>1.6256666666666666</v>
      </c>
      <c r="E774">
        <v>3.85</v>
      </c>
      <c r="F774">
        <v>5.9333333333333336</v>
      </c>
      <c r="G774" s="40">
        <v>0.38</v>
      </c>
      <c r="H774" s="40">
        <v>0.35</v>
      </c>
      <c r="I774" s="40">
        <v>0.27</v>
      </c>
      <c r="J774">
        <v>1.61</v>
      </c>
      <c r="K774">
        <v>3.95</v>
      </c>
      <c r="L774">
        <v>6.4</v>
      </c>
      <c r="M774">
        <v>1.667</v>
      </c>
      <c r="N774">
        <v>3.6</v>
      </c>
      <c r="O774">
        <v>5.5</v>
      </c>
      <c r="P774">
        <v>1.6</v>
      </c>
      <c r="Q774">
        <v>4</v>
      </c>
      <c r="R774">
        <v>5.9</v>
      </c>
      <c r="S774">
        <v>0.64612011629468835</v>
      </c>
      <c r="T774">
        <v>0.19134029194992913</v>
      </c>
      <c r="U774">
        <v>0.16253959175538255</v>
      </c>
      <c r="V774">
        <v>0.56620445700134681</v>
      </c>
      <c r="W774">
        <v>0.2621841193947903</v>
      </c>
      <c r="X774">
        <v>0.17161142360386275</v>
      </c>
      <c r="Y774">
        <v>0.5983772819472617</v>
      </c>
      <c r="Z774">
        <v>0.23935091277890469</v>
      </c>
      <c r="AA774">
        <v>0.16227180527383367</v>
      </c>
      <c r="AB774">
        <v>0.60356728508109903</v>
      </c>
      <c r="AC774">
        <v>0.23095844137454136</v>
      </c>
      <c r="AD774">
        <v>0.16547427354435965</v>
      </c>
      <c r="AE774" t="s">
        <v>255</v>
      </c>
      <c r="AF774" t="s">
        <v>253</v>
      </c>
      <c r="AG774">
        <v>882.5</v>
      </c>
      <c r="AH774">
        <v>27</v>
      </c>
      <c r="AI774">
        <v>18</v>
      </c>
      <c r="AJ774">
        <v>17</v>
      </c>
      <c r="AK774">
        <v>26.7</v>
      </c>
      <c r="AL774">
        <v>19</v>
      </c>
      <c r="AM774">
        <v>8832</v>
      </c>
      <c r="AN774">
        <v>82</v>
      </c>
      <c r="AO774">
        <v>84</v>
      </c>
      <c r="AP774">
        <v>82</v>
      </c>
      <c r="AQ774">
        <v>4.5</v>
      </c>
      <c r="AR774" t="s">
        <v>28</v>
      </c>
      <c r="AS774" t="s">
        <v>306</v>
      </c>
      <c r="AT774" t="s">
        <v>307</v>
      </c>
      <c r="AU774">
        <v>640.4</v>
      </c>
      <c r="AV774">
        <v>25</v>
      </c>
      <c r="AW774">
        <v>14</v>
      </c>
      <c r="AX774">
        <v>20</v>
      </c>
      <c r="AY774">
        <v>27.3</v>
      </c>
      <c r="AZ774">
        <v>14</v>
      </c>
      <c r="BA774">
        <v>9319</v>
      </c>
      <c r="BB774">
        <v>87</v>
      </c>
      <c r="BC774">
        <v>81</v>
      </c>
      <c r="BD774">
        <v>83</v>
      </c>
      <c r="BE774">
        <v>5</v>
      </c>
      <c r="BF774" t="s">
        <v>28</v>
      </c>
      <c r="BG774">
        <v>-3</v>
      </c>
      <c r="BH774">
        <v>5</v>
      </c>
      <c r="BI774">
        <v>0.2</v>
      </c>
      <c r="BJ774" t="s">
        <v>282</v>
      </c>
      <c r="BK774">
        <v>0.57630000000000003</v>
      </c>
      <c r="BL774">
        <v>0.65380000000000005</v>
      </c>
      <c r="BM774">
        <v>1.68</v>
      </c>
      <c r="BN774">
        <v>2.08</v>
      </c>
    </row>
    <row r="775" spans="1:66" x14ac:dyDescent="0.25">
      <c r="A775">
        <v>1</v>
      </c>
      <c r="B775">
        <v>2</v>
      </c>
      <c r="C775">
        <v>2</v>
      </c>
      <c r="D775">
        <v>1.7333333333333334</v>
      </c>
      <c r="E775">
        <v>3.7333333333333329</v>
      </c>
      <c r="F775">
        <v>5</v>
      </c>
      <c r="G775" s="40">
        <v>0.33</v>
      </c>
      <c r="H775" s="40">
        <v>0.46</v>
      </c>
      <c r="I775" s="40">
        <v>0.20999999999999991</v>
      </c>
      <c r="J775">
        <v>1.7</v>
      </c>
      <c r="K775">
        <v>3.8</v>
      </c>
      <c r="L775">
        <v>5.5</v>
      </c>
      <c r="M775">
        <v>1.8</v>
      </c>
      <c r="N775">
        <v>3.55</v>
      </c>
      <c r="O775">
        <v>4.5</v>
      </c>
      <c r="P775">
        <v>1.7</v>
      </c>
      <c r="Q775">
        <v>3.85</v>
      </c>
      <c r="R775">
        <v>5</v>
      </c>
      <c r="S775">
        <v>0.60555678711298311</v>
      </c>
      <c r="T775">
        <v>0.20727111505209489</v>
      </c>
      <c r="U775">
        <v>0.18717209783492206</v>
      </c>
      <c r="V775">
        <v>0.52437223042836045</v>
      </c>
      <c r="W775">
        <v>0.26587887740029542</v>
      </c>
      <c r="X775">
        <v>0.20974889217134415</v>
      </c>
      <c r="Y775">
        <v>0.56130631287359667</v>
      </c>
      <c r="Z775">
        <v>0.24784954074938034</v>
      </c>
      <c r="AA775">
        <v>0.19084414637702288</v>
      </c>
      <c r="AB775">
        <v>0.56374511013831341</v>
      </c>
      <c r="AC775">
        <v>0.24033317773392357</v>
      </c>
      <c r="AD775">
        <v>0.19592171212776302</v>
      </c>
      <c r="AE775" t="s">
        <v>146</v>
      </c>
      <c r="AF775" t="s">
        <v>141</v>
      </c>
      <c r="AG775">
        <v>430.9</v>
      </c>
      <c r="AH775">
        <v>27</v>
      </c>
      <c r="AI775">
        <v>20</v>
      </c>
      <c r="AJ775">
        <v>14</v>
      </c>
      <c r="AK775">
        <v>28</v>
      </c>
      <c r="AL775">
        <v>31</v>
      </c>
      <c r="AM775">
        <v>7447</v>
      </c>
      <c r="AN775">
        <v>80</v>
      </c>
      <c r="AO775">
        <v>81</v>
      </c>
      <c r="AP775">
        <v>82</v>
      </c>
      <c r="AQ775">
        <v>4.5</v>
      </c>
      <c r="AR775" t="s">
        <v>29</v>
      </c>
      <c r="AS775" t="s">
        <v>274</v>
      </c>
      <c r="AT775" t="s">
        <v>26</v>
      </c>
      <c r="AU775">
        <v>287.75</v>
      </c>
      <c r="AV775">
        <v>31</v>
      </c>
      <c r="AW775">
        <v>20</v>
      </c>
      <c r="AX775">
        <v>11</v>
      </c>
      <c r="AY775">
        <v>25.4</v>
      </c>
      <c r="AZ775">
        <v>65</v>
      </c>
      <c r="BA775">
        <v>5919</v>
      </c>
      <c r="BB775">
        <v>78</v>
      </c>
      <c r="BC775">
        <v>78</v>
      </c>
      <c r="BD775">
        <v>77</v>
      </c>
      <c r="BE775">
        <v>4</v>
      </c>
      <c r="BF775" t="s">
        <v>46</v>
      </c>
      <c r="BG775">
        <v>0</v>
      </c>
      <c r="BH775">
        <v>1</v>
      </c>
      <c r="BI775">
        <v>0</v>
      </c>
      <c r="BJ775" t="s">
        <v>282</v>
      </c>
      <c r="BK775">
        <v>0.62960000000000005</v>
      </c>
      <c r="BL775">
        <v>0.53659999999999997</v>
      </c>
      <c r="BM775">
        <v>1.46</v>
      </c>
      <c r="BN775">
        <v>1.88</v>
      </c>
    </row>
    <row r="776" spans="1:66" x14ac:dyDescent="0.25">
      <c r="A776">
        <v>3</v>
      </c>
      <c r="B776">
        <v>-1</v>
      </c>
      <c r="C776">
        <v>1</v>
      </c>
      <c r="D776">
        <v>1.66</v>
      </c>
      <c r="E776">
        <v>3.9833333333333329</v>
      </c>
      <c r="F776">
        <v>5.2333333333333334</v>
      </c>
      <c r="G776" s="40">
        <v>0.41</v>
      </c>
      <c r="H776" s="40">
        <v>0.37</v>
      </c>
      <c r="I776" s="40">
        <v>0.22000000000000008</v>
      </c>
      <c r="J776">
        <v>1.65</v>
      </c>
      <c r="K776">
        <v>4.0999999999999996</v>
      </c>
      <c r="L776">
        <v>5.5</v>
      </c>
      <c r="M776">
        <v>1.67</v>
      </c>
      <c r="N776">
        <v>3.85</v>
      </c>
      <c r="O776">
        <v>5</v>
      </c>
      <c r="P776">
        <v>1.66</v>
      </c>
      <c r="Q776">
        <v>4</v>
      </c>
      <c r="R776">
        <v>5.2</v>
      </c>
      <c r="S776">
        <v>0.62173155142359093</v>
      </c>
      <c r="T776">
        <v>0.19174898314933184</v>
      </c>
      <c r="U776">
        <v>0.18651946542707729</v>
      </c>
      <c r="V776">
        <v>0.56568565509337476</v>
      </c>
      <c r="W776">
        <v>0.24537533610543788</v>
      </c>
      <c r="X776">
        <v>0.18893900880118719</v>
      </c>
      <c r="Y776">
        <v>0.57662452872033709</v>
      </c>
      <c r="Z776">
        <v>0.23929917941893988</v>
      </c>
      <c r="AA776">
        <v>0.18407629186072297</v>
      </c>
      <c r="AB776">
        <v>0.58801391174576756</v>
      </c>
      <c r="AC776">
        <v>0.22547449955790322</v>
      </c>
      <c r="AD776">
        <v>0.18651158869632914</v>
      </c>
      <c r="AE776" t="s">
        <v>143</v>
      </c>
      <c r="AF776" t="s">
        <v>141</v>
      </c>
      <c r="AG776">
        <v>755.2</v>
      </c>
      <c r="AH776">
        <v>22</v>
      </c>
      <c r="AI776">
        <v>19</v>
      </c>
      <c r="AJ776">
        <v>19</v>
      </c>
      <c r="AK776">
        <v>28</v>
      </c>
      <c r="AL776">
        <v>13</v>
      </c>
      <c r="AM776">
        <v>9329</v>
      </c>
      <c r="AN776">
        <v>85</v>
      </c>
      <c r="AO776">
        <v>82</v>
      </c>
      <c r="AP776">
        <v>83</v>
      </c>
      <c r="AQ776">
        <v>5</v>
      </c>
      <c r="AR776" t="s">
        <v>29</v>
      </c>
      <c r="AS776" t="s">
        <v>313</v>
      </c>
      <c r="AT776" t="s">
        <v>307</v>
      </c>
      <c r="AU776">
        <v>466.9</v>
      </c>
      <c r="AV776">
        <v>28</v>
      </c>
      <c r="AW776">
        <v>19</v>
      </c>
      <c r="AX776">
        <v>17</v>
      </c>
      <c r="AY776">
        <v>26.2</v>
      </c>
      <c r="AZ776">
        <v>121</v>
      </c>
      <c r="BA776">
        <v>4490</v>
      </c>
      <c r="BB776">
        <v>84</v>
      </c>
      <c r="BC776">
        <v>78</v>
      </c>
      <c r="BD776">
        <v>80</v>
      </c>
      <c r="BE776">
        <v>4.5</v>
      </c>
      <c r="BF776" t="s">
        <v>29</v>
      </c>
      <c r="BG776">
        <v>5</v>
      </c>
      <c r="BH776">
        <v>9</v>
      </c>
      <c r="BI776">
        <v>1</v>
      </c>
      <c r="BJ776" t="s">
        <v>282</v>
      </c>
      <c r="BK776">
        <v>0.60419999999999996</v>
      </c>
      <c r="BL776">
        <v>0.56599999999999995</v>
      </c>
      <c r="BM776">
        <v>1.6</v>
      </c>
      <c r="BN776">
        <v>1.85</v>
      </c>
    </row>
    <row r="777" spans="1:66" x14ac:dyDescent="0.25">
      <c r="A777">
        <v>1</v>
      </c>
      <c r="B777">
        <v>1</v>
      </c>
      <c r="C777">
        <v>3</v>
      </c>
      <c r="D777">
        <v>1.6519999999999999</v>
      </c>
      <c r="E777">
        <v>4.2666666666666666</v>
      </c>
      <c r="F777">
        <v>4.8666666666666663</v>
      </c>
      <c r="G777" s="40">
        <v>0.36</v>
      </c>
      <c r="H777" s="40">
        <v>0.38</v>
      </c>
      <c r="I777" s="40">
        <v>0.26</v>
      </c>
      <c r="J777">
        <v>1.66</v>
      </c>
      <c r="K777">
        <v>4.3</v>
      </c>
      <c r="L777">
        <v>5.0999999999999996</v>
      </c>
      <c r="M777">
        <v>1.6659999999999999</v>
      </c>
      <c r="N777">
        <v>4.2</v>
      </c>
      <c r="O777">
        <v>4.5</v>
      </c>
      <c r="P777">
        <v>1.63</v>
      </c>
      <c r="Q777">
        <v>4.3</v>
      </c>
      <c r="R777">
        <v>5</v>
      </c>
      <c r="S777">
        <v>0.61423482961579778</v>
      </c>
      <c r="T777">
        <v>0.18583775525435436</v>
      </c>
      <c r="U777">
        <v>0.19992741512984791</v>
      </c>
      <c r="V777">
        <v>0.56596654508866806</v>
      </c>
      <c r="W777">
        <v>0.22450006288517166</v>
      </c>
      <c r="X777">
        <v>0.20953339202616023</v>
      </c>
      <c r="Y777">
        <v>0.58648626531001935</v>
      </c>
      <c r="Z777">
        <v>0.22231921219891432</v>
      </c>
      <c r="AA777">
        <v>0.1911945224910663</v>
      </c>
      <c r="AB777">
        <v>0.5888958800048284</v>
      </c>
      <c r="AC777">
        <v>0.21088567677948011</v>
      </c>
      <c r="AD777">
        <v>0.20021844321569149</v>
      </c>
      <c r="AE777" t="s">
        <v>254</v>
      </c>
      <c r="AF777" t="s">
        <v>253</v>
      </c>
      <c r="AG777">
        <v>1040</v>
      </c>
      <c r="AH777">
        <v>22</v>
      </c>
      <c r="AI777">
        <v>16</v>
      </c>
      <c r="AJ777">
        <v>19</v>
      </c>
      <c r="AK777">
        <v>27.6</v>
      </c>
      <c r="AL777">
        <v>8</v>
      </c>
      <c r="AM777">
        <v>10390</v>
      </c>
      <c r="AN777">
        <v>85</v>
      </c>
      <c r="AO777">
        <v>86</v>
      </c>
      <c r="AP777">
        <v>83</v>
      </c>
      <c r="AQ777">
        <v>5</v>
      </c>
      <c r="AR777" t="s">
        <v>28</v>
      </c>
      <c r="AS777" t="s">
        <v>10</v>
      </c>
      <c r="AT777" t="s">
        <v>23</v>
      </c>
      <c r="AU777">
        <v>997.75</v>
      </c>
      <c r="AV777">
        <v>35</v>
      </c>
      <c r="AW777">
        <v>24</v>
      </c>
      <c r="AX777">
        <v>19</v>
      </c>
      <c r="AY777">
        <v>26.1</v>
      </c>
      <c r="AZ777">
        <v>12</v>
      </c>
      <c r="BA777">
        <v>9495</v>
      </c>
      <c r="BB777">
        <v>87</v>
      </c>
      <c r="BC777">
        <v>82</v>
      </c>
      <c r="BD777">
        <v>82</v>
      </c>
      <c r="BE777">
        <v>5</v>
      </c>
      <c r="BF777" t="s">
        <v>28</v>
      </c>
      <c r="BG777">
        <v>2</v>
      </c>
      <c r="BH777">
        <v>11</v>
      </c>
      <c r="BI777">
        <v>0.5</v>
      </c>
      <c r="BJ777" t="s">
        <v>282</v>
      </c>
      <c r="BK777">
        <v>0.77049999999999996</v>
      </c>
      <c r="BL777">
        <v>0.66669999999999996</v>
      </c>
      <c r="BM777">
        <v>2.15</v>
      </c>
      <c r="BN777">
        <v>2.21</v>
      </c>
    </row>
    <row r="778" spans="1:66" x14ac:dyDescent="0.25">
      <c r="A778">
        <v>2</v>
      </c>
      <c r="B778">
        <v>0</v>
      </c>
      <c r="C778">
        <v>4</v>
      </c>
      <c r="D778">
        <v>1.8833333333333335</v>
      </c>
      <c r="E778">
        <v>3.5666666666666664</v>
      </c>
      <c r="F778">
        <v>3.8166666666666664</v>
      </c>
      <c r="G778" s="40">
        <v>0.25</v>
      </c>
      <c r="H778" s="40">
        <v>0.2</v>
      </c>
      <c r="I778" s="40">
        <v>0.55000000000000004</v>
      </c>
      <c r="J778">
        <v>1.85</v>
      </c>
      <c r="K778">
        <v>3.5</v>
      </c>
      <c r="L778">
        <v>3.55</v>
      </c>
      <c r="M778">
        <v>1.9</v>
      </c>
      <c r="N778">
        <v>3.55</v>
      </c>
      <c r="O778">
        <v>4</v>
      </c>
      <c r="P778">
        <v>1.9</v>
      </c>
      <c r="Q778">
        <v>3.65</v>
      </c>
      <c r="R778">
        <v>3.9</v>
      </c>
      <c r="S778">
        <v>0.50314128331100194</v>
      </c>
      <c r="T778">
        <v>0.23465832961143368</v>
      </c>
      <c r="U778">
        <v>0.26220038707756443</v>
      </c>
      <c r="V778">
        <v>0.4974601506393414</v>
      </c>
      <c r="W778">
        <v>0.26624627780697147</v>
      </c>
      <c r="X778">
        <v>0.23629357155368713</v>
      </c>
      <c r="Y778">
        <v>0.49807557732680197</v>
      </c>
      <c r="Z778">
        <v>0.25927221833449959</v>
      </c>
      <c r="AA778">
        <v>0.24265220433869836</v>
      </c>
      <c r="AB778">
        <v>0.49955900375904844</v>
      </c>
      <c r="AC778">
        <v>0.25339227525096825</v>
      </c>
      <c r="AD778">
        <v>0.24704872098998332</v>
      </c>
      <c r="AE778" t="s">
        <v>110</v>
      </c>
      <c r="AF778" t="s">
        <v>108</v>
      </c>
      <c r="AG778">
        <v>84.95</v>
      </c>
      <c r="AH778">
        <v>33</v>
      </c>
      <c r="AI778">
        <v>5</v>
      </c>
      <c r="AJ778">
        <v>4</v>
      </c>
      <c r="AK778">
        <v>26.9</v>
      </c>
      <c r="AL778">
        <v>9</v>
      </c>
      <c r="AM778">
        <v>10366</v>
      </c>
      <c r="AN778">
        <v>75</v>
      </c>
      <c r="AO778">
        <v>72</v>
      </c>
      <c r="AP778">
        <v>75</v>
      </c>
      <c r="AQ778">
        <v>3.5</v>
      </c>
      <c r="AR778" t="s">
        <v>29</v>
      </c>
      <c r="AS778" t="s">
        <v>107</v>
      </c>
      <c r="AT778" t="s">
        <v>108</v>
      </c>
      <c r="AU778">
        <v>148.6</v>
      </c>
      <c r="AV778">
        <v>32</v>
      </c>
      <c r="AW778">
        <v>2</v>
      </c>
      <c r="AX778">
        <v>7</v>
      </c>
      <c r="AY778">
        <v>27.2</v>
      </c>
      <c r="AZ778">
        <v>2</v>
      </c>
      <c r="BA778">
        <v>13486</v>
      </c>
      <c r="BB778">
        <v>77</v>
      </c>
      <c r="BC778">
        <v>75</v>
      </c>
      <c r="BD778">
        <v>75</v>
      </c>
      <c r="BE778">
        <v>4</v>
      </c>
      <c r="BF778" t="s">
        <v>29</v>
      </c>
      <c r="BG778">
        <v>-5</v>
      </c>
      <c r="BH778">
        <v>61</v>
      </c>
      <c r="BI778">
        <v>0.37</v>
      </c>
      <c r="BJ778" t="s">
        <v>108</v>
      </c>
      <c r="BK778">
        <v>0.47299999999999998</v>
      </c>
      <c r="BL778">
        <v>0.62860000000000005</v>
      </c>
      <c r="BM778">
        <v>1.36</v>
      </c>
      <c r="BN778">
        <v>1.87</v>
      </c>
    </row>
    <row r="779" spans="1:66" x14ac:dyDescent="0.25">
      <c r="A779">
        <v>2</v>
      </c>
      <c r="B779">
        <v>0</v>
      </c>
      <c r="C779">
        <v>4</v>
      </c>
      <c r="D779">
        <v>4.6000000000000005</v>
      </c>
      <c r="E779">
        <v>3.5333333333333332</v>
      </c>
      <c r="F779">
        <v>1.7366666666666666</v>
      </c>
      <c r="G779" s="40">
        <v>0.28000000000000003</v>
      </c>
      <c r="H779" s="40">
        <v>0.3</v>
      </c>
      <c r="I779" s="40">
        <v>0.42</v>
      </c>
      <c r="J779">
        <v>4.4000000000000004</v>
      </c>
      <c r="K779">
        <v>3.45</v>
      </c>
      <c r="L779">
        <v>1.68</v>
      </c>
      <c r="M779">
        <v>4.75</v>
      </c>
      <c r="N779">
        <v>3.6</v>
      </c>
      <c r="O779">
        <v>1.75</v>
      </c>
      <c r="P779">
        <v>4.6500000000000004</v>
      </c>
      <c r="Q779">
        <v>3.55</v>
      </c>
      <c r="R779">
        <v>1.78</v>
      </c>
      <c r="S779">
        <v>0.21343425719164583</v>
      </c>
      <c r="T779">
        <v>0.22757125968737682</v>
      </c>
      <c r="U779">
        <v>0.55899448312097721</v>
      </c>
      <c r="V779">
        <v>0.19865983445013793</v>
      </c>
      <c r="W779">
        <v>0.26212061489948751</v>
      </c>
      <c r="X779">
        <v>0.53921955065037441</v>
      </c>
      <c r="Y779">
        <v>0.20316041603035026</v>
      </c>
      <c r="Z779">
        <v>0.26611153085665601</v>
      </c>
      <c r="AA779">
        <v>0.53072805311299376</v>
      </c>
      <c r="AB779">
        <v>0.20508483589071136</v>
      </c>
      <c r="AC779">
        <v>0.25193446848117346</v>
      </c>
      <c r="AD779">
        <v>0.54298069562811513</v>
      </c>
      <c r="AE779" t="s">
        <v>109</v>
      </c>
      <c r="AF779" t="s">
        <v>108</v>
      </c>
      <c r="AG779">
        <v>143.19999999999999</v>
      </c>
      <c r="AH779">
        <v>31</v>
      </c>
      <c r="AI779">
        <v>3</v>
      </c>
      <c r="AJ779">
        <v>4</v>
      </c>
      <c r="AK779">
        <v>27</v>
      </c>
      <c r="AL779">
        <v>5</v>
      </c>
      <c r="AM779">
        <v>11026</v>
      </c>
      <c r="AN779">
        <v>74</v>
      </c>
      <c r="AO779">
        <v>76</v>
      </c>
      <c r="AP779">
        <v>74</v>
      </c>
      <c r="AQ779">
        <v>3.5</v>
      </c>
      <c r="AR779" t="s">
        <v>29</v>
      </c>
      <c r="AS779" t="s">
        <v>113</v>
      </c>
      <c r="AT779" t="s">
        <v>108</v>
      </c>
      <c r="AU779">
        <v>98.45</v>
      </c>
      <c r="AV779">
        <v>29</v>
      </c>
      <c r="AW779">
        <v>8</v>
      </c>
      <c r="AX779">
        <v>7</v>
      </c>
      <c r="AY779">
        <v>27.3</v>
      </c>
      <c r="AZ779">
        <v>33</v>
      </c>
      <c r="BA779">
        <v>7418</v>
      </c>
      <c r="BB779">
        <v>81</v>
      </c>
      <c r="BC779">
        <v>75</v>
      </c>
      <c r="BD779">
        <v>75</v>
      </c>
      <c r="BE779">
        <v>4</v>
      </c>
      <c r="BF779" t="s">
        <v>29</v>
      </c>
      <c r="BG779">
        <v>6</v>
      </c>
      <c r="BH779">
        <v>54</v>
      </c>
      <c r="BI779">
        <v>0.378</v>
      </c>
      <c r="BJ779" t="s">
        <v>108</v>
      </c>
      <c r="BK779">
        <v>0.50649999999999995</v>
      </c>
      <c r="BL779">
        <v>0.54390000000000005</v>
      </c>
      <c r="BM779">
        <v>1.65</v>
      </c>
      <c r="BN779">
        <v>1.68</v>
      </c>
    </row>
    <row r="780" spans="1:66" x14ac:dyDescent="0.25">
      <c r="A780">
        <v>1</v>
      </c>
      <c r="B780">
        <v>1</v>
      </c>
      <c r="C780">
        <v>1</v>
      </c>
      <c r="D780">
        <v>2.1833333333333331</v>
      </c>
      <c r="E780">
        <v>3.1333333333333329</v>
      </c>
      <c r="F780">
        <v>3.3333333333333335</v>
      </c>
      <c r="G780" s="40">
        <v>0.39</v>
      </c>
      <c r="H780" s="40">
        <v>0.34</v>
      </c>
      <c r="I780" s="40">
        <v>0.26999999999999996</v>
      </c>
      <c r="J780">
        <v>2.12</v>
      </c>
      <c r="K780">
        <v>3.05</v>
      </c>
      <c r="L780">
        <v>3.2</v>
      </c>
      <c r="M780">
        <v>2.2000000000000002</v>
      </c>
      <c r="N780">
        <v>3.2</v>
      </c>
      <c r="O780">
        <v>3.4</v>
      </c>
      <c r="P780">
        <v>2.23</v>
      </c>
      <c r="Q780">
        <v>3.15</v>
      </c>
      <c r="R780">
        <v>3.4</v>
      </c>
      <c r="S780">
        <v>0.43530676745625757</v>
      </c>
      <c r="T780">
        <v>0.27630249910397192</v>
      </c>
      <c r="U780">
        <v>0.28839073343977062</v>
      </c>
      <c r="V780">
        <v>0.42834645669291338</v>
      </c>
      <c r="W780">
        <v>0.29448818897637796</v>
      </c>
      <c r="X780">
        <v>0.27716535433070866</v>
      </c>
      <c r="Y780">
        <v>0.42304425967254561</v>
      </c>
      <c r="Z780">
        <v>0.29948847589516719</v>
      </c>
      <c r="AA780">
        <v>0.27746726443228725</v>
      </c>
      <c r="AB780">
        <v>0.42889916127390554</v>
      </c>
      <c r="AC780">
        <v>0.29009305465850571</v>
      </c>
      <c r="AD780">
        <v>0.28100778406758886</v>
      </c>
      <c r="AE780" t="s">
        <v>118</v>
      </c>
      <c r="AF780" t="s">
        <v>108</v>
      </c>
      <c r="AG780">
        <v>65.8</v>
      </c>
      <c r="AH780">
        <v>34</v>
      </c>
      <c r="AI780">
        <v>4</v>
      </c>
      <c r="AJ780">
        <v>2</v>
      </c>
      <c r="AK780">
        <v>27.6</v>
      </c>
      <c r="AL780">
        <v>89</v>
      </c>
      <c r="AM780">
        <v>5108</v>
      </c>
      <c r="AN780">
        <v>70</v>
      </c>
      <c r="AO780">
        <v>73</v>
      </c>
      <c r="AP780">
        <v>72</v>
      </c>
      <c r="AQ780">
        <v>3.5</v>
      </c>
      <c r="AR780" t="s">
        <v>29</v>
      </c>
      <c r="AS780" t="s">
        <v>112</v>
      </c>
      <c r="AT780" t="s">
        <v>108</v>
      </c>
      <c r="AU780">
        <v>59.75</v>
      </c>
      <c r="AV780">
        <v>28</v>
      </c>
      <c r="AW780">
        <v>8</v>
      </c>
      <c r="AX780">
        <v>4</v>
      </c>
      <c r="AY780">
        <v>26</v>
      </c>
      <c r="AZ780">
        <v>17</v>
      </c>
      <c r="BA780">
        <v>9035</v>
      </c>
      <c r="BB780">
        <v>71</v>
      </c>
      <c r="BC780">
        <v>75</v>
      </c>
      <c r="BD780">
        <v>75</v>
      </c>
      <c r="BE780">
        <v>3.5</v>
      </c>
      <c r="BF780" t="s">
        <v>29</v>
      </c>
      <c r="BG780">
        <v>10</v>
      </c>
      <c r="BH780">
        <v>58</v>
      </c>
      <c r="BI780">
        <v>0.42099999999999999</v>
      </c>
      <c r="BJ780" t="s">
        <v>108</v>
      </c>
      <c r="BK780">
        <v>0.4839</v>
      </c>
      <c r="BL780">
        <v>0.52939999999999998</v>
      </c>
      <c r="BM780">
        <v>1.52</v>
      </c>
      <c r="BN780">
        <v>1.5</v>
      </c>
    </row>
    <row r="781" spans="1:66" x14ac:dyDescent="0.25">
      <c r="A781">
        <v>2</v>
      </c>
      <c r="B781">
        <v>0</v>
      </c>
      <c r="C781">
        <v>0</v>
      </c>
      <c r="D781">
        <v>1.7329999999999999</v>
      </c>
      <c r="E781">
        <v>3.5499999999999994</v>
      </c>
      <c r="F781">
        <v>4.5166666666666666</v>
      </c>
      <c r="G781" s="40">
        <v>0.32</v>
      </c>
      <c r="H781" s="40">
        <v>0.38</v>
      </c>
      <c r="I781" s="40">
        <v>0.29999999999999993</v>
      </c>
      <c r="J781">
        <v>1.66</v>
      </c>
      <c r="K781">
        <v>3.55</v>
      </c>
      <c r="L781">
        <v>4.4000000000000004</v>
      </c>
      <c r="M781">
        <v>1.7689999999999999</v>
      </c>
      <c r="N781">
        <v>3.55</v>
      </c>
      <c r="O781">
        <v>4.5</v>
      </c>
      <c r="P781">
        <v>1.77</v>
      </c>
      <c r="Q781">
        <v>3.55</v>
      </c>
      <c r="R781">
        <v>4.6500000000000004</v>
      </c>
      <c r="S781">
        <v>0.56575330318347083</v>
      </c>
      <c r="T781">
        <v>0.2208034051609471</v>
      </c>
      <c r="U781">
        <v>0.21344329165558212</v>
      </c>
      <c r="V781">
        <v>0.5287030310652332</v>
      </c>
      <c r="W781">
        <v>0.26345793294490066</v>
      </c>
      <c r="X781">
        <v>0.20783903598986611</v>
      </c>
      <c r="Y781">
        <v>0.53213094144383732</v>
      </c>
      <c r="Z781">
        <v>0.26531599052270199</v>
      </c>
      <c r="AA781">
        <v>0.20255306803346063</v>
      </c>
      <c r="AB781">
        <v>0.54219575856418045</v>
      </c>
      <c r="AC781">
        <v>0.24985910954284993</v>
      </c>
      <c r="AD781">
        <v>0.20794513189296962</v>
      </c>
      <c r="AE781" t="s">
        <v>116</v>
      </c>
      <c r="AF781" t="s">
        <v>108</v>
      </c>
      <c r="AG781">
        <v>83.05</v>
      </c>
      <c r="AH781">
        <v>34</v>
      </c>
      <c r="AI781">
        <v>9</v>
      </c>
      <c r="AJ781">
        <v>5</v>
      </c>
      <c r="AK781">
        <v>26.4</v>
      </c>
      <c r="AL781">
        <v>75</v>
      </c>
      <c r="AM781">
        <v>5476</v>
      </c>
      <c r="AN781">
        <v>78</v>
      </c>
      <c r="AO781">
        <v>75</v>
      </c>
      <c r="AP781">
        <v>76</v>
      </c>
      <c r="AQ781">
        <v>4</v>
      </c>
      <c r="AR781" t="s">
        <v>29</v>
      </c>
      <c r="AS781" t="s">
        <v>111</v>
      </c>
      <c r="AT781" t="s">
        <v>108</v>
      </c>
      <c r="AU781">
        <v>56.2</v>
      </c>
      <c r="AV781">
        <v>28</v>
      </c>
      <c r="AW781">
        <v>2</v>
      </c>
      <c r="AX781">
        <v>2</v>
      </c>
      <c r="AY781">
        <v>25.9</v>
      </c>
      <c r="AZ781">
        <v>15</v>
      </c>
      <c r="BA781">
        <v>9286</v>
      </c>
      <c r="BB781">
        <v>74</v>
      </c>
      <c r="BC781">
        <v>71</v>
      </c>
      <c r="BD781">
        <v>72</v>
      </c>
      <c r="BE781">
        <v>3.5</v>
      </c>
      <c r="BF781" t="s">
        <v>29</v>
      </c>
      <c r="BG781">
        <v>5</v>
      </c>
      <c r="BH781">
        <v>56</v>
      </c>
      <c r="BI781">
        <v>0.34100000000000003</v>
      </c>
      <c r="BJ781" t="s">
        <v>108</v>
      </c>
      <c r="BK781">
        <v>0.44619999999999999</v>
      </c>
      <c r="BL781">
        <v>0.43940000000000001</v>
      </c>
      <c r="BM781">
        <v>1.69</v>
      </c>
      <c r="BN781">
        <v>1.29</v>
      </c>
    </row>
    <row r="782" spans="1:66" x14ac:dyDescent="0.25">
      <c r="A782">
        <v>1</v>
      </c>
      <c r="B782">
        <v>2</v>
      </c>
      <c r="C782">
        <v>2</v>
      </c>
      <c r="D782">
        <v>2.3883333333333332</v>
      </c>
      <c r="E782">
        <v>3.1333333333333329</v>
      </c>
      <c r="F782">
        <v>2.9599999999999995</v>
      </c>
      <c r="G782" s="40">
        <v>0.31</v>
      </c>
      <c r="H782" s="40">
        <v>0.39</v>
      </c>
      <c r="I782" s="40">
        <v>0.29999999999999993</v>
      </c>
      <c r="J782">
        <v>2.35</v>
      </c>
      <c r="K782">
        <v>3.05</v>
      </c>
      <c r="L782">
        <v>2.8</v>
      </c>
      <c r="M782">
        <v>2.375</v>
      </c>
      <c r="N782">
        <v>3.2</v>
      </c>
      <c r="O782">
        <v>3.1</v>
      </c>
      <c r="P782">
        <v>2.44</v>
      </c>
      <c r="Q782">
        <v>3.15</v>
      </c>
      <c r="R782">
        <v>2.98</v>
      </c>
      <c r="S782">
        <v>0.39138609997516582</v>
      </c>
      <c r="T782">
        <v>0.28012913754567709</v>
      </c>
      <c r="U782">
        <v>0.32848476247915703</v>
      </c>
      <c r="V782">
        <v>0.39867376670350652</v>
      </c>
      <c r="W782">
        <v>0.29589068622525871</v>
      </c>
      <c r="X782">
        <v>0.30543554707123483</v>
      </c>
      <c r="Y782">
        <v>0.38559492610149443</v>
      </c>
      <c r="Z782">
        <v>0.29868305386909411</v>
      </c>
      <c r="AA782">
        <v>0.31572202002941152</v>
      </c>
      <c r="AB782">
        <v>0.39188493092672222</v>
      </c>
      <c r="AC782">
        <v>0.29156762588000995</v>
      </c>
      <c r="AD782">
        <v>0.31654744319326783</v>
      </c>
      <c r="AE782" t="s">
        <v>114</v>
      </c>
      <c r="AF782" t="s">
        <v>108</v>
      </c>
      <c r="AG782">
        <v>59.75</v>
      </c>
      <c r="AH782">
        <v>40</v>
      </c>
      <c r="AI782">
        <v>3</v>
      </c>
      <c r="AJ782">
        <v>0</v>
      </c>
      <c r="AK782">
        <v>24.7</v>
      </c>
      <c r="AL782">
        <v>40</v>
      </c>
      <c r="AM782">
        <v>7098</v>
      </c>
      <c r="AN782">
        <v>74</v>
      </c>
      <c r="AO782">
        <v>72</v>
      </c>
      <c r="AP782">
        <v>73</v>
      </c>
      <c r="AQ782">
        <v>3.5</v>
      </c>
      <c r="AR782" t="s">
        <v>29</v>
      </c>
      <c r="AS782" t="s">
        <v>120</v>
      </c>
      <c r="AT782" t="s">
        <v>108</v>
      </c>
      <c r="AU782">
        <v>22.38</v>
      </c>
      <c r="AV782">
        <v>31</v>
      </c>
      <c r="AW782">
        <v>2</v>
      </c>
      <c r="AX782">
        <v>1</v>
      </c>
      <c r="AY782">
        <v>27.8</v>
      </c>
      <c r="AZ782">
        <v>106</v>
      </c>
      <c r="BA782">
        <v>4727</v>
      </c>
      <c r="BB782">
        <v>70</v>
      </c>
      <c r="BC782">
        <v>71</v>
      </c>
      <c r="BD782">
        <v>72</v>
      </c>
      <c r="BE782">
        <v>3.5</v>
      </c>
      <c r="BF782" t="s">
        <v>28</v>
      </c>
      <c r="BG782">
        <v>3</v>
      </c>
      <c r="BH782">
        <v>13</v>
      </c>
      <c r="BI782">
        <v>0.182</v>
      </c>
      <c r="BJ782" t="s">
        <v>108</v>
      </c>
      <c r="BK782">
        <v>0.39389999999999997</v>
      </c>
      <c r="BL782">
        <v>0.4032</v>
      </c>
      <c r="BM782">
        <v>1.3</v>
      </c>
      <c r="BN782">
        <v>1.26</v>
      </c>
    </row>
    <row r="783" spans="1:66" x14ac:dyDescent="0.25">
      <c r="A783">
        <v>2</v>
      </c>
      <c r="B783">
        <v>0</v>
      </c>
      <c r="C783">
        <v>4</v>
      </c>
      <c r="D783">
        <v>1.5066666666666668</v>
      </c>
      <c r="E783">
        <v>4.1499999999999995</v>
      </c>
      <c r="F783">
        <v>6.9666666666666659</v>
      </c>
      <c r="G783" s="40">
        <v>0.42</v>
      </c>
      <c r="H783" s="40">
        <v>0.37</v>
      </c>
      <c r="I783" s="40">
        <v>0.21000000000000008</v>
      </c>
      <c r="J783">
        <v>1.49</v>
      </c>
      <c r="K783">
        <v>4.25</v>
      </c>
      <c r="L783">
        <v>7.5</v>
      </c>
      <c r="M783">
        <v>1.53</v>
      </c>
      <c r="N783">
        <v>4</v>
      </c>
      <c r="O783">
        <v>6.5</v>
      </c>
      <c r="P783">
        <v>1.5</v>
      </c>
      <c r="Q783">
        <v>4.2</v>
      </c>
      <c r="R783">
        <v>6.9</v>
      </c>
      <c r="S783">
        <v>0.69424245594870793</v>
      </c>
      <c r="T783">
        <v>0.16783470946948212</v>
      </c>
      <c r="U783">
        <v>0.13792283458180998</v>
      </c>
      <c r="V783">
        <v>0.61809104956614758</v>
      </c>
      <c r="W783">
        <v>0.23641982645905146</v>
      </c>
      <c r="X783">
        <v>0.1454891239748009</v>
      </c>
      <c r="Y783">
        <v>0.63510848126232733</v>
      </c>
      <c r="Z783">
        <v>0.22682445759368833</v>
      </c>
      <c r="AA783">
        <v>0.1380670611439842</v>
      </c>
      <c r="AB783">
        <v>0.64914732892572757</v>
      </c>
      <c r="AC783">
        <v>0.21035966450740728</v>
      </c>
      <c r="AD783">
        <v>0.14049300656686503</v>
      </c>
      <c r="AE783" t="s">
        <v>148</v>
      </c>
      <c r="AF783" t="s">
        <v>141</v>
      </c>
      <c r="AG783">
        <v>188.3</v>
      </c>
      <c r="AH783">
        <v>26</v>
      </c>
      <c r="AI783">
        <v>0</v>
      </c>
      <c r="AJ783">
        <v>2</v>
      </c>
      <c r="AK783">
        <v>26.4</v>
      </c>
      <c r="AL783">
        <v>61</v>
      </c>
      <c r="AM783">
        <v>6139</v>
      </c>
      <c r="AN783">
        <v>80</v>
      </c>
      <c r="AO783">
        <v>78</v>
      </c>
      <c r="AP783">
        <v>79</v>
      </c>
      <c r="AQ783">
        <v>4.5</v>
      </c>
      <c r="AR783" t="s">
        <v>29</v>
      </c>
      <c r="AS783" t="s">
        <v>150</v>
      </c>
      <c r="AT783" t="s">
        <v>141</v>
      </c>
      <c r="AU783">
        <v>88.35</v>
      </c>
      <c r="AV783">
        <v>25</v>
      </c>
      <c r="AW783">
        <v>11</v>
      </c>
      <c r="AX783">
        <v>6</v>
      </c>
      <c r="AY783">
        <v>28.4</v>
      </c>
      <c r="AZ783">
        <v>103</v>
      </c>
      <c r="BA783">
        <v>4803</v>
      </c>
      <c r="BB783">
        <v>77</v>
      </c>
      <c r="BC783">
        <v>78</v>
      </c>
      <c r="BD783">
        <v>77</v>
      </c>
      <c r="BE783">
        <v>4</v>
      </c>
      <c r="BF783" t="s">
        <v>46</v>
      </c>
      <c r="BG783">
        <v>24</v>
      </c>
      <c r="BH783">
        <v>92</v>
      </c>
      <c r="BI783">
        <v>0.51900000000000002</v>
      </c>
      <c r="BJ783" t="s">
        <v>270</v>
      </c>
      <c r="BK783">
        <v>0.3478</v>
      </c>
      <c r="BL783">
        <v>0.43099999999999999</v>
      </c>
      <c r="BM783">
        <v>1.28</v>
      </c>
      <c r="BN783">
        <v>1.43</v>
      </c>
    </row>
    <row r="784" spans="1:66" x14ac:dyDescent="0.25">
      <c r="A784">
        <v>3</v>
      </c>
      <c r="B784">
        <v>-1</v>
      </c>
      <c r="C784">
        <v>3</v>
      </c>
      <c r="D784">
        <v>2.92</v>
      </c>
      <c r="E784">
        <v>3.1333333333333333</v>
      </c>
      <c r="F784">
        <v>2.5799999999999996</v>
      </c>
      <c r="G784" s="40">
        <v>0.32</v>
      </c>
      <c r="H784" s="40">
        <v>0.39</v>
      </c>
      <c r="I784" s="40">
        <v>0.28999999999999992</v>
      </c>
      <c r="J784">
        <v>2.88</v>
      </c>
      <c r="K784">
        <v>3.15</v>
      </c>
      <c r="L784">
        <v>2.65</v>
      </c>
      <c r="M784">
        <v>2.9</v>
      </c>
      <c r="N784">
        <v>3.1</v>
      </c>
      <c r="O784">
        <v>2.5499999999999998</v>
      </c>
      <c r="P784">
        <v>2.98</v>
      </c>
      <c r="Q784">
        <v>3.15</v>
      </c>
      <c r="R784">
        <v>2.54</v>
      </c>
      <c r="S784">
        <v>0.34487676894805203</v>
      </c>
      <c r="T784">
        <v>0.28031376140274411</v>
      </c>
      <c r="U784">
        <v>0.37480946964920375</v>
      </c>
      <c r="V784">
        <v>0.32544256895841911</v>
      </c>
      <c r="W784">
        <v>0.30444627418690817</v>
      </c>
      <c r="X784">
        <v>0.37011115685467272</v>
      </c>
      <c r="Y784">
        <v>0.32058884810796084</v>
      </c>
      <c r="Z784">
        <v>0.30328722773388045</v>
      </c>
      <c r="AA784">
        <v>0.37612392415815876</v>
      </c>
      <c r="AB784">
        <v>0.33030272867147731</v>
      </c>
      <c r="AC784">
        <v>0.29601575444117756</v>
      </c>
      <c r="AD784">
        <v>0.37368151688734508</v>
      </c>
      <c r="AE784" t="s">
        <v>156</v>
      </c>
      <c r="AF784" t="s">
        <v>141</v>
      </c>
      <c r="AG784">
        <v>66.099999999999994</v>
      </c>
      <c r="AH784">
        <v>24</v>
      </c>
      <c r="AI784">
        <v>6</v>
      </c>
      <c r="AJ784">
        <v>3</v>
      </c>
      <c r="AK784">
        <v>26.8</v>
      </c>
      <c r="AL784">
        <v>177</v>
      </c>
      <c r="AM784">
        <v>3663</v>
      </c>
      <c r="AN784">
        <v>77</v>
      </c>
      <c r="AO784">
        <v>74</v>
      </c>
      <c r="AP784">
        <v>76</v>
      </c>
      <c r="AQ784">
        <v>4</v>
      </c>
      <c r="AR784" t="s">
        <v>43</v>
      </c>
      <c r="AS784" t="s">
        <v>153</v>
      </c>
      <c r="AT784" t="s">
        <v>141</v>
      </c>
      <c r="AU784">
        <v>143.80000000000001</v>
      </c>
      <c r="AV784">
        <v>21</v>
      </c>
      <c r="AW784">
        <v>9</v>
      </c>
      <c r="AX784">
        <v>8</v>
      </c>
      <c r="AY784">
        <v>28</v>
      </c>
      <c r="AZ784">
        <v>138</v>
      </c>
      <c r="BA784">
        <v>4059</v>
      </c>
      <c r="BB784">
        <v>80</v>
      </c>
      <c r="BC784">
        <v>75</v>
      </c>
      <c r="BD784">
        <v>75</v>
      </c>
      <c r="BE784">
        <v>4</v>
      </c>
      <c r="BF784" t="s">
        <v>29</v>
      </c>
      <c r="BG784">
        <v>-10</v>
      </c>
      <c r="BH784">
        <v>63</v>
      </c>
      <c r="BI784">
        <v>0.37</v>
      </c>
      <c r="BJ784" t="s">
        <v>270</v>
      </c>
      <c r="BK784">
        <v>0.26829999999999998</v>
      </c>
      <c r="BL784">
        <v>0.375</v>
      </c>
      <c r="BM784">
        <v>0.95</v>
      </c>
      <c r="BN784">
        <v>1.55</v>
      </c>
    </row>
    <row r="785" spans="1:66" x14ac:dyDescent="0.25">
      <c r="A785">
        <v>3</v>
      </c>
      <c r="B785">
        <v>-2</v>
      </c>
      <c r="C785">
        <v>4</v>
      </c>
      <c r="D785">
        <v>2.65</v>
      </c>
      <c r="E785">
        <v>3.4166666666666665</v>
      </c>
      <c r="F785">
        <v>2.5933333333333333</v>
      </c>
      <c r="G785" s="40">
        <v>0.28999999999999998</v>
      </c>
      <c r="H785" s="40">
        <v>0.42</v>
      </c>
      <c r="I785" s="40">
        <v>0.28999999999999998</v>
      </c>
      <c r="J785">
        <v>2.65</v>
      </c>
      <c r="K785">
        <v>3.4</v>
      </c>
      <c r="L785">
        <v>2.65</v>
      </c>
      <c r="M785">
        <v>2.65</v>
      </c>
      <c r="N785">
        <v>3.4</v>
      </c>
      <c r="O785">
        <v>2.5499999999999998</v>
      </c>
      <c r="P785">
        <v>2.65</v>
      </c>
      <c r="Q785">
        <v>3.45</v>
      </c>
      <c r="R785">
        <v>2.58</v>
      </c>
      <c r="S785">
        <v>0.37073170731707317</v>
      </c>
      <c r="T785">
        <v>0.25853658536585367</v>
      </c>
      <c r="U785">
        <v>0.37073170731707317</v>
      </c>
      <c r="V785">
        <v>0.35478260869565215</v>
      </c>
      <c r="W785">
        <v>0.27652173913043476</v>
      </c>
      <c r="X785">
        <v>0.36869565217391304</v>
      </c>
      <c r="Y785">
        <v>0.35775004521613313</v>
      </c>
      <c r="Z785">
        <v>0.27479351299210225</v>
      </c>
      <c r="AA785">
        <v>0.36745644179176462</v>
      </c>
      <c r="AB785">
        <v>0.36108812040961952</v>
      </c>
      <c r="AC785">
        <v>0.26995061249613023</v>
      </c>
      <c r="AD785">
        <v>0.3689612670942502</v>
      </c>
      <c r="AE785" t="s">
        <v>149</v>
      </c>
      <c r="AF785" t="s">
        <v>141</v>
      </c>
      <c r="AG785">
        <v>298.89999999999998</v>
      </c>
      <c r="AH785">
        <v>24</v>
      </c>
      <c r="AI785">
        <v>9</v>
      </c>
      <c r="AJ785">
        <v>10</v>
      </c>
      <c r="AK785">
        <v>28.2</v>
      </c>
      <c r="AL785">
        <v>77</v>
      </c>
      <c r="AM785">
        <v>5396</v>
      </c>
      <c r="AN785">
        <v>82</v>
      </c>
      <c r="AO785">
        <v>79</v>
      </c>
      <c r="AP785">
        <v>79</v>
      </c>
      <c r="AQ785">
        <v>4.5</v>
      </c>
      <c r="AR785" t="s">
        <v>29</v>
      </c>
      <c r="AS785" t="s">
        <v>137</v>
      </c>
      <c r="AT785" t="s">
        <v>141</v>
      </c>
      <c r="AU785">
        <v>676</v>
      </c>
      <c r="AV785">
        <v>26</v>
      </c>
      <c r="AW785">
        <v>15</v>
      </c>
      <c r="AX785">
        <v>21</v>
      </c>
      <c r="AY785">
        <v>26.1</v>
      </c>
      <c r="AZ785">
        <v>3</v>
      </c>
      <c r="BA785">
        <v>13105</v>
      </c>
      <c r="BB785">
        <v>84</v>
      </c>
      <c r="BC785">
        <v>82</v>
      </c>
      <c r="BD785">
        <v>81</v>
      </c>
      <c r="BE785">
        <v>5</v>
      </c>
      <c r="BF785" t="s">
        <v>28</v>
      </c>
      <c r="BG785">
        <v>-43</v>
      </c>
      <c r="BH785">
        <v>34</v>
      </c>
      <c r="BI785">
        <v>0.17399999999999999</v>
      </c>
      <c r="BJ785" t="s">
        <v>270</v>
      </c>
      <c r="BK785">
        <v>0.53449999999999998</v>
      </c>
      <c r="BL785">
        <v>0.62960000000000005</v>
      </c>
      <c r="BM785">
        <v>1.78</v>
      </c>
      <c r="BN785">
        <v>2.2599999999999998</v>
      </c>
    </row>
    <row r="786" spans="1:66" x14ac:dyDescent="0.25">
      <c r="A786">
        <v>1</v>
      </c>
      <c r="B786">
        <v>2</v>
      </c>
      <c r="C786">
        <v>4</v>
      </c>
      <c r="D786">
        <v>1.6866666666666665</v>
      </c>
      <c r="E786">
        <v>4.1000000000000005</v>
      </c>
      <c r="F786">
        <v>4.7166666666666668</v>
      </c>
      <c r="G786" s="40">
        <v>0.57999999999999996</v>
      </c>
      <c r="H786" s="40">
        <v>0.23</v>
      </c>
      <c r="I786" s="40">
        <v>0.19000000000000003</v>
      </c>
      <c r="J786">
        <v>1.68</v>
      </c>
      <c r="K786">
        <v>4.2</v>
      </c>
      <c r="L786">
        <v>4.75</v>
      </c>
      <c r="M786">
        <v>1.72</v>
      </c>
      <c r="N786">
        <v>3.9</v>
      </c>
      <c r="O786">
        <v>4.5</v>
      </c>
      <c r="P786">
        <v>1.66</v>
      </c>
      <c r="Q786">
        <v>4.2</v>
      </c>
      <c r="R786">
        <v>4.9000000000000004</v>
      </c>
      <c r="S786">
        <v>0.59733906601888809</v>
      </c>
      <c r="T786">
        <v>0.19139153799969461</v>
      </c>
      <c r="U786">
        <v>0.21126939598141725</v>
      </c>
      <c r="V786">
        <v>0.54847177948621795</v>
      </c>
      <c r="W786">
        <v>0.24189011813238326</v>
      </c>
      <c r="X786">
        <v>0.20963810238139885</v>
      </c>
      <c r="Y786">
        <v>0.57669674382110636</v>
      </c>
      <c r="Z786">
        <v>0.22793252255786578</v>
      </c>
      <c r="AA786">
        <v>0.1953707336210278</v>
      </c>
      <c r="AB786">
        <v>0.57416919644207087</v>
      </c>
      <c r="AC786">
        <v>0.22040472622998122</v>
      </c>
      <c r="AD786">
        <v>0.20542607732794796</v>
      </c>
      <c r="AE786" t="s">
        <v>152</v>
      </c>
      <c r="AF786" t="s">
        <v>141</v>
      </c>
      <c r="AG786">
        <v>223.4</v>
      </c>
      <c r="AH786">
        <v>28</v>
      </c>
      <c r="AI786">
        <v>11</v>
      </c>
      <c r="AJ786">
        <v>11</v>
      </c>
      <c r="AK786">
        <v>28.5</v>
      </c>
      <c r="AL786">
        <v>125</v>
      </c>
      <c r="AM786">
        <v>4257</v>
      </c>
      <c r="AN786">
        <v>79</v>
      </c>
      <c r="AO786">
        <v>79</v>
      </c>
      <c r="AP786">
        <v>78</v>
      </c>
      <c r="AQ786">
        <v>4</v>
      </c>
      <c r="AR786" t="s">
        <v>29</v>
      </c>
      <c r="AS786" t="s">
        <v>151</v>
      </c>
      <c r="AT786" t="s">
        <v>141</v>
      </c>
      <c r="AU786">
        <v>111.8</v>
      </c>
      <c r="AV786">
        <v>27</v>
      </c>
      <c r="AW786">
        <v>8</v>
      </c>
      <c r="AX786">
        <v>4</v>
      </c>
      <c r="AY786">
        <v>28.3</v>
      </c>
      <c r="AZ786">
        <v>116</v>
      </c>
      <c r="BA786">
        <v>4556</v>
      </c>
      <c r="BB786">
        <v>79</v>
      </c>
      <c r="BC786">
        <v>76</v>
      </c>
      <c r="BD786">
        <v>75</v>
      </c>
      <c r="BE786">
        <v>4</v>
      </c>
      <c r="BF786" t="s">
        <v>29</v>
      </c>
      <c r="BG786">
        <v>6</v>
      </c>
      <c r="BH786">
        <v>55</v>
      </c>
      <c r="BI786">
        <v>0.44</v>
      </c>
      <c r="BJ786" t="s">
        <v>270</v>
      </c>
      <c r="BK786">
        <v>0.4884</v>
      </c>
      <c r="BL786">
        <v>0.28889999999999999</v>
      </c>
      <c r="BM786">
        <v>1.42</v>
      </c>
      <c r="BN786">
        <v>1.36</v>
      </c>
    </row>
    <row r="787" spans="1:66" x14ac:dyDescent="0.25">
      <c r="A787">
        <v>1</v>
      </c>
      <c r="B787">
        <v>1</v>
      </c>
      <c r="C787">
        <v>3</v>
      </c>
      <c r="D787">
        <v>1.71</v>
      </c>
      <c r="E787">
        <v>3.9166666666666665</v>
      </c>
      <c r="F787">
        <v>4.7666666666666666</v>
      </c>
      <c r="G787" s="40">
        <v>0.37</v>
      </c>
      <c r="H787" s="40">
        <v>0.38</v>
      </c>
      <c r="I787" s="40">
        <v>0.25</v>
      </c>
      <c r="J787">
        <v>1.7</v>
      </c>
      <c r="K787">
        <v>4</v>
      </c>
      <c r="L787">
        <v>4.9000000000000004</v>
      </c>
      <c r="M787">
        <v>1.75</v>
      </c>
      <c r="N787">
        <v>3.75</v>
      </c>
      <c r="O787">
        <v>4.5</v>
      </c>
      <c r="P787">
        <v>1.68</v>
      </c>
      <c r="Q787">
        <v>4</v>
      </c>
      <c r="R787">
        <v>4.9000000000000004</v>
      </c>
      <c r="S787">
        <v>0.59358202968311269</v>
      </c>
      <c r="T787">
        <v>0.20048134777376656</v>
      </c>
      <c r="U787">
        <v>0.20593662254312073</v>
      </c>
      <c r="V787">
        <v>0.53892215568862267</v>
      </c>
      <c r="W787">
        <v>0.25149700598802388</v>
      </c>
      <c r="X787">
        <v>0.20958083832335328</v>
      </c>
      <c r="Y787">
        <v>0.5672609400324149</v>
      </c>
      <c r="Z787">
        <v>0.23824959481361424</v>
      </c>
      <c r="AA787">
        <v>0.19448946515397078</v>
      </c>
      <c r="AB787">
        <v>0.56658837513471672</v>
      </c>
      <c r="AC787">
        <v>0.23007598285846823</v>
      </c>
      <c r="AD787">
        <v>0.20333564200681495</v>
      </c>
      <c r="AE787" t="s">
        <v>144</v>
      </c>
      <c r="AF787" t="s">
        <v>141</v>
      </c>
      <c r="AG787">
        <v>783.5</v>
      </c>
      <c r="AH787">
        <v>25</v>
      </c>
      <c r="AI787">
        <v>18</v>
      </c>
      <c r="AJ787">
        <v>17</v>
      </c>
      <c r="AK787">
        <v>27.6</v>
      </c>
      <c r="AL787">
        <v>18</v>
      </c>
      <c r="AM787">
        <v>8949</v>
      </c>
      <c r="AN787">
        <v>84</v>
      </c>
      <c r="AO787">
        <v>86</v>
      </c>
      <c r="AP787">
        <v>84</v>
      </c>
      <c r="AQ787">
        <v>5</v>
      </c>
      <c r="AR787" t="s">
        <v>28</v>
      </c>
      <c r="AS787" t="s">
        <v>146</v>
      </c>
      <c r="AT787" t="s">
        <v>141</v>
      </c>
      <c r="AU787">
        <v>430.9</v>
      </c>
      <c r="AV787">
        <v>27</v>
      </c>
      <c r="AW787">
        <v>20</v>
      </c>
      <c r="AX787">
        <v>14</v>
      </c>
      <c r="AY787">
        <v>28</v>
      </c>
      <c r="AZ787">
        <v>31</v>
      </c>
      <c r="BA787">
        <v>7447</v>
      </c>
      <c r="BB787">
        <v>80</v>
      </c>
      <c r="BC787">
        <v>81</v>
      </c>
      <c r="BD787">
        <v>82</v>
      </c>
      <c r="BE787">
        <v>4.5</v>
      </c>
      <c r="BF787" t="s">
        <v>29</v>
      </c>
      <c r="BG787">
        <v>134</v>
      </c>
      <c r="BH787">
        <v>299</v>
      </c>
      <c r="BI787">
        <v>0.53900000000000003</v>
      </c>
      <c r="BJ787" t="s">
        <v>270</v>
      </c>
      <c r="BK787">
        <v>0.59619999999999995</v>
      </c>
      <c r="BL787">
        <v>0.62960000000000005</v>
      </c>
      <c r="BM787">
        <v>1.69</v>
      </c>
      <c r="BN787">
        <v>1.46</v>
      </c>
    </row>
    <row r="788" spans="1:66" x14ac:dyDescent="0.25">
      <c r="A788">
        <v>1</v>
      </c>
      <c r="B788">
        <v>1</v>
      </c>
      <c r="C788">
        <v>3</v>
      </c>
      <c r="D788">
        <v>3.6833333333333336</v>
      </c>
      <c r="E788">
        <v>3.5833333333333335</v>
      </c>
      <c r="F788">
        <v>1.9533333333333331</v>
      </c>
      <c r="G788" s="40">
        <v>0.28000000000000003</v>
      </c>
      <c r="H788" s="40">
        <v>0.39</v>
      </c>
      <c r="I788" s="40">
        <v>0.32999999999999996</v>
      </c>
      <c r="J788">
        <v>3.65</v>
      </c>
      <c r="K788">
        <v>3.6</v>
      </c>
      <c r="L788">
        <v>1.95</v>
      </c>
      <c r="M788">
        <v>3.75</v>
      </c>
      <c r="N788">
        <v>3.5</v>
      </c>
      <c r="O788">
        <v>1.96</v>
      </c>
      <c r="P788">
        <v>3.65</v>
      </c>
      <c r="Q788">
        <v>3.65</v>
      </c>
      <c r="R788">
        <v>1.95</v>
      </c>
      <c r="S788">
        <v>0.26682356804685148</v>
      </c>
      <c r="T788">
        <v>0.23373744560904194</v>
      </c>
      <c r="U788">
        <v>0.49943898634410672</v>
      </c>
      <c r="V788">
        <v>0.25096030729833552</v>
      </c>
      <c r="W788">
        <v>0.26888604353393086</v>
      </c>
      <c r="X788">
        <v>0.48015364916773373</v>
      </c>
      <c r="Y788">
        <v>0.25827814569536428</v>
      </c>
      <c r="Z788">
        <v>0.25827814569536428</v>
      </c>
      <c r="AA788">
        <v>0.48344370860927155</v>
      </c>
      <c r="AB788">
        <v>0.25868734034685043</v>
      </c>
      <c r="AC788">
        <v>0.25363387827944567</v>
      </c>
      <c r="AD788">
        <v>0.48767878137370402</v>
      </c>
      <c r="AE788" t="s">
        <v>109</v>
      </c>
      <c r="AF788" t="s">
        <v>108</v>
      </c>
      <c r="AG788">
        <v>143.19999999999999</v>
      </c>
      <c r="AH788">
        <v>31</v>
      </c>
      <c r="AI788">
        <v>3</v>
      </c>
      <c r="AJ788">
        <v>4</v>
      </c>
      <c r="AK788">
        <v>27</v>
      </c>
      <c r="AL788">
        <v>5</v>
      </c>
      <c r="AM788">
        <v>11026</v>
      </c>
      <c r="AN788">
        <v>74</v>
      </c>
      <c r="AO788">
        <v>76</v>
      </c>
      <c r="AP788">
        <v>74</v>
      </c>
      <c r="AQ788">
        <v>3.5</v>
      </c>
      <c r="AR788" t="s">
        <v>29</v>
      </c>
      <c r="AS788" t="s">
        <v>107</v>
      </c>
      <c r="AT788" t="s">
        <v>108</v>
      </c>
      <c r="AU788">
        <v>148.6</v>
      </c>
      <c r="AV788">
        <v>32</v>
      </c>
      <c r="AW788">
        <v>2</v>
      </c>
      <c r="AX788">
        <v>7</v>
      </c>
      <c r="AY788">
        <v>27.2</v>
      </c>
      <c r="AZ788">
        <v>2</v>
      </c>
      <c r="BA788">
        <v>13486</v>
      </c>
      <c r="BB788">
        <v>77</v>
      </c>
      <c r="BC788">
        <v>75</v>
      </c>
      <c r="BD788">
        <v>75</v>
      </c>
      <c r="BE788">
        <v>4</v>
      </c>
      <c r="BF788" t="s">
        <v>29</v>
      </c>
      <c r="BG788">
        <v>-3</v>
      </c>
      <c r="BH788">
        <v>50</v>
      </c>
      <c r="BI788">
        <v>0.35099999999999998</v>
      </c>
      <c r="BJ788" t="s">
        <v>271</v>
      </c>
      <c r="BK788">
        <v>0.50649999999999995</v>
      </c>
      <c r="BL788">
        <v>0.62860000000000005</v>
      </c>
      <c r="BM788">
        <v>1.65</v>
      </c>
      <c r="BN788">
        <v>1.87</v>
      </c>
    </row>
    <row r="789" spans="1:66" x14ac:dyDescent="0.25">
      <c r="A789">
        <v>1</v>
      </c>
      <c r="B789">
        <v>2</v>
      </c>
      <c r="C789">
        <v>2</v>
      </c>
      <c r="D789">
        <v>1.4833333333333334</v>
      </c>
      <c r="E789">
        <v>4.666666666666667</v>
      </c>
      <c r="F789">
        <v>6.2666666666666666</v>
      </c>
      <c r="G789" s="40">
        <v>0.61</v>
      </c>
      <c r="H789" s="40">
        <v>0.28999999999999998</v>
      </c>
      <c r="I789" s="40">
        <v>0.10000000000000003</v>
      </c>
      <c r="J789">
        <v>1.47</v>
      </c>
      <c r="K789">
        <v>4.8</v>
      </c>
      <c r="L789">
        <v>6.5</v>
      </c>
      <c r="M789">
        <v>1.5</v>
      </c>
      <c r="N789">
        <v>4.4000000000000004</v>
      </c>
      <c r="O789">
        <v>6</v>
      </c>
      <c r="P789">
        <v>1.48</v>
      </c>
      <c r="Q789">
        <v>4.8</v>
      </c>
      <c r="R789">
        <v>6.3</v>
      </c>
      <c r="S789">
        <v>0.68948725401744759</v>
      </c>
      <c r="T789">
        <v>0.15458255161245266</v>
      </c>
      <c r="U789">
        <v>0.1559301943700997</v>
      </c>
      <c r="V789">
        <v>0.62857142857142856</v>
      </c>
      <c r="W789">
        <v>0.2142857142857143</v>
      </c>
      <c r="X789">
        <v>0.15714285714285714</v>
      </c>
      <c r="Y789">
        <v>0.64798148624325014</v>
      </c>
      <c r="Z789">
        <v>0.19979429159166881</v>
      </c>
      <c r="AA789">
        <v>0.152224222165081</v>
      </c>
      <c r="AB789">
        <v>0.65534672294404217</v>
      </c>
      <c r="AC789">
        <v>0.18955418582994529</v>
      </c>
      <c r="AD789">
        <v>0.15509909122601262</v>
      </c>
      <c r="AE789" t="s">
        <v>256</v>
      </c>
      <c r="AF789" t="s">
        <v>253</v>
      </c>
      <c r="AG789">
        <v>548.5</v>
      </c>
      <c r="AH789">
        <v>26</v>
      </c>
      <c r="AI789">
        <v>17</v>
      </c>
      <c r="AJ789">
        <v>16</v>
      </c>
      <c r="AK789">
        <v>25.2</v>
      </c>
      <c r="AL789">
        <v>25</v>
      </c>
      <c r="AM789">
        <v>7938</v>
      </c>
      <c r="AN789">
        <v>83</v>
      </c>
      <c r="AO789">
        <v>79</v>
      </c>
      <c r="AP789">
        <v>79</v>
      </c>
      <c r="AQ789">
        <v>4.5</v>
      </c>
      <c r="AR789" t="s">
        <v>29</v>
      </c>
      <c r="AS789" t="s">
        <v>263</v>
      </c>
      <c r="AT789" t="s">
        <v>253</v>
      </c>
      <c r="AU789">
        <v>242.9</v>
      </c>
      <c r="AV789">
        <v>26</v>
      </c>
      <c r="AW789">
        <v>15</v>
      </c>
      <c r="AX789">
        <v>8</v>
      </c>
      <c r="AY789">
        <v>27.8</v>
      </c>
      <c r="AZ789">
        <v>156</v>
      </c>
      <c r="BA789">
        <v>3890</v>
      </c>
      <c r="BB789">
        <v>77</v>
      </c>
      <c r="BC789">
        <v>75</v>
      </c>
      <c r="BD789">
        <v>74</v>
      </c>
      <c r="BE789">
        <v>4</v>
      </c>
      <c r="BF789" t="s">
        <v>46</v>
      </c>
      <c r="BG789">
        <v>77</v>
      </c>
      <c r="BH789">
        <v>196</v>
      </c>
      <c r="BI789">
        <v>0.55200000000000005</v>
      </c>
      <c r="BJ789" t="s">
        <v>267</v>
      </c>
      <c r="BK789">
        <v>0.5</v>
      </c>
      <c r="BL789">
        <v>0.3256</v>
      </c>
      <c r="BM789">
        <v>1.62</v>
      </c>
      <c r="BN789">
        <v>1.28</v>
      </c>
    </row>
    <row r="790" spans="1:66" x14ac:dyDescent="0.25">
      <c r="A790">
        <v>2</v>
      </c>
      <c r="B790">
        <v>0</v>
      </c>
      <c r="C790">
        <v>2</v>
      </c>
      <c r="D790">
        <v>1.6033333333333335</v>
      </c>
      <c r="E790">
        <v>4.0166666666666666</v>
      </c>
      <c r="F790">
        <v>5.6333333333333329</v>
      </c>
      <c r="G790" s="40">
        <v>0.51</v>
      </c>
      <c r="H790" s="40">
        <v>0.28000000000000003</v>
      </c>
      <c r="I790" s="40">
        <v>0.20999999999999996</v>
      </c>
      <c r="J790">
        <v>1.58</v>
      </c>
      <c r="K790">
        <v>4.2</v>
      </c>
      <c r="L790">
        <v>5.8</v>
      </c>
      <c r="M790">
        <v>1.63</v>
      </c>
      <c r="N790">
        <v>3.75</v>
      </c>
      <c r="O790">
        <v>5.5</v>
      </c>
      <c r="P790">
        <v>1.6</v>
      </c>
      <c r="Q790">
        <v>4.0999999999999996</v>
      </c>
      <c r="R790">
        <v>5.6</v>
      </c>
      <c r="S790">
        <v>0.64243139004876815</v>
      </c>
      <c r="T790">
        <v>0.18256143817932619</v>
      </c>
      <c r="U790">
        <v>0.17500717177190581</v>
      </c>
      <c r="V790">
        <v>0.57769063791051045</v>
      </c>
      <c r="W790">
        <v>0.2511028639451019</v>
      </c>
      <c r="X790">
        <v>0.17120649814438765</v>
      </c>
      <c r="Y790">
        <v>0.59667359667359676</v>
      </c>
      <c r="Z790">
        <v>0.23284823284823289</v>
      </c>
      <c r="AA790">
        <v>0.17047817047817052</v>
      </c>
      <c r="AB790">
        <v>0.60559854154429182</v>
      </c>
      <c r="AC790">
        <v>0.22217084499088702</v>
      </c>
      <c r="AD790">
        <v>0.17223061346482135</v>
      </c>
      <c r="AE790" t="s">
        <v>255</v>
      </c>
      <c r="AF790" t="s">
        <v>253</v>
      </c>
      <c r="AG790">
        <v>882.5</v>
      </c>
      <c r="AH790">
        <v>27</v>
      </c>
      <c r="AI790">
        <v>18</v>
      </c>
      <c r="AJ790">
        <v>17</v>
      </c>
      <c r="AK790">
        <v>26.7</v>
      </c>
      <c r="AL790">
        <v>19</v>
      </c>
      <c r="AM790">
        <v>8832</v>
      </c>
      <c r="AN790">
        <v>82</v>
      </c>
      <c r="AO790">
        <v>84</v>
      </c>
      <c r="AP790">
        <v>82</v>
      </c>
      <c r="AQ790">
        <v>4.5</v>
      </c>
      <c r="AR790" t="s">
        <v>28</v>
      </c>
      <c r="AS790" t="s">
        <v>258</v>
      </c>
      <c r="AT790" t="s">
        <v>253</v>
      </c>
      <c r="AU790">
        <v>937.25</v>
      </c>
      <c r="AV790">
        <v>28</v>
      </c>
      <c r="AW790">
        <v>17</v>
      </c>
      <c r="AX790">
        <v>21</v>
      </c>
      <c r="AY790">
        <v>27.9</v>
      </c>
      <c r="AZ790">
        <v>39</v>
      </c>
      <c r="BA790">
        <v>7151</v>
      </c>
      <c r="BB790">
        <v>83</v>
      </c>
      <c r="BC790">
        <v>82</v>
      </c>
      <c r="BD790">
        <v>82</v>
      </c>
      <c r="BE790">
        <v>4.5</v>
      </c>
      <c r="BF790" t="s">
        <v>29</v>
      </c>
      <c r="BG790">
        <v>-31</v>
      </c>
      <c r="BH790">
        <v>174</v>
      </c>
      <c r="BI790">
        <v>0.33100000000000002</v>
      </c>
      <c r="BJ790" t="s">
        <v>267</v>
      </c>
      <c r="BK790">
        <v>0.57630000000000003</v>
      </c>
      <c r="BL790">
        <v>0.57379999999999998</v>
      </c>
      <c r="BM790">
        <v>1.68</v>
      </c>
      <c r="BN790">
        <v>1.98</v>
      </c>
    </row>
    <row r="791" spans="1:66" x14ac:dyDescent="0.25">
      <c r="A791">
        <v>3</v>
      </c>
      <c r="B791">
        <v>-1</v>
      </c>
      <c r="C791">
        <v>1</v>
      </c>
      <c r="D791">
        <v>2.17</v>
      </c>
      <c r="E791">
        <v>3.5333333333333332</v>
      </c>
      <c r="F791">
        <v>3.25</v>
      </c>
      <c r="G791" s="40">
        <v>0.31</v>
      </c>
      <c r="H791" s="40">
        <v>0.34</v>
      </c>
      <c r="I791" s="40">
        <v>0.34999999999999992</v>
      </c>
      <c r="J791">
        <v>2.1800000000000002</v>
      </c>
      <c r="K791">
        <v>3.5</v>
      </c>
      <c r="L791">
        <v>3.15</v>
      </c>
      <c r="M791">
        <v>2.15</v>
      </c>
      <c r="N791">
        <v>3.6</v>
      </c>
      <c r="O791">
        <v>3.3</v>
      </c>
      <c r="P791">
        <v>2.1800000000000002</v>
      </c>
      <c r="Q791">
        <v>3.5</v>
      </c>
      <c r="R791">
        <v>3.3</v>
      </c>
      <c r="S791">
        <v>0.44545507794522493</v>
      </c>
      <c r="T791">
        <v>0.24626172525458764</v>
      </c>
      <c r="U791">
        <v>0.30828319680018751</v>
      </c>
      <c r="V791">
        <v>0.44469399213924765</v>
      </c>
      <c r="W791">
        <v>0.26558113419427287</v>
      </c>
      <c r="X791">
        <v>0.28972487366647953</v>
      </c>
      <c r="Y791">
        <v>0.43793129597330704</v>
      </c>
      <c r="Z791">
        <v>0.27276863577765986</v>
      </c>
      <c r="AA791">
        <v>0.2893000682490332</v>
      </c>
      <c r="AB791">
        <v>0.44269345535259319</v>
      </c>
      <c r="AC791">
        <v>0.26153716507550678</v>
      </c>
      <c r="AD791">
        <v>0.29576937957190008</v>
      </c>
      <c r="AE791" t="s">
        <v>306</v>
      </c>
      <c r="AF791" t="s">
        <v>307</v>
      </c>
      <c r="AG791">
        <v>640.4</v>
      </c>
      <c r="AH791">
        <v>25</v>
      </c>
      <c r="AI791">
        <v>14</v>
      </c>
      <c r="AJ791">
        <v>20</v>
      </c>
      <c r="AK791">
        <v>27.3</v>
      </c>
      <c r="AL791">
        <v>14</v>
      </c>
      <c r="AM791">
        <v>9319</v>
      </c>
      <c r="AN791">
        <v>87</v>
      </c>
      <c r="AO791">
        <v>81</v>
      </c>
      <c r="AP791">
        <v>83</v>
      </c>
      <c r="AQ791">
        <v>5</v>
      </c>
      <c r="AR791" t="s">
        <v>28</v>
      </c>
      <c r="AS791" t="s">
        <v>308</v>
      </c>
      <c r="AT791" t="s">
        <v>307</v>
      </c>
      <c r="AU791">
        <v>415.35</v>
      </c>
      <c r="AV791">
        <v>26</v>
      </c>
      <c r="AW791">
        <v>16</v>
      </c>
      <c r="AX791">
        <v>17</v>
      </c>
      <c r="AY791">
        <v>27.1</v>
      </c>
      <c r="AZ791">
        <v>26</v>
      </c>
      <c r="BA791">
        <v>7928</v>
      </c>
      <c r="BB791">
        <v>82</v>
      </c>
      <c r="BC791">
        <v>79</v>
      </c>
      <c r="BD791">
        <v>78</v>
      </c>
      <c r="BE791">
        <v>4.5</v>
      </c>
      <c r="BF791" t="s">
        <v>29</v>
      </c>
      <c r="BG791">
        <v>129</v>
      </c>
      <c r="BH791">
        <v>267</v>
      </c>
      <c r="BI791">
        <v>0.53300000000000003</v>
      </c>
      <c r="BJ791" t="s">
        <v>322</v>
      </c>
      <c r="BK791">
        <v>0.65380000000000005</v>
      </c>
      <c r="BL791">
        <v>0.56859999999999999</v>
      </c>
      <c r="BM791">
        <v>2.08</v>
      </c>
      <c r="BN791">
        <v>2.1800000000000002</v>
      </c>
    </row>
    <row r="792" spans="1:66" x14ac:dyDescent="0.25">
      <c r="A792">
        <v>3</v>
      </c>
      <c r="B792">
        <v>-2</v>
      </c>
      <c r="C792">
        <v>4</v>
      </c>
      <c r="D792">
        <v>1.5703333333333334</v>
      </c>
      <c r="E792">
        <v>4.4333333333333336</v>
      </c>
      <c r="F792">
        <v>5.333333333333333</v>
      </c>
      <c r="G792" s="40">
        <v>0.56999999999999995</v>
      </c>
      <c r="H792" s="40">
        <v>0.22</v>
      </c>
      <c r="I792" s="40">
        <v>0.21000000000000005</v>
      </c>
      <c r="J792">
        <v>1.56</v>
      </c>
      <c r="K792">
        <v>4.3499999999999996</v>
      </c>
      <c r="L792">
        <v>5.2</v>
      </c>
      <c r="M792">
        <v>1.571</v>
      </c>
      <c r="N792">
        <v>4.5</v>
      </c>
      <c r="O792">
        <v>5.5</v>
      </c>
      <c r="P792">
        <v>1.58</v>
      </c>
      <c r="Q792">
        <v>4.45</v>
      </c>
      <c r="R792">
        <v>5.3</v>
      </c>
      <c r="S792">
        <v>0.63254613106538082</v>
      </c>
      <c r="T792">
        <v>0.17769002961500496</v>
      </c>
      <c r="U792">
        <v>0.18976383931961427</v>
      </c>
      <c r="V792">
        <v>0.61171527434503215</v>
      </c>
      <c r="W792">
        <v>0.21355659911023234</v>
      </c>
      <c r="X792">
        <v>0.17472812654473555</v>
      </c>
      <c r="Y792">
        <v>0.60489869197230062</v>
      </c>
      <c r="Z792">
        <v>0.21477301872274945</v>
      </c>
      <c r="AA792">
        <v>0.18032828930495001</v>
      </c>
      <c r="AB792">
        <v>0.61638669912757116</v>
      </c>
      <c r="AC792">
        <v>0.20200654914932892</v>
      </c>
      <c r="AD792">
        <v>0.18160675172309992</v>
      </c>
      <c r="AE792" t="s">
        <v>313</v>
      </c>
      <c r="AF792" t="s">
        <v>307</v>
      </c>
      <c r="AG792">
        <v>466.9</v>
      </c>
      <c r="AH792">
        <v>28</v>
      </c>
      <c r="AI792">
        <v>19</v>
      </c>
      <c r="AJ792">
        <v>17</v>
      </c>
      <c r="AK792">
        <v>26.2</v>
      </c>
      <c r="AL792">
        <v>121</v>
      </c>
      <c r="AM792">
        <v>4490</v>
      </c>
      <c r="AN792">
        <v>84</v>
      </c>
      <c r="AO792">
        <v>78</v>
      </c>
      <c r="AP792">
        <v>80</v>
      </c>
      <c r="AQ792">
        <v>4.5</v>
      </c>
      <c r="AR792" t="s">
        <v>29</v>
      </c>
      <c r="AS792" t="s">
        <v>317</v>
      </c>
      <c r="AT792" t="s">
        <v>307</v>
      </c>
      <c r="AU792">
        <v>216.9</v>
      </c>
      <c r="AV792">
        <v>27</v>
      </c>
      <c r="AW792">
        <v>15</v>
      </c>
      <c r="AX792">
        <v>12</v>
      </c>
      <c r="AY792">
        <v>27.2</v>
      </c>
      <c r="AZ792">
        <v>218</v>
      </c>
      <c r="BA792">
        <v>3086</v>
      </c>
      <c r="BB792">
        <v>79</v>
      </c>
      <c r="BC792">
        <v>77</v>
      </c>
      <c r="BD792">
        <v>72</v>
      </c>
      <c r="BE792">
        <v>4</v>
      </c>
      <c r="BF792" t="s">
        <v>29</v>
      </c>
      <c r="BG792">
        <v>7</v>
      </c>
      <c r="BH792">
        <v>32</v>
      </c>
      <c r="BI792">
        <v>0.58799999999999997</v>
      </c>
      <c r="BJ792" t="s">
        <v>322</v>
      </c>
      <c r="BK792">
        <v>0.56599999999999995</v>
      </c>
      <c r="BL792">
        <v>0.43590000000000001</v>
      </c>
      <c r="BM792">
        <v>1.85</v>
      </c>
      <c r="BN792">
        <v>1.64</v>
      </c>
    </row>
    <row r="793" spans="1:66" x14ac:dyDescent="0.25">
      <c r="A793">
        <v>1</v>
      </c>
      <c r="B793">
        <v>1</v>
      </c>
      <c r="C793">
        <v>1</v>
      </c>
      <c r="D793">
        <v>1.7166666666666668</v>
      </c>
      <c r="E793">
        <v>3.9666666666666668</v>
      </c>
      <c r="F793">
        <v>4.6833333333333336</v>
      </c>
      <c r="G793" s="40">
        <v>0.53</v>
      </c>
      <c r="H793" s="40">
        <v>0.23</v>
      </c>
      <c r="I793" s="40">
        <v>0.23999999999999996</v>
      </c>
      <c r="J793">
        <v>1.67</v>
      </c>
      <c r="K793">
        <v>3.95</v>
      </c>
      <c r="L793">
        <v>4.75</v>
      </c>
      <c r="M793">
        <v>1.75</v>
      </c>
      <c r="N793">
        <v>3.95</v>
      </c>
      <c r="O793">
        <v>4.75</v>
      </c>
      <c r="P793">
        <v>1.73</v>
      </c>
      <c r="Q793">
        <v>4</v>
      </c>
      <c r="R793">
        <v>4.55</v>
      </c>
      <c r="S793">
        <v>0.59104022911261977</v>
      </c>
      <c r="T793">
        <v>0.20116246928357503</v>
      </c>
      <c r="U793">
        <v>0.20779730160380527</v>
      </c>
      <c r="V793">
        <v>0.55204119161456422</v>
      </c>
      <c r="W793">
        <v>0.24457521147480696</v>
      </c>
      <c r="X793">
        <v>0.20338359691062893</v>
      </c>
      <c r="Y793">
        <v>0.55165724504796687</v>
      </c>
      <c r="Z793">
        <v>0.23859175848324568</v>
      </c>
      <c r="AA793">
        <v>0.20975099646878742</v>
      </c>
      <c r="AB793">
        <v>0.56491288859171696</v>
      </c>
      <c r="AC793">
        <v>0.22810981308054257</v>
      </c>
      <c r="AD793">
        <v>0.20697729832774056</v>
      </c>
      <c r="AE793" t="s">
        <v>312</v>
      </c>
      <c r="AF793" t="s">
        <v>307</v>
      </c>
      <c r="AG793">
        <v>418.35</v>
      </c>
      <c r="AH793">
        <v>31</v>
      </c>
      <c r="AI793">
        <v>20</v>
      </c>
      <c r="AJ793">
        <v>19</v>
      </c>
      <c r="AK793">
        <v>25.4</v>
      </c>
      <c r="AL793">
        <v>44</v>
      </c>
      <c r="AM793">
        <v>6735</v>
      </c>
      <c r="AN793">
        <v>79</v>
      </c>
      <c r="AO793">
        <v>77</v>
      </c>
      <c r="AP793">
        <v>76</v>
      </c>
      <c r="AQ793">
        <v>4</v>
      </c>
      <c r="AR793" t="s">
        <v>29</v>
      </c>
      <c r="AS793" t="s">
        <v>315</v>
      </c>
      <c r="AT793" t="s">
        <v>307</v>
      </c>
      <c r="AU793">
        <v>184.13</v>
      </c>
      <c r="AV793">
        <v>30</v>
      </c>
      <c r="AW793">
        <v>20</v>
      </c>
      <c r="AX793">
        <v>13</v>
      </c>
      <c r="AY793">
        <v>26</v>
      </c>
      <c r="AZ793">
        <v>162</v>
      </c>
      <c r="BA793">
        <v>3817</v>
      </c>
      <c r="BB793">
        <v>76</v>
      </c>
      <c r="BC793">
        <v>74</v>
      </c>
      <c r="BD793">
        <v>77</v>
      </c>
      <c r="BE793">
        <v>4</v>
      </c>
      <c r="BF793" t="s">
        <v>46</v>
      </c>
      <c r="BG793">
        <v>23</v>
      </c>
      <c r="BH793">
        <v>271</v>
      </c>
      <c r="BI793">
        <v>0.42099999999999999</v>
      </c>
      <c r="BJ793" t="s">
        <v>322</v>
      </c>
      <c r="BK793">
        <v>0.52829999999999999</v>
      </c>
      <c r="BL793">
        <v>0.2195</v>
      </c>
      <c r="BM793">
        <v>1.87</v>
      </c>
      <c r="BN793">
        <v>1.34</v>
      </c>
    </row>
    <row r="794" spans="1:66" x14ac:dyDescent="0.25">
      <c r="A794">
        <v>1</v>
      </c>
      <c r="B794">
        <v>3</v>
      </c>
      <c r="C794">
        <v>4</v>
      </c>
      <c r="D794">
        <v>1.8010000000000002</v>
      </c>
      <c r="E794">
        <v>3.9</v>
      </c>
      <c r="F794">
        <v>4.1999999999999993</v>
      </c>
      <c r="G794" s="40">
        <v>0.5</v>
      </c>
      <c r="H794" s="40">
        <v>0.31</v>
      </c>
      <c r="I794" s="40">
        <v>0.19</v>
      </c>
      <c r="J794">
        <v>1.77</v>
      </c>
      <c r="K794">
        <v>3.9</v>
      </c>
      <c r="L794">
        <v>4.0999999999999996</v>
      </c>
      <c r="M794">
        <v>1.833</v>
      </c>
      <c r="N794">
        <v>3.95</v>
      </c>
      <c r="O794">
        <v>4.2</v>
      </c>
      <c r="P794">
        <v>1.8</v>
      </c>
      <c r="Q794">
        <v>3.85</v>
      </c>
      <c r="R794">
        <v>4.3</v>
      </c>
      <c r="S794">
        <v>0.55193500547820329</v>
      </c>
      <c r="T794">
        <v>0.20979061410803579</v>
      </c>
      <c r="U794">
        <v>0.23827438041376092</v>
      </c>
      <c r="V794">
        <v>0.52618307936039743</v>
      </c>
      <c r="W794">
        <v>0.24417559100445782</v>
      </c>
      <c r="X794">
        <v>0.22964132963514486</v>
      </c>
      <c r="Y794">
        <v>0.53018414731785424</v>
      </c>
      <c r="Z794">
        <v>0.24787830264211366</v>
      </c>
      <c r="AA794">
        <v>0.22193755004003202</v>
      </c>
      <c r="AB794">
        <v>0.53610074405215158</v>
      </c>
      <c r="AC794">
        <v>0.23394816925153575</v>
      </c>
      <c r="AD794">
        <v>0.22995108669631259</v>
      </c>
      <c r="AE794" t="s">
        <v>310</v>
      </c>
      <c r="AF794" t="s">
        <v>307</v>
      </c>
      <c r="AG794">
        <v>517.75</v>
      </c>
      <c r="AH794">
        <v>25</v>
      </c>
      <c r="AI794">
        <v>18</v>
      </c>
      <c r="AJ794">
        <v>17</v>
      </c>
      <c r="AK794">
        <v>27.6</v>
      </c>
      <c r="AL794">
        <v>38</v>
      </c>
      <c r="AM794">
        <v>7165</v>
      </c>
      <c r="AN794">
        <v>82</v>
      </c>
      <c r="AO794">
        <v>80</v>
      </c>
      <c r="AP794">
        <v>80</v>
      </c>
      <c r="AQ794">
        <v>4.5</v>
      </c>
      <c r="AR794" t="s">
        <v>29</v>
      </c>
      <c r="AS794" t="s">
        <v>311</v>
      </c>
      <c r="AT794" t="s">
        <v>307</v>
      </c>
      <c r="AU794">
        <v>326.60000000000002</v>
      </c>
      <c r="AV794">
        <v>33</v>
      </c>
      <c r="AW794">
        <v>26</v>
      </c>
      <c r="AX794">
        <v>12</v>
      </c>
      <c r="AY794">
        <v>27.4</v>
      </c>
      <c r="AZ794">
        <v>41</v>
      </c>
      <c r="BA794">
        <v>6846</v>
      </c>
      <c r="BB794">
        <v>82</v>
      </c>
      <c r="BC794">
        <v>80</v>
      </c>
      <c r="BD794">
        <v>79</v>
      </c>
      <c r="BE794">
        <v>4.5</v>
      </c>
      <c r="BF794" t="s">
        <v>46</v>
      </c>
      <c r="BG794">
        <v>22</v>
      </c>
      <c r="BH794">
        <v>230</v>
      </c>
      <c r="BI794">
        <v>0.377</v>
      </c>
      <c r="BJ794" t="s">
        <v>322</v>
      </c>
      <c r="BK794">
        <v>0.58819999999999995</v>
      </c>
      <c r="BL794">
        <v>0.5</v>
      </c>
      <c r="BM794">
        <v>2.02</v>
      </c>
      <c r="BN794">
        <v>1.63</v>
      </c>
    </row>
    <row r="795" spans="1:66" x14ac:dyDescent="0.25">
      <c r="A795">
        <v>2</v>
      </c>
      <c r="B795">
        <v>0</v>
      </c>
      <c r="C795">
        <v>2</v>
      </c>
      <c r="D795">
        <v>1.6819999999999997</v>
      </c>
      <c r="E795">
        <v>3.7333333333333329</v>
      </c>
      <c r="F795">
        <v>5</v>
      </c>
      <c r="G795" s="40">
        <v>0.35</v>
      </c>
      <c r="H795" s="40">
        <v>0.44</v>
      </c>
      <c r="I795" s="40">
        <v>0.21000000000000002</v>
      </c>
      <c r="J795">
        <v>1.68</v>
      </c>
      <c r="K795">
        <v>3.7</v>
      </c>
      <c r="L795">
        <v>4.8</v>
      </c>
      <c r="M795">
        <v>1.6659999999999999</v>
      </c>
      <c r="N795">
        <v>3.75</v>
      </c>
      <c r="O795">
        <v>5</v>
      </c>
      <c r="P795">
        <v>1.7</v>
      </c>
      <c r="Q795">
        <v>3.75</v>
      </c>
      <c r="R795">
        <v>5.2</v>
      </c>
      <c r="S795">
        <v>0.58283635748424478</v>
      </c>
      <c r="T795">
        <v>0.21317091739626948</v>
      </c>
      <c r="U795">
        <v>0.20399272511948568</v>
      </c>
      <c r="V795">
        <v>0.5625984547295777</v>
      </c>
      <c r="W795">
        <v>0.24994374015452706</v>
      </c>
      <c r="X795">
        <v>0.1874578051158953</v>
      </c>
      <c r="Y795">
        <v>0.56171683710211717</v>
      </c>
      <c r="Z795">
        <v>0.25464496615295984</v>
      </c>
      <c r="AA795">
        <v>0.1836381967449229</v>
      </c>
      <c r="AB795">
        <v>0.56905054977197989</v>
      </c>
      <c r="AC795">
        <v>0.23925320790125212</v>
      </c>
      <c r="AD795">
        <v>0.19169624232676796</v>
      </c>
      <c r="AE795" t="s">
        <v>33</v>
      </c>
      <c r="AF795" t="s">
        <v>23</v>
      </c>
      <c r="AG795">
        <v>272</v>
      </c>
      <c r="AH795">
        <v>26</v>
      </c>
      <c r="AI795">
        <v>20</v>
      </c>
      <c r="AJ795">
        <v>12</v>
      </c>
      <c r="AK795">
        <v>25.4</v>
      </c>
      <c r="AL795">
        <v>131</v>
      </c>
      <c r="AM795">
        <v>4207</v>
      </c>
      <c r="AN795">
        <v>78</v>
      </c>
      <c r="AO795">
        <v>78</v>
      </c>
      <c r="AP795">
        <v>78</v>
      </c>
      <c r="AQ795">
        <v>4</v>
      </c>
      <c r="AR795" t="s">
        <v>29</v>
      </c>
      <c r="AS795" t="s">
        <v>39</v>
      </c>
      <c r="AT795" t="s">
        <v>23</v>
      </c>
      <c r="AU795">
        <v>87.45</v>
      </c>
      <c r="AV795">
        <v>29</v>
      </c>
      <c r="AW795">
        <v>14</v>
      </c>
      <c r="AX795">
        <v>7</v>
      </c>
      <c r="AY795">
        <v>26.2</v>
      </c>
      <c r="AZ795">
        <v>229</v>
      </c>
      <c r="BA795">
        <v>3029</v>
      </c>
      <c r="BB795">
        <v>71</v>
      </c>
      <c r="BC795">
        <v>73</v>
      </c>
      <c r="BD795">
        <v>73</v>
      </c>
      <c r="BE795">
        <v>3.5</v>
      </c>
      <c r="BF795" t="s">
        <v>29</v>
      </c>
      <c r="BG795">
        <v>8</v>
      </c>
      <c r="BH795">
        <v>106</v>
      </c>
      <c r="BI795">
        <v>0.40300000000000002</v>
      </c>
      <c r="BJ795" t="s">
        <v>266</v>
      </c>
      <c r="BK795">
        <v>0.59179999999999999</v>
      </c>
      <c r="BL795">
        <v>0.24390000000000001</v>
      </c>
      <c r="BM795">
        <v>1.71</v>
      </c>
      <c r="BN795">
        <v>1.24</v>
      </c>
    </row>
    <row r="796" spans="1:66" x14ac:dyDescent="0.25">
      <c r="A796">
        <v>3</v>
      </c>
      <c r="B796">
        <v>-1</v>
      </c>
      <c r="C796">
        <v>1</v>
      </c>
      <c r="D796">
        <v>1.4166666666666667</v>
      </c>
      <c r="E796">
        <v>4.7333333333333334</v>
      </c>
      <c r="F796">
        <v>7</v>
      </c>
      <c r="G796" s="40">
        <v>0.56000000000000005</v>
      </c>
      <c r="H796" s="40">
        <v>0.28999999999999998</v>
      </c>
      <c r="I796" s="40">
        <v>0.14999999999999997</v>
      </c>
      <c r="J796">
        <v>1.43</v>
      </c>
      <c r="K796">
        <v>4.5999999999999996</v>
      </c>
      <c r="L796">
        <v>6.4</v>
      </c>
      <c r="M796">
        <v>1.42</v>
      </c>
      <c r="N796">
        <v>4.75</v>
      </c>
      <c r="O796">
        <v>7</v>
      </c>
      <c r="P796">
        <v>1.4</v>
      </c>
      <c r="Q796">
        <v>4.8499999999999996</v>
      </c>
      <c r="R796">
        <v>7.6</v>
      </c>
      <c r="S796">
        <v>0.68847677843961264</v>
      </c>
      <c r="T796">
        <v>0.15769169137778635</v>
      </c>
      <c r="U796">
        <v>0.15383153018260096</v>
      </c>
      <c r="V796">
        <v>0.66586562531290672</v>
      </c>
      <c r="W796">
        <v>0.19905877640933212</v>
      </c>
      <c r="X796">
        <v>0.13507559827776108</v>
      </c>
      <c r="Y796">
        <v>0.6789463989685024</v>
      </c>
      <c r="Z796">
        <v>0.1959845275372997</v>
      </c>
      <c r="AA796">
        <v>0.12506907349419782</v>
      </c>
      <c r="AB796">
        <v>0.67776293424034062</v>
      </c>
      <c r="AC796">
        <v>0.18424499844147271</v>
      </c>
      <c r="AD796">
        <v>0.13799206731818661</v>
      </c>
      <c r="AE796" t="s">
        <v>40</v>
      </c>
      <c r="AF796" t="s">
        <v>23</v>
      </c>
      <c r="AG796">
        <v>218.25</v>
      </c>
      <c r="AH796">
        <v>26</v>
      </c>
      <c r="AI796">
        <v>17</v>
      </c>
      <c r="AJ796">
        <v>8</v>
      </c>
      <c r="AK796">
        <v>24.1</v>
      </c>
      <c r="AL796">
        <v>255</v>
      </c>
      <c r="AM796">
        <v>2803</v>
      </c>
      <c r="AN796">
        <v>77</v>
      </c>
      <c r="AO796">
        <v>74</v>
      </c>
      <c r="AP796">
        <v>73</v>
      </c>
      <c r="AQ796">
        <v>4</v>
      </c>
      <c r="AR796" t="s">
        <v>28</v>
      </c>
      <c r="AS796" t="s">
        <v>48</v>
      </c>
      <c r="AT796" t="s">
        <v>23</v>
      </c>
      <c r="AU796">
        <v>85.63</v>
      </c>
      <c r="AV796">
        <v>28</v>
      </c>
      <c r="AW796">
        <v>16</v>
      </c>
      <c r="AX796">
        <v>8</v>
      </c>
      <c r="AY796">
        <v>25</v>
      </c>
      <c r="AZ796">
        <v>426</v>
      </c>
      <c r="BA796">
        <v>1736</v>
      </c>
      <c r="BB796">
        <v>70</v>
      </c>
      <c r="BC796">
        <v>70</v>
      </c>
      <c r="BD796">
        <v>73</v>
      </c>
      <c r="BE796">
        <v>3.5</v>
      </c>
      <c r="BF796" t="s">
        <v>46</v>
      </c>
      <c r="BG796">
        <v>3</v>
      </c>
      <c r="BH796">
        <v>61</v>
      </c>
      <c r="BI796">
        <v>0.35599999999999998</v>
      </c>
      <c r="BJ796" t="s">
        <v>266</v>
      </c>
      <c r="BK796">
        <v>0.36959999999999998</v>
      </c>
      <c r="BL796">
        <v>0.34150000000000003</v>
      </c>
      <c r="BM796">
        <v>1.33</v>
      </c>
      <c r="BN796">
        <v>1.22</v>
      </c>
    </row>
    <row r="797" spans="1:66" x14ac:dyDescent="0.25">
      <c r="A797">
        <v>3</v>
      </c>
      <c r="B797">
        <v>-2</v>
      </c>
      <c r="C797">
        <v>4</v>
      </c>
      <c r="D797">
        <v>7.8</v>
      </c>
      <c r="E797">
        <v>5.4333333333333336</v>
      </c>
      <c r="F797">
        <v>5.4176666666666664</v>
      </c>
      <c r="G797" s="40">
        <v>0.14000000000000001</v>
      </c>
      <c r="H797" s="40">
        <v>0.25</v>
      </c>
      <c r="I797" s="40">
        <v>0.61</v>
      </c>
      <c r="J797">
        <v>7.5</v>
      </c>
      <c r="K797">
        <v>5.3</v>
      </c>
      <c r="L797">
        <v>1.32</v>
      </c>
      <c r="M797">
        <v>8</v>
      </c>
      <c r="N797">
        <v>5.5</v>
      </c>
      <c r="O797">
        <v>1.333</v>
      </c>
      <c r="P797">
        <v>7.9</v>
      </c>
      <c r="Q797">
        <v>5.5</v>
      </c>
      <c r="R797">
        <v>13.6</v>
      </c>
      <c r="S797">
        <v>0.13019256643121427</v>
      </c>
      <c r="T797">
        <v>0.13007694248234106</v>
      </c>
      <c r="U797">
        <v>0.73973049108644462</v>
      </c>
      <c r="V797">
        <v>0.11825858328427062</v>
      </c>
      <c r="W797">
        <v>0.17201248477712092</v>
      </c>
      <c r="X797">
        <v>0.70972893193860842</v>
      </c>
      <c r="Y797">
        <v>0.33142806504497319</v>
      </c>
      <c r="Z797">
        <v>0.47605122070096145</v>
      </c>
      <c r="AA797">
        <v>0.19252071425406531</v>
      </c>
      <c r="AB797">
        <v>0.19329307158681938</v>
      </c>
      <c r="AC797">
        <v>0.25938021598680777</v>
      </c>
      <c r="AD797">
        <v>0.54732671242637276</v>
      </c>
      <c r="AE797" t="s">
        <v>35</v>
      </c>
      <c r="AF797" t="s">
        <v>23</v>
      </c>
      <c r="AG797">
        <v>93.2</v>
      </c>
      <c r="AH797">
        <v>28</v>
      </c>
      <c r="AI797">
        <v>13</v>
      </c>
      <c r="AJ797">
        <v>9</v>
      </c>
      <c r="AK797">
        <v>23.9</v>
      </c>
      <c r="AL797">
        <v>169</v>
      </c>
      <c r="AM797">
        <v>3749</v>
      </c>
      <c r="AN797">
        <v>74</v>
      </c>
      <c r="AO797">
        <v>74</v>
      </c>
      <c r="AP797">
        <v>73</v>
      </c>
      <c r="AQ797">
        <v>3.5</v>
      </c>
      <c r="AR797" t="s">
        <v>29</v>
      </c>
      <c r="AS797" t="s">
        <v>10</v>
      </c>
      <c r="AT797" t="s">
        <v>23</v>
      </c>
      <c r="AU797">
        <v>997.75</v>
      </c>
      <c r="AV797">
        <v>35</v>
      </c>
      <c r="AW797">
        <v>24</v>
      </c>
      <c r="AX797">
        <v>19</v>
      </c>
      <c r="AY797">
        <v>26.1</v>
      </c>
      <c r="AZ797">
        <v>12</v>
      </c>
      <c r="BA797">
        <v>9495</v>
      </c>
      <c r="BB797">
        <v>87</v>
      </c>
      <c r="BC797">
        <v>82</v>
      </c>
      <c r="BD797">
        <v>82</v>
      </c>
      <c r="BE797">
        <v>5</v>
      </c>
      <c r="BF797" t="s">
        <v>28</v>
      </c>
      <c r="BG797">
        <v>-81</v>
      </c>
      <c r="BH797">
        <v>51</v>
      </c>
      <c r="BI797">
        <v>0.13</v>
      </c>
      <c r="BJ797" t="s">
        <v>266</v>
      </c>
      <c r="BK797">
        <v>0.30769999999999997</v>
      </c>
      <c r="BL797">
        <v>0.66669999999999996</v>
      </c>
      <c r="BM797">
        <v>1.08</v>
      </c>
      <c r="BN797">
        <v>2.21</v>
      </c>
    </row>
    <row r="798" spans="1:66" x14ac:dyDescent="0.25">
      <c r="A798">
        <v>3</v>
      </c>
      <c r="B798">
        <v>-1</v>
      </c>
      <c r="C798">
        <v>3</v>
      </c>
      <c r="D798">
        <v>2.4133333333333336</v>
      </c>
      <c r="E798">
        <v>3.3833333333333333</v>
      </c>
      <c r="F798">
        <v>2.8516666666666666</v>
      </c>
      <c r="G798" s="40">
        <v>0.23</v>
      </c>
      <c r="H798" s="40">
        <v>0.46</v>
      </c>
      <c r="I798" s="40">
        <v>0.31</v>
      </c>
      <c r="J798">
        <v>2.4</v>
      </c>
      <c r="K798">
        <v>3.3</v>
      </c>
      <c r="L798">
        <v>2.8</v>
      </c>
      <c r="M798">
        <v>2.4</v>
      </c>
      <c r="N798">
        <v>3.4</v>
      </c>
      <c r="O798">
        <v>2.875</v>
      </c>
      <c r="P798">
        <v>2.44</v>
      </c>
      <c r="Q798">
        <v>3.45</v>
      </c>
      <c r="R798">
        <v>2.88</v>
      </c>
      <c r="S798">
        <v>0.39718896408120768</v>
      </c>
      <c r="T798">
        <v>0.26236335242061432</v>
      </c>
      <c r="U798">
        <v>0.34044768349817806</v>
      </c>
      <c r="V798">
        <v>0.39359774511777734</v>
      </c>
      <c r="W798">
        <v>0.27783370243607813</v>
      </c>
      <c r="X798">
        <v>0.32856855244614458</v>
      </c>
      <c r="Y798">
        <v>0.39147085244196494</v>
      </c>
      <c r="Z798">
        <v>0.27686634201692595</v>
      </c>
      <c r="AA798">
        <v>0.33166280554110922</v>
      </c>
      <c r="AB798">
        <v>0.39408585388031664</v>
      </c>
      <c r="AC798">
        <v>0.27235446562453952</v>
      </c>
      <c r="AD798">
        <v>0.33355968049514395</v>
      </c>
      <c r="AE798" t="s">
        <v>44</v>
      </c>
      <c r="AF798" t="s">
        <v>23</v>
      </c>
      <c r="AG798">
        <v>87.7</v>
      </c>
      <c r="AH798">
        <v>29</v>
      </c>
      <c r="AI798">
        <v>16</v>
      </c>
      <c r="AJ798">
        <v>10</v>
      </c>
      <c r="AK798">
        <v>25.1</v>
      </c>
      <c r="AL798">
        <v>326</v>
      </c>
      <c r="AM798">
        <v>2298</v>
      </c>
      <c r="AN798">
        <v>74</v>
      </c>
      <c r="AO798">
        <v>73</v>
      </c>
      <c r="AP798">
        <v>72</v>
      </c>
      <c r="AQ798">
        <v>3.5</v>
      </c>
      <c r="AR798" t="s">
        <v>29</v>
      </c>
      <c r="AS798" t="s">
        <v>45</v>
      </c>
      <c r="AT798" t="s">
        <v>23</v>
      </c>
      <c r="AU798">
        <v>88.3</v>
      </c>
      <c r="AV798">
        <v>26</v>
      </c>
      <c r="AW798">
        <v>7</v>
      </c>
      <c r="AX798">
        <v>4</v>
      </c>
      <c r="AY798">
        <v>25.1</v>
      </c>
      <c r="AZ798">
        <v>347</v>
      </c>
      <c r="BA798">
        <v>2156</v>
      </c>
      <c r="BB798">
        <v>72</v>
      </c>
      <c r="BC798">
        <v>73</v>
      </c>
      <c r="BD798">
        <v>72</v>
      </c>
      <c r="BE798">
        <v>3.5</v>
      </c>
      <c r="BF798" t="s">
        <v>29</v>
      </c>
      <c r="BG798">
        <v>4</v>
      </c>
      <c r="BH798">
        <v>44</v>
      </c>
      <c r="BI798">
        <v>0.35499999999999998</v>
      </c>
      <c r="BJ798" t="s">
        <v>266</v>
      </c>
      <c r="BK798">
        <v>0.33329999999999999</v>
      </c>
      <c r="BL798">
        <v>0.3</v>
      </c>
      <c r="BM798">
        <v>1.08</v>
      </c>
      <c r="BN798">
        <v>1.3</v>
      </c>
    </row>
    <row r="799" spans="1:66" x14ac:dyDescent="0.25">
      <c r="A799">
        <v>3</v>
      </c>
      <c r="B799">
        <v>-1</v>
      </c>
      <c r="C799">
        <v>1</v>
      </c>
      <c r="D799">
        <v>4.2166666666666659</v>
      </c>
      <c r="E799">
        <v>4.05</v>
      </c>
      <c r="F799">
        <v>1.7323333333333333</v>
      </c>
      <c r="G799" s="40">
        <v>0.41</v>
      </c>
      <c r="H799" s="40">
        <v>0.32</v>
      </c>
      <c r="I799" s="40">
        <v>0.27000000000000007</v>
      </c>
      <c r="J799">
        <v>4.3499999999999996</v>
      </c>
      <c r="K799">
        <v>3.85</v>
      </c>
      <c r="L799">
        <v>1.71</v>
      </c>
      <c r="M799">
        <v>4.2</v>
      </c>
      <c r="N799">
        <v>4</v>
      </c>
      <c r="O799">
        <v>1.7270000000000001</v>
      </c>
      <c r="P799">
        <v>4.0999999999999996</v>
      </c>
      <c r="Q799">
        <v>4.3</v>
      </c>
      <c r="R799">
        <v>1.76</v>
      </c>
      <c r="S799">
        <v>0.2232804024951105</v>
      </c>
      <c r="T799">
        <v>0.20872559115767853</v>
      </c>
      <c r="U799">
        <v>0.56799400634721087</v>
      </c>
      <c r="V799">
        <v>0.22311652573850019</v>
      </c>
      <c r="W799">
        <v>0.23427235202542521</v>
      </c>
      <c r="X799">
        <v>0.54261112223607455</v>
      </c>
      <c r="Y799">
        <v>0.23347936077003767</v>
      </c>
      <c r="Z799">
        <v>0.22261985561794284</v>
      </c>
      <c r="AA799">
        <v>0.54390078361201943</v>
      </c>
      <c r="AB799">
        <v>0.22662542966788279</v>
      </c>
      <c r="AC799">
        <v>0.22187259960034886</v>
      </c>
      <c r="AD799">
        <v>0.55150197073176832</v>
      </c>
      <c r="AE799" t="s">
        <v>38</v>
      </c>
      <c r="AF799" t="s">
        <v>23</v>
      </c>
      <c r="AG799">
        <v>88.7</v>
      </c>
      <c r="AH799">
        <v>24</v>
      </c>
      <c r="AI799">
        <v>10</v>
      </c>
      <c r="AJ799">
        <v>5</v>
      </c>
      <c r="AK799">
        <v>25.1</v>
      </c>
      <c r="AL799">
        <v>228</v>
      </c>
      <c r="AM799">
        <v>3029</v>
      </c>
      <c r="AN799">
        <v>80</v>
      </c>
      <c r="AO799">
        <v>76</v>
      </c>
      <c r="AP799">
        <v>73</v>
      </c>
      <c r="AQ799">
        <v>4</v>
      </c>
      <c r="AR799" t="s">
        <v>29</v>
      </c>
      <c r="AS799" t="s">
        <v>30</v>
      </c>
      <c r="AT799" t="s">
        <v>23</v>
      </c>
      <c r="AU799">
        <v>348.55</v>
      </c>
      <c r="AV799">
        <v>30</v>
      </c>
      <c r="AW799">
        <v>19</v>
      </c>
      <c r="AX799">
        <v>14</v>
      </c>
      <c r="AY799">
        <v>25.2</v>
      </c>
      <c r="AZ799">
        <v>60</v>
      </c>
      <c r="BA799">
        <v>6154</v>
      </c>
      <c r="BB799">
        <v>79</v>
      </c>
      <c r="BC799">
        <v>79</v>
      </c>
      <c r="BD799">
        <v>77</v>
      </c>
      <c r="BE799">
        <v>4</v>
      </c>
      <c r="BF799" t="s">
        <v>29</v>
      </c>
      <c r="BG799">
        <v>-24</v>
      </c>
      <c r="BH799">
        <v>65</v>
      </c>
      <c r="BI799">
        <v>0.28299999999999997</v>
      </c>
      <c r="BJ799" t="s">
        <v>266</v>
      </c>
      <c r="BK799">
        <v>0.41860000000000003</v>
      </c>
      <c r="BL799">
        <v>0.57140000000000002</v>
      </c>
      <c r="BM799">
        <v>1.6</v>
      </c>
      <c r="BN799">
        <v>2.21</v>
      </c>
    </row>
    <row r="800" spans="1:66" x14ac:dyDescent="0.25">
      <c r="A800">
        <v>1</v>
      </c>
      <c r="B800">
        <v>1</v>
      </c>
      <c r="C800">
        <v>3</v>
      </c>
      <c r="D800">
        <v>2.8933333333333331</v>
      </c>
      <c r="E800">
        <v>3.3666666666666671</v>
      </c>
      <c r="F800">
        <v>2.4666666666666668</v>
      </c>
      <c r="G800" s="40">
        <v>0.28999999999999998</v>
      </c>
      <c r="H800" s="40">
        <v>0.31</v>
      </c>
      <c r="I800" s="40">
        <v>0.39999999999999997</v>
      </c>
      <c r="J800">
        <v>2.88</v>
      </c>
      <c r="K800">
        <v>3.25</v>
      </c>
      <c r="L800">
        <v>2.5</v>
      </c>
      <c r="M800">
        <v>2.9</v>
      </c>
      <c r="N800">
        <v>3.45</v>
      </c>
      <c r="O800">
        <v>2.4500000000000002</v>
      </c>
      <c r="P800">
        <v>2.9</v>
      </c>
      <c r="Q800">
        <v>3.4</v>
      </c>
      <c r="R800">
        <v>2.4500000000000002</v>
      </c>
      <c r="S800">
        <v>0.33942975800654906</v>
      </c>
      <c r="T800">
        <v>0.26954716076990654</v>
      </c>
      <c r="U800">
        <v>0.39102308122354446</v>
      </c>
      <c r="V800">
        <v>0.33066014669926652</v>
      </c>
      <c r="W800">
        <v>0.27794621026894867</v>
      </c>
      <c r="X800">
        <v>0.39139364303178481</v>
      </c>
      <c r="Y800">
        <v>0.32931409369440606</v>
      </c>
      <c r="Z800">
        <v>0.28088555050405223</v>
      </c>
      <c r="AA800">
        <v>0.38980035580154182</v>
      </c>
      <c r="AB800">
        <v>0.3331346661334072</v>
      </c>
      <c r="AC800">
        <v>0.27612630718096914</v>
      </c>
      <c r="AD800">
        <v>0.39073902668562371</v>
      </c>
      <c r="AE800" t="s">
        <v>61</v>
      </c>
      <c r="AF800" t="s">
        <v>26</v>
      </c>
      <c r="AG800">
        <v>169.63</v>
      </c>
      <c r="AH800">
        <v>33</v>
      </c>
      <c r="AI800">
        <v>18</v>
      </c>
      <c r="AJ800">
        <v>4</v>
      </c>
      <c r="AK800">
        <v>23.3</v>
      </c>
      <c r="AL800">
        <v>671</v>
      </c>
      <c r="AM800">
        <v>828</v>
      </c>
      <c r="AN800">
        <v>74</v>
      </c>
      <c r="AO800">
        <v>73</v>
      </c>
      <c r="AP800">
        <v>72</v>
      </c>
      <c r="AQ800">
        <v>3.5</v>
      </c>
      <c r="AR800" t="s">
        <v>29</v>
      </c>
      <c r="AS800" t="s">
        <v>57</v>
      </c>
      <c r="AT800" t="s">
        <v>26</v>
      </c>
      <c r="AU800">
        <v>100.5</v>
      </c>
      <c r="AV800">
        <v>25</v>
      </c>
      <c r="AW800">
        <v>13</v>
      </c>
      <c r="AX800">
        <v>6</v>
      </c>
      <c r="AY800">
        <v>25.5</v>
      </c>
      <c r="AZ800">
        <v>234</v>
      </c>
      <c r="BA800">
        <v>2973</v>
      </c>
      <c r="BB800">
        <v>72</v>
      </c>
      <c r="BC800">
        <v>73</v>
      </c>
      <c r="BD800">
        <v>73</v>
      </c>
      <c r="BE800">
        <v>3.5</v>
      </c>
      <c r="BF800" t="s">
        <v>46</v>
      </c>
      <c r="BG800">
        <v>1</v>
      </c>
      <c r="BH800">
        <v>42</v>
      </c>
      <c r="BI800">
        <v>0.4</v>
      </c>
      <c r="BJ800" t="s">
        <v>273</v>
      </c>
      <c r="BK800">
        <v>0.37840000000000001</v>
      </c>
      <c r="BL800">
        <v>0.30559999999999998</v>
      </c>
      <c r="BM800">
        <v>1.59</v>
      </c>
      <c r="BN800">
        <v>1.28</v>
      </c>
    </row>
    <row r="801" spans="1:66" x14ac:dyDescent="0.25">
      <c r="A801">
        <v>1</v>
      </c>
      <c r="B801">
        <v>3</v>
      </c>
      <c r="C801">
        <v>5</v>
      </c>
      <c r="D801">
        <v>2.8333333333333335</v>
      </c>
      <c r="E801">
        <v>3.65</v>
      </c>
      <c r="F801">
        <v>2.3816666666666664</v>
      </c>
      <c r="G801" s="40">
        <v>0.3</v>
      </c>
      <c r="H801" s="40">
        <v>0.4</v>
      </c>
      <c r="I801" s="40">
        <v>0.29999999999999993</v>
      </c>
      <c r="J801">
        <v>2.85</v>
      </c>
      <c r="K801">
        <v>3.6</v>
      </c>
      <c r="L801">
        <v>2.35</v>
      </c>
      <c r="M801">
        <v>2.85</v>
      </c>
      <c r="N801">
        <v>3.7</v>
      </c>
      <c r="O801">
        <v>2.375</v>
      </c>
      <c r="P801">
        <v>2.8</v>
      </c>
      <c r="Q801">
        <v>3.65</v>
      </c>
      <c r="R801">
        <v>2.42</v>
      </c>
      <c r="S801">
        <v>0.34253877428098178</v>
      </c>
      <c r="T801">
        <v>0.24204186116548715</v>
      </c>
      <c r="U801">
        <v>0.41541936455353107</v>
      </c>
      <c r="V801">
        <v>0.3366696997270246</v>
      </c>
      <c r="W801">
        <v>0.25932666060054599</v>
      </c>
      <c r="X801">
        <v>0.40400363967242947</v>
      </c>
      <c r="Y801">
        <v>0.34197994502303614</v>
      </c>
      <c r="Z801">
        <v>0.26234077974369896</v>
      </c>
      <c r="AA801">
        <v>0.39567927523326496</v>
      </c>
      <c r="AB801">
        <v>0.34039613967701415</v>
      </c>
      <c r="AC801">
        <v>0.2545697671699107</v>
      </c>
      <c r="AD801">
        <v>0.40503409315307515</v>
      </c>
      <c r="AE801" t="s">
        <v>60</v>
      </c>
      <c r="AF801" t="s">
        <v>26</v>
      </c>
      <c r="AG801">
        <v>76.66</v>
      </c>
      <c r="AH801">
        <v>30</v>
      </c>
      <c r="AI801">
        <v>11</v>
      </c>
      <c r="AJ801">
        <v>6</v>
      </c>
      <c r="AK801">
        <v>25.1</v>
      </c>
      <c r="AL801">
        <v>299</v>
      </c>
      <c r="AM801">
        <v>2454</v>
      </c>
      <c r="AN801">
        <v>74</v>
      </c>
      <c r="AO801">
        <v>74</v>
      </c>
      <c r="AP801">
        <v>72</v>
      </c>
      <c r="AQ801">
        <v>3.5</v>
      </c>
      <c r="AR801" t="s">
        <v>46</v>
      </c>
      <c r="AS801" t="s">
        <v>52</v>
      </c>
      <c r="AT801" t="s">
        <v>26</v>
      </c>
      <c r="AU801">
        <v>300</v>
      </c>
      <c r="AV801">
        <v>28</v>
      </c>
      <c r="AW801">
        <v>15</v>
      </c>
      <c r="AX801">
        <v>11</v>
      </c>
      <c r="AY801">
        <v>25.4</v>
      </c>
      <c r="AZ801">
        <v>76</v>
      </c>
      <c r="BA801">
        <v>5412</v>
      </c>
      <c r="BB801">
        <v>78</v>
      </c>
      <c r="BC801">
        <v>79</v>
      </c>
      <c r="BD801">
        <v>80</v>
      </c>
      <c r="BE801">
        <v>4.5</v>
      </c>
      <c r="BF801" t="s">
        <v>29</v>
      </c>
      <c r="BG801">
        <v>-49</v>
      </c>
      <c r="BH801">
        <v>133</v>
      </c>
      <c r="BI801">
        <v>0.316</v>
      </c>
      <c r="BJ801" t="s">
        <v>273</v>
      </c>
      <c r="BK801">
        <v>0.28210000000000002</v>
      </c>
      <c r="BL801">
        <v>0.60780000000000001</v>
      </c>
      <c r="BM801">
        <v>1.23</v>
      </c>
      <c r="BN801">
        <v>2.27</v>
      </c>
    </row>
    <row r="802" spans="1:66" x14ac:dyDescent="0.25">
      <c r="A802">
        <v>2</v>
      </c>
      <c r="B802">
        <v>0</v>
      </c>
      <c r="C802">
        <v>2</v>
      </c>
      <c r="D802">
        <v>2.14</v>
      </c>
      <c r="E802">
        <v>3.2333333333333329</v>
      </c>
      <c r="F802">
        <v>3.7166666666666668</v>
      </c>
      <c r="G802" s="40">
        <v>0.38</v>
      </c>
      <c r="H802" s="40">
        <v>0.4</v>
      </c>
      <c r="I802" s="40">
        <v>0.21999999999999997</v>
      </c>
      <c r="J802">
        <v>2.1</v>
      </c>
      <c r="K802">
        <v>3.2</v>
      </c>
      <c r="L802">
        <v>3.75</v>
      </c>
      <c r="M802">
        <v>2.15</v>
      </c>
      <c r="N802">
        <v>3.3</v>
      </c>
      <c r="O802">
        <v>3.7</v>
      </c>
      <c r="P802">
        <v>2.17</v>
      </c>
      <c r="Q802">
        <v>3.2</v>
      </c>
      <c r="R802">
        <v>3.7</v>
      </c>
      <c r="S802">
        <v>0.47058327002616696</v>
      </c>
      <c r="T802">
        <v>0.26589009875917957</v>
      </c>
      <c r="U802">
        <v>0.26352663121465353</v>
      </c>
      <c r="V802">
        <v>0.44790902421129863</v>
      </c>
      <c r="W802">
        <v>0.29181951577402793</v>
      </c>
      <c r="X802">
        <v>0.26027146001467349</v>
      </c>
      <c r="Y802">
        <v>0.44157684705180322</v>
      </c>
      <c r="Z802">
        <v>0.29944429940700407</v>
      </c>
      <c r="AA802">
        <v>0.25897885354119271</v>
      </c>
      <c r="AB802">
        <v>0.45335638042975629</v>
      </c>
      <c r="AC802">
        <v>0.28571797131340387</v>
      </c>
      <c r="AD802">
        <v>0.26092564825683989</v>
      </c>
      <c r="AE802" t="s">
        <v>59</v>
      </c>
      <c r="AF802" t="s">
        <v>26</v>
      </c>
      <c r="AG802">
        <v>137.05000000000001</v>
      </c>
      <c r="AH802">
        <v>28</v>
      </c>
      <c r="AI802">
        <v>15</v>
      </c>
      <c r="AJ802">
        <v>8</v>
      </c>
      <c r="AK802">
        <v>26.3</v>
      </c>
      <c r="AL802">
        <v>258</v>
      </c>
      <c r="AM802">
        <v>2751</v>
      </c>
      <c r="AN802">
        <v>77</v>
      </c>
      <c r="AO802">
        <v>76</v>
      </c>
      <c r="AP802">
        <v>75</v>
      </c>
      <c r="AQ802">
        <v>4</v>
      </c>
      <c r="AR802" t="s">
        <v>29</v>
      </c>
      <c r="AS802" t="s">
        <v>275</v>
      </c>
      <c r="AT802" t="s">
        <v>26</v>
      </c>
      <c r="AU802">
        <v>97.1</v>
      </c>
      <c r="AV802">
        <v>28</v>
      </c>
      <c r="AW802">
        <v>18</v>
      </c>
      <c r="AX802">
        <v>10</v>
      </c>
      <c r="AY802">
        <v>26</v>
      </c>
      <c r="AZ802">
        <v>276</v>
      </c>
      <c r="BA802">
        <v>2599</v>
      </c>
      <c r="BB802">
        <v>73</v>
      </c>
      <c r="BC802">
        <v>74</v>
      </c>
      <c r="BD802">
        <v>74</v>
      </c>
      <c r="BE802">
        <v>3.5</v>
      </c>
      <c r="BF802" t="s">
        <v>46</v>
      </c>
      <c r="BG802">
        <v>4</v>
      </c>
      <c r="BH802">
        <v>33</v>
      </c>
      <c r="BI802">
        <v>0.4</v>
      </c>
      <c r="BJ802" t="s">
        <v>273</v>
      </c>
      <c r="BK802">
        <v>0.2286</v>
      </c>
      <c r="BL802">
        <v>0.30559999999999998</v>
      </c>
      <c r="BM802">
        <v>1.29</v>
      </c>
      <c r="BN802">
        <v>1.19</v>
      </c>
    </row>
    <row r="803" spans="1:66" x14ac:dyDescent="0.25">
      <c r="A803">
        <v>3</v>
      </c>
      <c r="B803">
        <v>-2</v>
      </c>
      <c r="C803">
        <v>4</v>
      </c>
      <c r="D803">
        <v>2.8866666666666667</v>
      </c>
      <c r="E803">
        <v>3.5499999999999994</v>
      </c>
      <c r="F803">
        <v>2.4</v>
      </c>
      <c r="G803" s="40">
        <v>0.3</v>
      </c>
      <c r="H803" s="40">
        <v>0.26</v>
      </c>
      <c r="I803" s="40">
        <v>0.43999999999999995</v>
      </c>
      <c r="J803">
        <v>2.88</v>
      </c>
      <c r="K803">
        <v>3.6</v>
      </c>
      <c r="L803">
        <v>2.35</v>
      </c>
      <c r="M803">
        <v>2.9</v>
      </c>
      <c r="N803">
        <v>3.55</v>
      </c>
      <c r="O803">
        <v>2.4500000000000002</v>
      </c>
      <c r="P803">
        <v>2.88</v>
      </c>
      <c r="Q803">
        <v>3.5</v>
      </c>
      <c r="R803">
        <v>2.4</v>
      </c>
      <c r="S803">
        <v>0.34038897161464898</v>
      </c>
      <c r="T803">
        <v>0.2424534801937813</v>
      </c>
      <c r="U803">
        <v>0.4171575481915698</v>
      </c>
      <c r="V803">
        <v>0.33326947025577169</v>
      </c>
      <c r="W803">
        <v>0.27224829964555997</v>
      </c>
      <c r="X803">
        <v>0.39448223009866845</v>
      </c>
      <c r="Y803">
        <v>0.33081285444234404</v>
      </c>
      <c r="Z803">
        <v>0.27221172022684309</v>
      </c>
      <c r="AA803">
        <v>0.39697542533081287</v>
      </c>
      <c r="AB803">
        <v>0.33482376543758824</v>
      </c>
      <c r="AC803">
        <v>0.26230450002206146</v>
      </c>
      <c r="AD803">
        <v>0.40287173454035036</v>
      </c>
      <c r="AE803" t="s">
        <v>274</v>
      </c>
      <c r="AF803" t="s">
        <v>26</v>
      </c>
      <c r="AG803">
        <v>287.75</v>
      </c>
      <c r="AH803">
        <v>31</v>
      </c>
      <c r="AI803">
        <v>20</v>
      </c>
      <c r="AJ803">
        <v>11</v>
      </c>
      <c r="AK803">
        <v>25.4</v>
      </c>
      <c r="AL803">
        <v>65</v>
      </c>
      <c r="AM803">
        <v>5919</v>
      </c>
      <c r="AN803">
        <v>78</v>
      </c>
      <c r="AO803">
        <v>78</v>
      </c>
      <c r="AP803">
        <v>77</v>
      </c>
      <c r="AQ803">
        <v>4</v>
      </c>
      <c r="AR803" t="s">
        <v>46</v>
      </c>
      <c r="AS803" t="s">
        <v>50</v>
      </c>
      <c r="AT803" t="s">
        <v>26</v>
      </c>
      <c r="AU803">
        <v>565.79999999999995</v>
      </c>
      <c r="AV803">
        <v>33</v>
      </c>
      <c r="AW803">
        <v>18</v>
      </c>
      <c r="AX803">
        <v>17</v>
      </c>
      <c r="AY803">
        <v>24.7</v>
      </c>
      <c r="AZ803">
        <v>36</v>
      </c>
      <c r="BA803">
        <v>7276</v>
      </c>
      <c r="BB803">
        <v>87</v>
      </c>
      <c r="BC803">
        <v>81</v>
      </c>
      <c r="BD803">
        <v>81</v>
      </c>
      <c r="BE803">
        <v>4.5</v>
      </c>
      <c r="BF803" t="s">
        <v>29</v>
      </c>
      <c r="BG803">
        <v>-47</v>
      </c>
      <c r="BH803">
        <v>42</v>
      </c>
      <c r="BI803">
        <v>0.192</v>
      </c>
      <c r="BJ803" t="s">
        <v>273</v>
      </c>
      <c r="BK803">
        <v>0.53659999999999997</v>
      </c>
      <c r="BL803">
        <v>0.60780000000000001</v>
      </c>
      <c r="BM803">
        <v>1.88</v>
      </c>
      <c r="BN803">
        <v>2.27</v>
      </c>
    </row>
    <row r="804" spans="1:66" x14ac:dyDescent="0.25">
      <c r="A804">
        <v>1</v>
      </c>
      <c r="B804">
        <v>1</v>
      </c>
      <c r="C804">
        <v>3</v>
      </c>
      <c r="D804">
        <v>2.3650000000000002</v>
      </c>
      <c r="E804">
        <v>3.4500000000000006</v>
      </c>
      <c r="F804">
        <v>2.9833333333333329</v>
      </c>
      <c r="G804" s="40">
        <v>0.26</v>
      </c>
      <c r="H804" s="40">
        <v>0.42</v>
      </c>
      <c r="I804" s="40">
        <v>0.32</v>
      </c>
      <c r="J804">
        <v>2.35</v>
      </c>
      <c r="K804">
        <v>3.5</v>
      </c>
      <c r="L804">
        <v>2.95</v>
      </c>
      <c r="M804">
        <v>2.375</v>
      </c>
      <c r="N804">
        <v>3.45</v>
      </c>
      <c r="O804">
        <v>3</v>
      </c>
      <c r="P804">
        <v>2.37</v>
      </c>
      <c r="Q804">
        <v>3.4</v>
      </c>
      <c r="R804">
        <v>3</v>
      </c>
      <c r="S804">
        <v>0.41769911504424778</v>
      </c>
      <c r="T804">
        <v>0.24955752212389382</v>
      </c>
      <c r="U804">
        <v>0.3327433628318584</v>
      </c>
      <c r="V804">
        <v>0.40321402483564645</v>
      </c>
      <c r="W804">
        <v>0.2775748721694668</v>
      </c>
      <c r="X804">
        <v>0.31921110299488681</v>
      </c>
      <c r="Y804">
        <v>0.40208136234626296</v>
      </c>
      <c r="Z804">
        <v>0.28027436140018924</v>
      </c>
      <c r="AA804">
        <v>0.3176442762535478</v>
      </c>
      <c r="AB804">
        <v>0.40766483407538573</v>
      </c>
      <c r="AC804">
        <v>0.26913558523118331</v>
      </c>
      <c r="AD804">
        <v>0.32319958069343097</v>
      </c>
      <c r="AE804" t="s">
        <v>51</v>
      </c>
      <c r="AF804" t="s">
        <v>26</v>
      </c>
      <c r="AG804">
        <v>231.25</v>
      </c>
      <c r="AH804">
        <v>32</v>
      </c>
      <c r="AI804">
        <v>21</v>
      </c>
      <c r="AJ804">
        <v>12</v>
      </c>
      <c r="AK804">
        <v>25.4</v>
      </c>
      <c r="AL804">
        <v>45</v>
      </c>
      <c r="AM804">
        <v>6714</v>
      </c>
      <c r="AN804">
        <v>79</v>
      </c>
      <c r="AO804">
        <v>77</v>
      </c>
      <c r="AP804">
        <v>75</v>
      </c>
      <c r="AQ804">
        <v>4</v>
      </c>
      <c r="AR804" t="s">
        <v>46</v>
      </c>
      <c r="AS804" t="s">
        <v>58</v>
      </c>
      <c r="AT804" t="s">
        <v>26</v>
      </c>
      <c r="AU804">
        <v>77.8</v>
      </c>
      <c r="AV804">
        <v>31</v>
      </c>
      <c r="AW804">
        <v>13</v>
      </c>
      <c r="AX804">
        <v>7</v>
      </c>
      <c r="AY804">
        <v>26.9</v>
      </c>
      <c r="AZ804">
        <v>243</v>
      </c>
      <c r="BA804">
        <v>2873</v>
      </c>
      <c r="BB804">
        <v>75</v>
      </c>
      <c r="BC804">
        <v>72</v>
      </c>
      <c r="BD804">
        <v>73</v>
      </c>
      <c r="BE804">
        <v>3.5</v>
      </c>
      <c r="BF804" t="s">
        <v>46</v>
      </c>
      <c r="BG804">
        <v>9</v>
      </c>
      <c r="BH804">
        <v>77</v>
      </c>
      <c r="BI804">
        <v>0.46700000000000003</v>
      </c>
      <c r="BJ804" t="s">
        <v>273</v>
      </c>
      <c r="BK804">
        <v>0.47220000000000001</v>
      </c>
      <c r="BL804">
        <v>0.36109999999999998</v>
      </c>
      <c r="BM804">
        <v>2</v>
      </c>
      <c r="BN804">
        <v>1.47</v>
      </c>
    </row>
    <row r="805" spans="1:66" x14ac:dyDescent="0.25">
      <c r="A805">
        <v>3</v>
      </c>
      <c r="B805">
        <v>-2</v>
      </c>
      <c r="C805">
        <v>4</v>
      </c>
      <c r="D805">
        <v>1.8433333333333335</v>
      </c>
      <c r="E805">
        <v>3.9499999999999997</v>
      </c>
      <c r="F805">
        <v>3.9500000000000006</v>
      </c>
      <c r="G805" s="40">
        <v>0.36</v>
      </c>
      <c r="H805" s="40">
        <v>0.4</v>
      </c>
      <c r="I805" s="40">
        <v>0.24</v>
      </c>
      <c r="J805">
        <v>1.81</v>
      </c>
      <c r="K805">
        <v>3.95</v>
      </c>
      <c r="L805">
        <v>4</v>
      </c>
      <c r="M805">
        <v>1.85</v>
      </c>
      <c r="N805">
        <v>4</v>
      </c>
      <c r="O805">
        <v>3.95</v>
      </c>
      <c r="P805">
        <v>1.87</v>
      </c>
      <c r="Q805">
        <v>3.9</v>
      </c>
      <c r="R805">
        <v>3.9</v>
      </c>
      <c r="S805">
        <v>0.54426701871086636</v>
      </c>
      <c r="T805">
        <v>0.20945215532246667</v>
      </c>
      <c r="U805">
        <v>0.24628082596666703</v>
      </c>
      <c r="V805">
        <v>0.51790543309022374</v>
      </c>
      <c r="W805">
        <v>0.23953126280422851</v>
      </c>
      <c r="X805">
        <v>0.24256330410554783</v>
      </c>
      <c r="Y805">
        <v>0.51047120418848158</v>
      </c>
      <c r="Z805">
        <v>0.24476439790575916</v>
      </c>
      <c r="AA805">
        <v>0.24476439790575916</v>
      </c>
      <c r="AB805">
        <v>0.52421455199652389</v>
      </c>
      <c r="AC805">
        <v>0.2312492720108181</v>
      </c>
      <c r="AD805">
        <v>0.24453617599265801</v>
      </c>
      <c r="AE805" t="s">
        <v>25</v>
      </c>
      <c r="AF805" t="s">
        <v>26</v>
      </c>
      <c r="AG805">
        <v>505.55</v>
      </c>
      <c r="AH805">
        <v>28</v>
      </c>
      <c r="AI805">
        <v>21</v>
      </c>
      <c r="AJ805">
        <v>16</v>
      </c>
      <c r="AK805">
        <v>24.1</v>
      </c>
      <c r="AL805">
        <v>16</v>
      </c>
      <c r="AM805">
        <v>9221</v>
      </c>
      <c r="AN805">
        <v>78</v>
      </c>
      <c r="AO805">
        <v>81</v>
      </c>
      <c r="AP805">
        <v>80</v>
      </c>
      <c r="AQ805">
        <v>4.5</v>
      </c>
      <c r="AR805" t="s">
        <v>29</v>
      </c>
      <c r="AS805" t="s">
        <v>49</v>
      </c>
      <c r="AT805" t="s">
        <v>26</v>
      </c>
      <c r="AU805">
        <v>352.75</v>
      </c>
      <c r="AV805">
        <v>27</v>
      </c>
      <c r="AW805">
        <v>19</v>
      </c>
      <c r="AX805">
        <v>15</v>
      </c>
      <c r="AY805">
        <v>24.7</v>
      </c>
      <c r="AZ805">
        <v>22</v>
      </c>
      <c r="BA805">
        <v>8083</v>
      </c>
      <c r="BB805">
        <v>78</v>
      </c>
      <c r="BC805">
        <v>78</v>
      </c>
      <c r="BD805">
        <v>78</v>
      </c>
      <c r="BE805">
        <v>4.5</v>
      </c>
      <c r="BF805" t="s">
        <v>46</v>
      </c>
      <c r="BG805">
        <v>5</v>
      </c>
      <c r="BH805">
        <v>19</v>
      </c>
      <c r="BI805">
        <v>0.5</v>
      </c>
      <c r="BJ805" t="s">
        <v>273</v>
      </c>
      <c r="BK805">
        <v>0.58330000000000004</v>
      </c>
      <c r="BL805">
        <v>0.4667</v>
      </c>
      <c r="BM805">
        <v>1.79</v>
      </c>
      <c r="BN805">
        <v>1.98</v>
      </c>
    </row>
    <row r="806" spans="1:66" x14ac:dyDescent="0.25">
      <c r="A806">
        <v>1</v>
      </c>
      <c r="B806">
        <v>2</v>
      </c>
      <c r="C806">
        <v>4</v>
      </c>
      <c r="D806">
        <v>2.4999999999999996</v>
      </c>
      <c r="E806">
        <v>3.1833333333333336</v>
      </c>
      <c r="F806">
        <v>2.7683333333333331</v>
      </c>
      <c r="G806" s="40">
        <v>0.28999999999999998</v>
      </c>
      <c r="H806" s="40">
        <v>0.35</v>
      </c>
      <c r="I806" s="40">
        <v>0.36</v>
      </c>
      <c r="J806">
        <v>2.4</v>
      </c>
      <c r="K806">
        <v>3.15</v>
      </c>
      <c r="L806">
        <v>2.65</v>
      </c>
      <c r="M806">
        <v>2.5499999999999998</v>
      </c>
      <c r="N806">
        <v>3.2</v>
      </c>
      <c r="O806">
        <v>2.875</v>
      </c>
      <c r="P806">
        <v>2.5499999999999998</v>
      </c>
      <c r="Q806">
        <v>3.2</v>
      </c>
      <c r="R806">
        <v>2.78</v>
      </c>
      <c r="S806">
        <v>0.38240625555358093</v>
      </c>
      <c r="T806">
        <v>0.27126355073751557</v>
      </c>
      <c r="U806">
        <v>0.3463301937089035</v>
      </c>
      <c r="V806">
        <v>0.37260163013213188</v>
      </c>
      <c r="W806">
        <v>0.29691692401154252</v>
      </c>
      <c r="X806">
        <v>0.33048144585632561</v>
      </c>
      <c r="Y806">
        <v>0.36844067094636573</v>
      </c>
      <c r="Z806">
        <v>0.29360115966038514</v>
      </c>
      <c r="AA806">
        <v>0.33795816939324913</v>
      </c>
      <c r="AB806">
        <v>0.37448285221069288</v>
      </c>
      <c r="AC806">
        <v>0.28726054480314778</v>
      </c>
      <c r="AD806">
        <v>0.33825660298615939</v>
      </c>
      <c r="AE806" t="s">
        <v>117</v>
      </c>
      <c r="AF806" t="s">
        <v>108</v>
      </c>
      <c r="AG806">
        <v>24.33</v>
      </c>
      <c r="AH806">
        <v>30</v>
      </c>
      <c r="AI806">
        <v>6</v>
      </c>
      <c r="AJ806">
        <v>0</v>
      </c>
      <c r="AK806">
        <v>27.8</v>
      </c>
      <c r="AL806">
        <v>84</v>
      </c>
      <c r="AM806">
        <v>5249</v>
      </c>
      <c r="AN806">
        <v>69</v>
      </c>
      <c r="AO806">
        <v>71</v>
      </c>
      <c r="AP806">
        <v>71</v>
      </c>
      <c r="AQ806">
        <v>3.5</v>
      </c>
      <c r="AR806" t="s">
        <v>28</v>
      </c>
      <c r="AS806" t="s">
        <v>110</v>
      </c>
      <c r="AT806" t="s">
        <v>108</v>
      </c>
      <c r="AU806">
        <v>84.95</v>
      </c>
      <c r="AV806">
        <v>33</v>
      </c>
      <c r="AW806">
        <v>5</v>
      </c>
      <c r="AX806">
        <v>4</v>
      </c>
      <c r="AY806">
        <v>26.9</v>
      </c>
      <c r="AZ806">
        <v>9</v>
      </c>
      <c r="BA806">
        <v>10366</v>
      </c>
      <c r="BB806">
        <v>75</v>
      </c>
      <c r="BC806">
        <v>72</v>
      </c>
      <c r="BD806">
        <v>75</v>
      </c>
      <c r="BE806">
        <v>3.5</v>
      </c>
      <c r="BF806" t="s">
        <v>29</v>
      </c>
      <c r="BG806">
        <v>-12</v>
      </c>
      <c r="BH806">
        <v>21</v>
      </c>
      <c r="BI806">
        <v>0.23799999999999999</v>
      </c>
      <c r="BJ806" t="s">
        <v>108</v>
      </c>
      <c r="BK806">
        <v>0.40279999999999999</v>
      </c>
      <c r="BL806">
        <v>0.47299999999999998</v>
      </c>
      <c r="BM806">
        <v>1.33</v>
      </c>
      <c r="BN806">
        <v>1.36</v>
      </c>
    </row>
    <row r="807" spans="1:66" x14ac:dyDescent="0.25">
      <c r="A807">
        <v>2</v>
      </c>
      <c r="B807">
        <v>0</v>
      </c>
      <c r="C807">
        <v>2</v>
      </c>
      <c r="D807">
        <v>1.8933333333333333</v>
      </c>
      <c r="E807">
        <v>3.4499999999999997</v>
      </c>
      <c r="F807">
        <v>4.21</v>
      </c>
      <c r="G807" s="40">
        <v>0.38</v>
      </c>
      <c r="H807" s="40">
        <v>0.37</v>
      </c>
      <c r="I807" s="40">
        <v>0.25</v>
      </c>
      <c r="J807">
        <v>1.95</v>
      </c>
      <c r="K807">
        <v>3.3</v>
      </c>
      <c r="L807">
        <v>4.0999999999999996</v>
      </c>
      <c r="M807">
        <v>1.83</v>
      </c>
      <c r="N807">
        <v>3.5</v>
      </c>
      <c r="O807">
        <v>4.33</v>
      </c>
      <c r="P807">
        <v>1.9</v>
      </c>
      <c r="Q807">
        <v>3.55</v>
      </c>
      <c r="R807">
        <v>4.2</v>
      </c>
      <c r="S807">
        <v>0.50671855689079381</v>
      </c>
      <c r="T807">
        <v>0.25228115385626759</v>
      </c>
      <c r="U807">
        <v>0.24100028925293857</v>
      </c>
      <c r="V807">
        <v>0.51400934069102122</v>
      </c>
      <c r="W807">
        <v>0.26875345527559114</v>
      </c>
      <c r="X807">
        <v>0.2172372040333877</v>
      </c>
      <c r="Y807">
        <v>0.50312130926269616</v>
      </c>
      <c r="Z807">
        <v>0.26927619368989375</v>
      </c>
      <c r="AA807">
        <v>0.22760249704741012</v>
      </c>
      <c r="AB807">
        <v>0.50794973561483703</v>
      </c>
      <c r="AC807">
        <v>0.26343693427391751</v>
      </c>
      <c r="AD807">
        <v>0.22861333011124549</v>
      </c>
      <c r="AE807" t="s">
        <v>67</v>
      </c>
      <c r="AF807" t="s">
        <v>63</v>
      </c>
      <c r="AG807">
        <v>21.85</v>
      </c>
      <c r="AH807">
        <v>29</v>
      </c>
      <c r="AI807">
        <v>2</v>
      </c>
      <c r="AJ807">
        <v>4</v>
      </c>
      <c r="AK807">
        <v>25.7</v>
      </c>
      <c r="AL807">
        <v>104</v>
      </c>
      <c r="AM807">
        <v>4793</v>
      </c>
      <c r="AN807">
        <v>67</v>
      </c>
      <c r="AO807">
        <v>70</v>
      </c>
      <c r="AP807">
        <v>67</v>
      </c>
      <c r="AQ807">
        <v>2.5</v>
      </c>
      <c r="AR807" t="s">
        <v>29</v>
      </c>
      <c r="AS807" t="s">
        <v>66</v>
      </c>
      <c r="AT807" t="s">
        <v>63</v>
      </c>
      <c r="AU807">
        <v>22.13</v>
      </c>
      <c r="AV807">
        <v>32</v>
      </c>
      <c r="AW807">
        <v>3</v>
      </c>
      <c r="AX807">
        <v>0</v>
      </c>
      <c r="AY807">
        <v>27.7</v>
      </c>
      <c r="AZ807">
        <v>93</v>
      </c>
      <c r="BA807">
        <v>5011</v>
      </c>
      <c r="BB807">
        <v>70</v>
      </c>
      <c r="BC807">
        <v>70</v>
      </c>
      <c r="BD807">
        <v>67</v>
      </c>
      <c r="BE807">
        <v>3</v>
      </c>
      <c r="BF807" t="s">
        <v>28</v>
      </c>
      <c r="BG807">
        <v>14</v>
      </c>
      <c r="BH807">
        <v>59</v>
      </c>
      <c r="BI807">
        <v>0.45700000000000002</v>
      </c>
      <c r="BJ807" t="s">
        <v>63</v>
      </c>
      <c r="BK807">
        <v>0.42859999999999998</v>
      </c>
      <c r="BL807">
        <v>0.4</v>
      </c>
      <c r="BM807">
        <v>1.75</v>
      </c>
      <c r="BN807">
        <v>1.28</v>
      </c>
    </row>
    <row r="808" spans="1:66" x14ac:dyDescent="0.25">
      <c r="A808">
        <v>1</v>
      </c>
      <c r="B808">
        <v>1</v>
      </c>
      <c r="C808">
        <v>3</v>
      </c>
      <c r="D808">
        <v>3</v>
      </c>
      <c r="E808">
        <v>3.15</v>
      </c>
      <c r="F808">
        <v>2.4900000000000002</v>
      </c>
      <c r="G808" s="40">
        <v>0.35</v>
      </c>
      <c r="H808" s="40">
        <v>0.33</v>
      </c>
      <c r="I808" s="40">
        <v>0.32</v>
      </c>
      <c r="J808">
        <v>3.05</v>
      </c>
      <c r="K808">
        <v>3.05</v>
      </c>
      <c r="L808">
        <v>2.5</v>
      </c>
      <c r="M808">
        <v>2.9</v>
      </c>
      <c r="N808">
        <v>3.2</v>
      </c>
      <c r="O808">
        <v>2.5</v>
      </c>
      <c r="P808">
        <v>3.05</v>
      </c>
      <c r="Q808">
        <v>3.2</v>
      </c>
      <c r="R808">
        <v>2.4700000000000002</v>
      </c>
      <c r="S808">
        <v>0.32126625920702084</v>
      </c>
      <c r="T808">
        <v>0.28678890456041378</v>
      </c>
      <c r="U808">
        <v>0.39194483623256543</v>
      </c>
      <c r="V808">
        <v>0.32613126783530377</v>
      </c>
      <c r="W808">
        <v>0.29555646147574399</v>
      </c>
      <c r="X808">
        <v>0.37831227068895235</v>
      </c>
      <c r="Y808">
        <v>0.31368191288818337</v>
      </c>
      <c r="Z808">
        <v>0.29897807322154979</v>
      </c>
      <c r="AA808">
        <v>0.3873400138902669</v>
      </c>
      <c r="AB808">
        <v>0.32035981331016933</v>
      </c>
      <c r="AC808">
        <v>0.29377447975256921</v>
      </c>
      <c r="AD808">
        <v>0.38586570693726158</v>
      </c>
      <c r="AE808" t="s">
        <v>68</v>
      </c>
      <c r="AF808" t="s">
        <v>63</v>
      </c>
      <c r="AG808">
        <v>16.600000000000001</v>
      </c>
      <c r="AH808">
        <v>36</v>
      </c>
      <c r="AI808">
        <v>2</v>
      </c>
      <c r="AJ808">
        <v>1</v>
      </c>
      <c r="AK808">
        <v>25.1</v>
      </c>
      <c r="AL808">
        <v>129</v>
      </c>
      <c r="AM808">
        <v>4227</v>
      </c>
      <c r="AN808">
        <v>62</v>
      </c>
      <c r="AO808">
        <v>66</v>
      </c>
      <c r="AP808">
        <v>64</v>
      </c>
      <c r="AQ808">
        <v>2</v>
      </c>
      <c r="AR808" t="s">
        <v>46</v>
      </c>
      <c r="AS808" t="s">
        <v>70</v>
      </c>
      <c r="AT808" t="s">
        <v>63</v>
      </c>
      <c r="AU808">
        <v>16.38</v>
      </c>
      <c r="AV808">
        <v>28</v>
      </c>
      <c r="AW808">
        <v>1</v>
      </c>
      <c r="AX808">
        <v>3</v>
      </c>
      <c r="AY808">
        <v>25.3</v>
      </c>
      <c r="AZ808">
        <v>200</v>
      </c>
      <c r="BA808">
        <v>3276</v>
      </c>
      <c r="BB808">
        <v>69</v>
      </c>
      <c r="BC808">
        <v>63</v>
      </c>
      <c r="BD808">
        <v>65</v>
      </c>
      <c r="BE808">
        <v>2</v>
      </c>
      <c r="BF808" t="s">
        <v>29</v>
      </c>
      <c r="BG808">
        <v>-11</v>
      </c>
      <c r="BH808">
        <v>27</v>
      </c>
      <c r="BI808">
        <v>0.24</v>
      </c>
      <c r="BJ808" t="s">
        <v>63</v>
      </c>
      <c r="BK808">
        <v>0.38890000000000002</v>
      </c>
      <c r="BL808">
        <v>0.36</v>
      </c>
      <c r="BM808">
        <v>1.39</v>
      </c>
      <c r="BN808">
        <v>1.44</v>
      </c>
    </row>
    <row r="809" spans="1:66" x14ac:dyDescent="0.25">
      <c r="A809">
        <v>3</v>
      </c>
      <c r="B809">
        <v>-3</v>
      </c>
      <c r="C809">
        <v>5</v>
      </c>
      <c r="D809">
        <v>2.76</v>
      </c>
      <c r="E809">
        <v>3.0166666666666662</v>
      </c>
      <c r="F809">
        <v>2.7766666666666668</v>
      </c>
      <c r="G809" s="40">
        <v>0.24</v>
      </c>
      <c r="H809" s="40">
        <v>0.39</v>
      </c>
      <c r="I809" s="40">
        <v>0.37</v>
      </c>
      <c r="J809">
        <v>2.75</v>
      </c>
      <c r="K809">
        <v>2.9</v>
      </c>
      <c r="L809">
        <v>2.85</v>
      </c>
      <c r="M809">
        <v>2.75</v>
      </c>
      <c r="N809">
        <v>3.1</v>
      </c>
      <c r="O809">
        <v>2.7</v>
      </c>
      <c r="P809">
        <v>2.78</v>
      </c>
      <c r="Q809">
        <v>3.05</v>
      </c>
      <c r="R809">
        <v>2.78</v>
      </c>
      <c r="S809">
        <v>0.35518581569395818</v>
      </c>
      <c r="T809">
        <v>0.30209102881187166</v>
      </c>
      <c r="U809">
        <v>0.34272315549417015</v>
      </c>
      <c r="V809">
        <v>0.34416118421052638</v>
      </c>
      <c r="W809">
        <v>0.30530427631578949</v>
      </c>
      <c r="X809">
        <v>0.35053453947368424</v>
      </c>
      <c r="Y809">
        <v>0.34346846846846846</v>
      </c>
      <c r="Z809">
        <v>0.31306306306306303</v>
      </c>
      <c r="AA809">
        <v>0.34346846846846846</v>
      </c>
      <c r="AB809">
        <v>0.34760515612431769</v>
      </c>
      <c r="AC809">
        <v>0.30681945606357469</v>
      </c>
      <c r="AD809">
        <v>0.34557538781210756</v>
      </c>
      <c r="AE809" t="s">
        <v>74</v>
      </c>
      <c r="AF809" t="s">
        <v>63</v>
      </c>
      <c r="AG809">
        <v>9.73</v>
      </c>
      <c r="AH809">
        <v>33</v>
      </c>
      <c r="AI809">
        <v>1</v>
      </c>
      <c r="AJ809">
        <v>0</v>
      </c>
      <c r="AK809">
        <v>26.2</v>
      </c>
      <c r="AL809">
        <v>254</v>
      </c>
      <c r="AM809">
        <v>2813</v>
      </c>
      <c r="AN809">
        <v>67</v>
      </c>
      <c r="AO809">
        <v>64</v>
      </c>
      <c r="AP809">
        <v>65</v>
      </c>
      <c r="AQ809">
        <v>2</v>
      </c>
      <c r="AR809" t="s">
        <v>46</v>
      </c>
      <c r="AS809" t="s">
        <v>62</v>
      </c>
      <c r="AT809" t="s">
        <v>63</v>
      </c>
      <c r="AU809">
        <v>18.350000000000001</v>
      </c>
      <c r="AV809">
        <v>29</v>
      </c>
      <c r="AW809">
        <v>3</v>
      </c>
      <c r="AX809">
        <v>1</v>
      </c>
      <c r="AY809">
        <v>27.4</v>
      </c>
      <c r="AZ809">
        <v>66</v>
      </c>
      <c r="BA809">
        <v>5865</v>
      </c>
      <c r="BB809">
        <v>67</v>
      </c>
      <c r="BC809">
        <v>68</v>
      </c>
      <c r="BD809">
        <v>66</v>
      </c>
      <c r="BE809">
        <v>2.5</v>
      </c>
      <c r="BF809" t="s">
        <v>29</v>
      </c>
      <c r="BG809">
        <v>-8</v>
      </c>
      <c r="BH809">
        <v>20</v>
      </c>
      <c r="BI809">
        <v>0.33</v>
      </c>
      <c r="BJ809" t="s">
        <v>63</v>
      </c>
      <c r="BK809">
        <v>0.25</v>
      </c>
      <c r="BL809">
        <v>0.4375</v>
      </c>
      <c r="BM809">
        <v>1.17</v>
      </c>
      <c r="BN809">
        <v>1.25</v>
      </c>
    </row>
    <row r="810" spans="1:66" x14ac:dyDescent="0.25">
      <c r="A810">
        <v>3</v>
      </c>
      <c r="B810">
        <v>-3</v>
      </c>
      <c r="C810">
        <v>3</v>
      </c>
      <c r="D810">
        <v>2.1800000000000002</v>
      </c>
      <c r="E810">
        <v>3.25</v>
      </c>
      <c r="F810">
        <v>3.25</v>
      </c>
      <c r="G810" s="40">
        <v>0.28999999999999998</v>
      </c>
      <c r="H810" s="40">
        <v>0.37</v>
      </c>
      <c r="I810" s="40">
        <v>0.33999999999999997</v>
      </c>
      <c r="J810">
        <v>2.14</v>
      </c>
      <c r="K810">
        <v>3.1</v>
      </c>
      <c r="L810">
        <v>3.2</v>
      </c>
      <c r="M810">
        <v>2.2000000000000002</v>
      </c>
      <c r="N810">
        <v>3.35</v>
      </c>
      <c r="O810">
        <v>3.25</v>
      </c>
      <c r="P810">
        <v>2.2000000000000002</v>
      </c>
      <c r="Q810">
        <v>3.3</v>
      </c>
      <c r="R810">
        <v>3.3</v>
      </c>
      <c r="S810">
        <v>0.43559639271737277</v>
      </c>
      <c r="T810">
        <v>0.27309851965288406</v>
      </c>
      <c r="U810">
        <v>0.29130508762974305</v>
      </c>
      <c r="V810">
        <v>0.42851520220407352</v>
      </c>
      <c r="W810">
        <v>0.2814129686116304</v>
      </c>
      <c r="X810">
        <v>0.29007182918429597</v>
      </c>
      <c r="Y810">
        <v>0.42857142857142855</v>
      </c>
      <c r="Z810">
        <v>0.28571428571428575</v>
      </c>
      <c r="AA810">
        <v>0.28571428571428575</v>
      </c>
      <c r="AB810">
        <v>0.43089434116429159</v>
      </c>
      <c r="AC810">
        <v>0.28007525799293337</v>
      </c>
      <c r="AD810">
        <v>0.28903040084277493</v>
      </c>
      <c r="AE810" t="s">
        <v>104</v>
      </c>
      <c r="AF810" t="s">
        <v>85</v>
      </c>
      <c r="AG810">
        <v>8.68</v>
      </c>
      <c r="AH810">
        <v>32</v>
      </c>
      <c r="AI810">
        <v>5</v>
      </c>
      <c r="AJ810">
        <v>0</v>
      </c>
      <c r="AK810">
        <v>27.6</v>
      </c>
      <c r="AL810">
        <v>277</v>
      </c>
      <c r="AM810">
        <v>2592</v>
      </c>
      <c r="AN810">
        <v>65</v>
      </c>
      <c r="AO810">
        <v>66</v>
      </c>
      <c r="AP810">
        <v>66</v>
      </c>
      <c r="AQ810">
        <v>2.5</v>
      </c>
      <c r="AR810" t="s">
        <v>43</v>
      </c>
      <c r="AS810" t="s">
        <v>103</v>
      </c>
      <c r="AT810" t="s">
        <v>85</v>
      </c>
      <c r="AU810">
        <v>15.98</v>
      </c>
      <c r="AV810">
        <v>29</v>
      </c>
      <c r="AW810">
        <v>3</v>
      </c>
      <c r="AX810">
        <v>0</v>
      </c>
      <c r="AY810">
        <v>25.8</v>
      </c>
      <c r="AZ810">
        <v>235</v>
      </c>
      <c r="BA810">
        <v>2968</v>
      </c>
      <c r="BB810">
        <v>67</v>
      </c>
      <c r="BC810">
        <v>68</v>
      </c>
      <c r="BD810">
        <v>67</v>
      </c>
      <c r="BE810">
        <v>2.5</v>
      </c>
      <c r="BF810" t="s">
        <v>43</v>
      </c>
      <c r="BG810">
        <v>-9</v>
      </c>
      <c r="BH810">
        <v>2</v>
      </c>
      <c r="BI810">
        <v>0</v>
      </c>
      <c r="BJ810" t="s">
        <v>85</v>
      </c>
      <c r="BK810">
        <v>0.1842</v>
      </c>
      <c r="BL810">
        <v>0.22220000000000001</v>
      </c>
      <c r="BM810">
        <v>0.84</v>
      </c>
      <c r="BN810">
        <v>0.92</v>
      </c>
    </row>
    <row r="811" spans="1:66" x14ac:dyDescent="0.25">
      <c r="A811">
        <v>1</v>
      </c>
      <c r="B811">
        <v>1</v>
      </c>
      <c r="C811">
        <v>1</v>
      </c>
      <c r="D811">
        <v>2.6199999999999997</v>
      </c>
      <c r="E811">
        <v>3.1</v>
      </c>
      <c r="F811">
        <v>2.7166666666666668</v>
      </c>
      <c r="G811" s="40">
        <v>0.3</v>
      </c>
      <c r="H811" s="40">
        <v>0.43</v>
      </c>
      <c r="I811" s="40">
        <v>0.26999999999999996</v>
      </c>
      <c r="J811">
        <v>2.5499999999999998</v>
      </c>
      <c r="K811">
        <v>3</v>
      </c>
      <c r="L811">
        <v>2.7</v>
      </c>
      <c r="M811">
        <v>2.65</v>
      </c>
      <c r="N811">
        <v>3.1</v>
      </c>
      <c r="O811">
        <v>2.75</v>
      </c>
      <c r="P811">
        <v>2.66</v>
      </c>
      <c r="Q811">
        <v>3.2</v>
      </c>
      <c r="R811">
        <v>2.7</v>
      </c>
      <c r="S811">
        <v>0.36642655809583469</v>
      </c>
      <c r="T811">
        <v>0.28750391481365489</v>
      </c>
      <c r="U811">
        <v>0.34606952709051053</v>
      </c>
      <c r="V811">
        <v>0.35480178961606501</v>
      </c>
      <c r="W811">
        <v>0.30329830402663616</v>
      </c>
      <c r="X811">
        <v>0.34189990635729894</v>
      </c>
      <c r="Y811">
        <v>0.35505876551327359</v>
      </c>
      <c r="Z811">
        <v>0.29514259883290866</v>
      </c>
      <c r="AA811">
        <v>0.34979863565381769</v>
      </c>
      <c r="AB811">
        <v>0.35876237107505782</v>
      </c>
      <c r="AC811">
        <v>0.29531493922439989</v>
      </c>
      <c r="AD811">
        <v>0.34592268970054235</v>
      </c>
      <c r="AE811" t="s">
        <v>97</v>
      </c>
      <c r="AF811" t="s">
        <v>85</v>
      </c>
      <c r="AG811">
        <v>28.93</v>
      </c>
      <c r="AH811">
        <v>23</v>
      </c>
      <c r="AI811">
        <v>4</v>
      </c>
      <c r="AJ811">
        <v>0</v>
      </c>
      <c r="AK811">
        <v>26.5</v>
      </c>
      <c r="AL811">
        <v>151</v>
      </c>
      <c r="AM811">
        <v>3948</v>
      </c>
      <c r="AN811">
        <v>69</v>
      </c>
      <c r="AO811">
        <v>72</v>
      </c>
      <c r="AP811">
        <v>69</v>
      </c>
      <c r="AQ811">
        <v>3</v>
      </c>
      <c r="AR811" t="s">
        <v>29</v>
      </c>
      <c r="AS811" t="s">
        <v>92</v>
      </c>
      <c r="AT811" t="s">
        <v>85</v>
      </c>
      <c r="AU811">
        <v>64.430000000000007</v>
      </c>
      <c r="AV811">
        <v>26</v>
      </c>
      <c r="AW811">
        <v>3</v>
      </c>
      <c r="AX811">
        <v>1</v>
      </c>
      <c r="AY811">
        <v>26.8</v>
      </c>
      <c r="AZ811">
        <v>98</v>
      </c>
      <c r="BA811">
        <v>4872</v>
      </c>
      <c r="BB811">
        <v>74</v>
      </c>
      <c r="BC811">
        <v>73</v>
      </c>
      <c r="BD811">
        <v>73</v>
      </c>
      <c r="BE811">
        <v>3.5</v>
      </c>
      <c r="BF811" t="s">
        <v>28</v>
      </c>
      <c r="BG811">
        <v>-2</v>
      </c>
      <c r="BH811">
        <v>36</v>
      </c>
      <c r="BI811">
        <v>0.32100000000000001</v>
      </c>
      <c r="BJ811" t="s">
        <v>85</v>
      </c>
      <c r="BK811">
        <v>0.2571</v>
      </c>
      <c r="BL811">
        <v>0.46810000000000002</v>
      </c>
      <c r="BM811">
        <v>0.83</v>
      </c>
      <c r="BN811">
        <v>1.3</v>
      </c>
    </row>
    <row r="812" spans="1:66" x14ac:dyDescent="0.25">
      <c r="A812">
        <v>2</v>
      </c>
      <c r="B812">
        <v>0</v>
      </c>
      <c r="C812">
        <v>4</v>
      </c>
      <c r="D812">
        <v>3.35</v>
      </c>
      <c r="E812">
        <v>3.4500000000000006</v>
      </c>
      <c r="F812">
        <v>2.0733333333333337</v>
      </c>
      <c r="G812" s="40">
        <v>0.23</v>
      </c>
      <c r="H812" s="40">
        <v>0.24</v>
      </c>
      <c r="I812" s="40">
        <v>0.53</v>
      </c>
      <c r="J812">
        <v>3.15</v>
      </c>
      <c r="K812">
        <v>3.45</v>
      </c>
      <c r="L812">
        <v>2.04</v>
      </c>
      <c r="M812">
        <v>3.45</v>
      </c>
      <c r="N812">
        <v>3.45</v>
      </c>
      <c r="O812">
        <v>2.1</v>
      </c>
      <c r="P812">
        <v>3.45</v>
      </c>
      <c r="Q812">
        <v>3.45</v>
      </c>
      <c r="R812">
        <v>2.08</v>
      </c>
      <c r="S812">
        <v>0.29703805928443527</v>
      </c>
      <c r="T812">
        <v>0.24430023152636321</v>
      </c>
      <c r="U812">
        <v>0.45866170918920152</v>
      </c>
      <c r="V812">
        <v>0.2745098039215686</v>
      </c>
      <c r="W812">
        <v>0.2745098039215686</v>
      </c>
      <c r="X812">
        <v>0.4509803921568627</v>
      </c>
      <c r="Y812">
        <v>0.27332457293035478</v>
      </c>
      <c r="Z812">
        <v>0.27332457293035478</v>
      </c>
      <c r="AA812">
        <v>0.45335085413929044</v>
      </c>
      <c r="AB812">
        <v>0.28162414537878622</v>
      </c>
      <c r="AC812">
        <v>0.26404486945942884</v>
      </c>
      <c r="AD812">
        <v>0.45433098516178488</v>
      </c>
      <c r="AE812" t="s">
        <v>93</v>
      </c>
      <c r="AF812" t="s">
        <v>85</v>
      </c>
      <c r="AG812">
        <v>19.079999999999998</v>
      </c>
      <c r="AH812">
        <v>33</v>
      </c>
      <c r="AI812">
        <v>5</v>
      </c>
      <c r="AJ812">
        <v>0</v>
      </c>
      <c r="AK812">
        <v>25.7</v>
      </c>
      <c r="AL812">
        <v>100</v>
      </c>
      <c r="AM812">
        <v>4829</v>
      </c>
      <c r="AN812">
        <v>72</v>
      </c>
      <c r="AO812">
        <v>70</v>
      </c>
      <c r="AP812">
        <v>67</v>
      </c>
      <c r="AQ812">
        <v>3</v>
      </c>
      <c r="AR812" t="s">
        <v>29</v>
      </c>
      <c r="AS812" t="s">
        <v>84</v>
      </c>
      <c r="AT812" t="s">
        <v>85</v>
      </c>
      <c r="AU812">
        <v>103.93</v>
      </c>
      <c r="AV812">
        <v>29</v>
      </c>
      <c r="AW812">
        <v>5</v>
      </c>
      <c r="AX812">
        <v>6</v>
      </c>
      <c r="AY812">
        <v>27.7</v>
      </c>
      <c r="AZ812">
        <v>4</v>
      </c>
      <c r="BA812">
        <v>11425</v>
      </c>
      <c r="BB812">
        <v>76</v>
      </c>
      <c r="BC812">
        <v>76</v>
      </c>
      <c r="BD812">
        <v>75</v>
      </c>
      <c r="BE812">
        <v>4</v>
      </c>
      <c r="BF812" t="s">
        <v>29</v>
      </c>
      <c r="BG812">
        <v>-24</v>
      </c>
      <c r="BH812">
        <v>17</v>
      </c>
      <c r="BI812">
        <v>0.115</v>
      </c>
      <c r="BJ812" t="s">
        <v>85</v>
      </c>
      <c r="BK812">
        <v>0.38890000000000002</v>
      </c>
      <c r="BL812">
        <v>0.64</v>
      </c>
      <c r="BM812">
        <v>1.36</v>
      </c>
      <c r="BN812">
        <v>2.08</v>
      </c>
    </row>
    <row r="813" spans="1:66" x14ac:dyDescent="0.25">
      <c r="A813">
        <v>2</v>
      </c>
      <c r="B813">
        <v>0</v>
      </c>
      <c r="C813">
        <v>2</v>
      </c>
      <c r="D813">
        <v>1.76</v>
      </c>
      <c r="E813">
        <v>3.6666666666666665</v>
      </c>
      <c r="F813">
        <v>4.3276666666666666</v>
      </c>
      <c r="G813" s="40">
        <v>0.44</v>
      </c>
      <c r="H813" s="40">
        <v>0.25</v>
      </c>
      <c r="I813" s="40">
        <v>0.31000000000000005</v>
      </c>
      <c r="J813">
        <v>1.68</v>
      </c>
      <c r="K813">
        <v>3.65</v>
      </c>
      <c r="L813">
        <v>4.3499999999999996</v>
      </c>
      <c r="M813">
        <v>1.8</v>
      </c>
      <c r="N813">
        <v>3.65</v>
      </c>
      <c r="O813">
        <v>4.3330000000000002</v>
      </c>
      <c r="P813">
        <v>1.8</v>
      </c>
      <c r="Q813">
        <v>3.7</v>
      </c>
      <c r="R813">
        <v>4.3</v>
      </c>
      <c r="S813">
        <v>0.56495238773505685</v>
      </c>
      <c r="T813">
        <v>0.21685910389830057</v>
      </c>
      <c r="U813">
        <v>0.21818850836664266</v>
      </c>
      <c r="V813">
        <v>0.52395324144396949</v>
      </c>
      <c r="W813">
        <v>0.25838789989017674</v>
      </c>
      <c r="X813">
        <v>0.21765885866585391</v>
      </c>
      <c r="Y813">
        <v>0.52490927086770034</v>
      </c>
      <c r="Z813">
        <v>0.255361266908611</v>
      </c>
      <c r="AA813">
        <v>0.21972946222368853</v>
      </c>
      <c r="AB813">
        <v>0.53793830001557552</v>
      </c>
      <c r="AC813">
        <v>0.24353609023236275</v>
      </c>
      <c r="AD813">
        <v>0.2185256097520617</v>
      </c>
      <c r="AE813" t="s">
        <v>94</v>
      </c>
      <c r="AF813" t="s">
        <v>85</v>
      </c>
      <c r="AG813">
        <v>28.25</v>
      </c>
      <c r="AH813">
        <v>30</v>
      </c>
      <c r="AI813">
        <v>5</v>
      </c>
      <c r="AJ813">
        <v>0</v>
      </c>
      <c r="AK813">
        <v>26.1</v>
      </c>
      <c r="AL813">
        <v>126</v>
      </c>
      <c r="AM813">
        <v>4236</v>
      </c>
      <c r="AN813">
        <v>74</v>
      </c>
      <c r="AO813">
        <v>71</v>
      </c>
      <c r="AP813">
        <v>71</v>
      </c>
      <c r="AQ813">
        <v>3.5</v>
      </c>
      <c r="AR813" t="s">
        <v>28</v>
      </c>
      <c r="AS813" t="s">
        <v>95</v>
      </c>
      <c r="AT813" t="s">
        <v>85</v>
      </c>
      <c r="AU813">
        <v>36.68</v>
      </c>
      <c r="AV813">
        <v>24</v>
      </c>
      <c r="AW813">
        <v>3</v>
      </c>
      <c r="AX813">
        <v>0</v>
      </c>
      <c r="AY813">
        <v>26.8</v>
      </c>
      <c r="AZ813">
        <v>130</v>
      </c>
      <c r="BA813">
        <v>4218</v>
      </c>
      <c r="BB813">
        <v>71</v>
      </c>
      <c r="BC813">
        <v>71</v>
      </c>
      <c r="BD813">
        <v>70</v>
      </c>
      <c r="BE813">
        <v>3.5</v>
      </c>
      <c r="BF813" t="s">
        <v>46</v>
      </c>
      <c r="BG813">
        <v>-6</v>
      </c>
      <c r="BH813">
        <v>4</v>
      </c>
      <c r="BI813">
        <v>0.14299999999999999</v>
      </c>
      <c r="BJ813" t="s">
        <v>85</v>
      </c>
      <c r="BK813">
        <v>0.4239</v>
      </c>
      <c r="BL813">
        <v>0.32429999999999998</v>
      </c>
      <c r="BM813">
        <v>1.29</v>
      </c>
      <c r="BN813">
        <v>1.03</v>
      </c>
    </row>
    <row r="814" spans="1:66" x14ac:dyDescent="0.25">
      <c r="A814">
        <v>1</v>
      </c>
      <c r="B814">
        <v>2</v>
      </c>
      <c r="C814">
        <v>4</v>
      </c>
      <c r="D814">
        <v>2.4133333333333336</v>
      </c>
      <c r="E814">
        <v>3.1999999999999997</v>
      </c>
      <c r="F814">
        <v>2.9</v>
      </c>
      <c r="G814" s="40">
        <v>0.24</v>
      </c>
      <c r="H814" s="40">
        <v>0.32</v>
      </c>
      <c r="I814" s="40">
        <v>0.44</v>
      </c>
      <c r="J814">
        <v>2.33</v>
      </c>
      <c r="K814">
        <v>3.15</v>
      </c>
      <c r="L814">
        <v>2.85</v>
      </c>
      <c r="M814">
        <v>2.4500000000000002</v>
      </c>
      <c r="N814">
        <v>3.25</v>
      </c>
      <c r="O814">
        <v>2.95</v>
      </c>
      <c r="P814">
        <v>2.46</v>
      </c>
      <c r="Q814">
        <v>3.2</v>
      </c>
      <c r="R814">
        <v>2.9</v>
      </c>
      <c r="S814">
        <v>0.40039960695294236</v>
      </c>
      <c r="T814">
        <v>0.27225615297675748</v>
      </c>
      <c r="U814">
        <v>0.32734424007030022</v>
      </c>
      <c r="V814">
        <v>0.38694379981838362</v>
      </c>
      <c r="W814">
        <v>0.29169609524770462</v>
      </c>
      <c r="X814">
        <v>0.32136010493391182</v>
      </c>
      <c r="Y814">
        <v>0.38211315160998111</v>
      </c>
      <c r="Z814">
        <v>0.29374948530017292</v>
      </c>
      <c r="AA814">
        <v>0.32413736308984603</v>
      </c>
      <c r="AB814">
        <v>0.38981885279376899</v>
      </c>
      <c r="AC814">
        <v>0.28590057784154504</v>
      </c>
      <c r="AD814">
        <v>0.32428056936468602</v>
      </c>
      <c r="AE814" t="s">
        <v>91</v>
      </c>
      <c r="AF814" t="s">
        <v>85</v>
      </c>
      <c r="AG814">
        <v>41.05</v>
      </c>
      <c r="AH814">
        <v>29</v>
      </c>
      <c r="AI814">
        <v>5</v>
      </c>
      <c r="AJ814">
        <v>3</v>
      </c>
      <c r="AK814">
        <v>27.6</v>
      </c>
      <c r="AL814">
        <v>97</v>
      </c>
      <c r="AM814">
        <v>4926</v>
      </c>
      <c r="AN814">
        <v>71</v>
      </c>
      <c r="AO814">
        <v>74</v>
      </c>
      <c r="AP814">
        <v>73</v>
      </c>
      <c r="AQ814">
        <v>3.5</v>
      </c>
      <c r="AR814" t="s">
        <v>29</v>
      </c>
      <c r="AS814" t="s">
        <v>88</v>
      </c>
      <c r="AT814" t="s">
        <v>85</v>
      </c>
      <c r="AU814">
        <v>44.55</v>
      </c>
      <c r="AV814">
        <v>22</v>
      </c>
      <c r="AW814">
        <v>1</v>
      </c>
      <c r="AX814">
        <v>1</v>
      </c>
      <c r="AY814">
        <v>25.7</v>
      </c>
      <c r="AZ814">
        <v>69</v>
      </c>
      <c r="BA814">
        <v>5669</v>
      </c>
      <c r="BB814">
        <v>74</v>
      </c>
      <c r="BC814">
        <v>71</v>
      </c>
      <c r="BD814">
        <v>69</v>
      </c>
      <c r="BE814">
        <v>3</v>
      </c>
      <c r="BF814" t="s">
        <v>29</v>
      </c>
      <c r="BG814">
        <v>-6</v>
      </c>
      <c r="BH814">
        <v>32</v>
      </c>
      <c r="BI814">
        <v>0.27600000000000002</v>
      </c>
      <c r="BJ814" t="s">
        <v>85</v>
      </c>
      <c r="BK814">
        <v>0.42859999999999998</v>
      </c>
      <c r="BL814">
        <v>0.41670000000000001</v>
      </c>
      <c r="BM814">
        <v>1.35</v>
      </c>
      <c r="BN814">
        <v>1.54</v>
      </c>
    </row>
    <row r="815" spans="1:66" x14ac:dyDescent="0.25">
      <c r="A815">
        <v>1</v>
      </c>
      <c r="B815">
        <v>1</v>
      </c>
      <c r="C815">
        <v>3</v>
      </c>
      <c r="D815">
        <v>1.4566666666666663</v>
      </c>
      <c r="E815">
        <v>3.9499999999999997</v>
      </c>
      <c r="F815">
        <v>7.2</v>
      </c>
      <c r="G815" s="40">
        <v>0.51</v>
      </c>
      <c r="H815" s="40">
        <v>0.28999999999999998</v>
      </c>
      <c r="I815" s="40">
        <v>0.2</v>
      </c>
      <c r="J815">
        <v>1.41</v>
      </c>
      <c r="K815">
        <v>3.85</v>
      </c>
      <c r="L815">
        <v>7</v>
      </c>
      <c r="M815">
        <v>1.48</v>
      </c>
      <c r="N815">
        <v>4</v>
      </c>
      <c r="O815">
        <v>7.5</v>
      </c>
      <c r="P815">
        <v>1.48</v>
      </c>
      <c r="Q815">
        <v>4</v>
      </c>
      <c r="R815">
        <v>7.1</v>
      </c>
      <c r="S815">
        <v>0.6845664062991863</v>
      </c>
      <c r="T815">
        <v>0.17754236043197774</v>
      </c>
      <c r="U815">
        <v>0.13789123326883607</v>
      </c>
      <c r="V815">
        <v>0.6380263717566993</v>
      </c>
      <c r="W815">
        <v>0.23606975754997872</v>
      </c>
      <c r="X815">
        <v>0.12590387069332198</v>
      </c>
      <c r="Y815">
        <v>0.63353261354510582</v>
      </c>
      <c r="Z815">
        <v>0.23440706701168915</v>
      </c>
      <c r="AA815">
        <v>0.13206031944320515</v>
      </c>
      <c r="AB815">
        <v>0.65204179720033051</v>
      </c>
      <c r="AC815">
        <v>0.21600639499788188</v>
      </c>
      <c r="AD815">
        <v>0.13195180780178775</v>
      </c>
      <c r="AE815" t="s">
        <v>113</v>
      </c>
      <c r="AF815" t="s">
        <v>108</v>
      </c>
      <c r="AG815">
        <v>98.45</v>
      </c>
      <c r="AH815">
        <v>29</v>
      </c>
      <c r="AI815">
        <v>8</v>
      </c>
      <c r="AJ815">
        <v>7</v>
      </c>
      <c r="AK815">
        <v>27.3</v>
      </c>
      <c r="AL815">
        <v>33</v>
      </c>
      <c r="AM815">
        <v>7418</v>
      </c>
      <c r="AN815">
        <v>81</v>
      </c>
      <c r="AO815">
        <v>75</v>
      </c>
      <c r="AP815">
        <v>75</v>
      </c>
      <c r="AQ815">
        <v>4</v>
      </c>
      <c r="AR815" t="s">
        <v>29</v>
      </c>
      <c r="AS815" t="s">
        <v>118</v>
      </c>
      <c r="AT815" t="s">
        <v>108</v>
      </c>
      <c r="AU815">
        <v>65.8</v>
      </c>
      <c r="AV815">
        <v>34</v>
      </c>
      <c r="AW815">
        <v>4</v>
      </c>
      <c r="AX815">
        <v>2</v>
      </c>
      <c r="AY815">
        <v>27.6</v>
      </c>
      <c r="AZ815">
        <v>89</v>
      </c>
      <c r="BA815">
        <v>5108</v>
      </c>
      <c r="BB815">
        <v>70</v>
      </c>
      <c r="BC815">
        <v>73</v>
      </c>
      <c r="BD815">
        <v>72</v>
      </c>
      <c r="BE815">
        <v>3.5</v>
      </c>
      <c r="BF815" t="s">
        <v>29</v>
      </c>
      <c r="BG815">
        <v>12</v>
      </c>
      <c r="BH815">
        <v>64</v>
      </c>
      <c r="BI815">
        <v>0.42499999999999999</v>
      </c>
      <c r="BJ815" t="s">
        <v>108</v>
      </c>
      <c r="BK815">
        <v>0.54390000000000005</v>
      </c>
      <c r="BL815">
        <v>0.4839</v>
      </c>
      <c r="BM815">
        <v>1.68</v>
      </c>
      <c r="BN815">
        <v>1.52</v>
      </c>
    </row>
    <row r="816" spans="1:66" x14ac:dyDescent="0.25">
      <c r="A816">
        <v>1</v>
      </c>
      <c r="B816">
        <v>1</v>
      </c>
      <c r="C816">
        <v>1</v>
      </c>
      <c r="D816">
        <v>1.883</v>
      </c>
      <c r="E816">
        <v>3.25</v>
      </c>
      <c r="F816">
        <v>4.1943333333333337</v>
      </c>
      <c r="G816" s="40">
        <v>0.45</v>
      </c>
      <c r="H816" s="40">
        <v>0.28000000000000003</v>
      </c>
      <c r="I816" s="40">
        <v>0.27</v>
      </c>
      <c r="J816">
        <v>1.82</v>
      </c>
      <c r="K816">
        <v>3.2</v>
      </c>
      <c r="L816">
        <v>4</v>
      </c>
      <c r="M816">
        <v>1.909</v>
      </c>
      <c r="N816">
        <v>3.25</v>
      </c>
      <c r="O816">
        <v>4.3330000000000002</v>
      </c>
      <c r="P816">
        <v>1.92</v>
      </c>
      <c r="Q816">
        <v>3.3</v>
      </c>
      <c r="R816">
        <v>4.25</v>
      </c>
      <c r="S816">
        <v>0.51387271483761254</v>
      </c>
      <c r="T816">
        <v>0.25231519991127382</v>
      </c>
      <c r="U816">
        <v>0.23381208525111374</v>
      </c>
      <c r="V816">
        <v>0.49310711036834715</v>
      </c>
      <c r="W816">
        <v>0.2896435303671307</v>
      </c>
      <c r="X816">
        <v>0.21724935926452221</v>
      </c>
      <c r="Y816">
        <v>0.49174292626485744</v>
      </c>
      <c r="Z816">
        <v>0.28610497528137163</v>
      </c>
      <c r="AA816">
        <v>0.2221520984537709</v>
      </c>
      <c r="AB816">
        <v>0.49957425049027232</v>
      </c>
      <c r="AC816">
        <v>0.27602123518659205</v>
      </c>
      <c r="AD816">
        <v>0.2244045143231356</v>
      </c>
      <c r="AE816" t="s">
        <v>115</v>
      </c>
      <c r="AF816" t="s">
        <v>108</v>
      </c>
      <c r="AG816">
        <v>71.75</v>
      </c>
      <c r="AH816">
        <v>32</v>
      </c>
      <c r="AI816">
        <v>2</v>
      </c>
      <c r="AJ816">
        <v>2</v>
      </c>
      <c r="AK816">
        <v>25.8</v>
      </c>
      <c r="AL816">
        <v>64</v>
      </c>
      <c r="AM816">
        <v>6079</v>
      </c>
      <c r="AN816">
        <v>72</v>
      </c>
      <c r="AO816">
        <v>72</v>
      </c>
      <c r="AP816">
        <v>74</v>
      </c>
      <c r="AQ816">
        <v>3.5</v>
      </c>
      <c r="AR816" t="s">
        <v>29</v>
      </c>
      <c r="AS816" t="s">
        <v>111</v>
      </c>
      <c r="AT816" t="s">
        <v>108</v>
      </c>
      <c r="AU816">
        <v>56.2</v>
      </c>
      <c r="AV816">
        <v>28</v>
      </c>
      <c r="AW816">
        <v>2</v>
      </c>
      <c r="AX816">
        <v>2</v>
      </c>
      <c r="AY816">
        <v>25.9</v>
      </c>
      <c r="AZ816">
        <v>15</v>
      </c>
      <c r="BA816">
        <v>9286</v>
      </c>
      <c r="BB816">
        <v>74</v>
      </c>
      <c r="BC816">
        <v>71</v>
      </c>
      <c r="BD816">
        <v>72</v>
      </c>
      <c r="BE816">
        <v>3.5</v>
      </c>
      <c r="BF816" t="s">
        <v>29</v>
      </c>
      <c r="BG816">
        <v>4</v>
      </c>
      <c r="BH816">
        <v>54</v>
      </c>
      <c r="BI816">
        <v>0.4</v>
      </c>
      <c r="BJ816" t="s">
        <v>108</v>
      </c>
      <c r="BK816">
        <v>0.3448</v>
      </c>
      <c r="BL816">
        <v>0.43940000000000001</v>
      </c>
      <c r="BM816">
        <v>1.1599999999999999</v>
      </c>
      <c r="BN816">
        <v>1.29</v>
      </c>
    </row>
    <row r="817" spans="1:66" x14ac:dyDescent="0.25">
      <c r="A817">
        <v>2</v>
      </c>
      <c r="B817">
        <v>0</v>
      </c>
      <c r="C817">
        <v>2</v>
      </c>
      <c r="D817">
        <v>1.7910000000000001</v>
      </c>
      <c r="E817">
        <v>3.4666666666666668</v>
      </c>
      <c r="F817">
        <v>4.3833333333333337</v>
      </c>
      <c r="G817" s="40">
        <v>0.33</v>
      </c>
      <c r="H817" s="40">
        <v>0.37</v>
      </c>
      <c r="I817" s="40">
        <v>0.29999999999999993</v>
      </c>
      <c r="J817">
        <v>1.72</v>
      </c>
      <c r="K817">
        <v>3.45</v>
      </c>
      <c r="L817">
        <v>4.2</v>
      </c>
      <c r="M817">
        <v>1.833</v>
      </c>
      <c r="N817">
        <v>3.45</v>
      </c>
      <c r="O817">
        <v>4.5</v>
      </c>
      <c r="P817">
        <v>1.82</v>
      </c>
      <c r="Q817">
        <v>3.5</v>
      </c>
      <c r="R817">
        <v>4.45</v>
      </c>
      <c r="S817">
        <v>0.5459163702581733</v>
      </c>
      <c r="T817">
        <v>0.23051787811228916</v>
      </c>
      <c r="U817">
        <v>0.22356575162953762</v>
      </c>
      <c r="V817">
        <v>0.51582614416219374</v>
      </c>
      <c r="W817">
        <v>0.27406067311573939</v>
      </c>
      <c r="X817">
        <v>0.21011318272206692</v>
      </c>
      <c r="Y817">
        <v>0.5184063373718546</v>
      </c>
      <c r="Z817">
        <v>0.26957129543336444</v>
      </c>
      <c r="AA817">
        <v>0.21202236719478101</v>
      </c>
      <c r="AB817">
        <v>0.52671628393074055</v>
      </c>
      <c r="AC817">
        <v>0.25804994888713101</v>
      </c>
      <c r="AD817">
        <v>0.2152337671821285</v>
      </c>
      <c r="AE817" t="s">
        <v>112</v>
      </c>
      <c r="AF817" t="s">
        <v>108</v>
      </c>
      <c r="AG817">
        <v>59.75</v>
      </c>
      <c r="AH817">
        <v>28</v>
      </c>
      <c r="AI817">
        <v>8</v>
      </c>
      <c r="AJ817">
        <v>4</v>
      </c>
      <c r="AK817">
        <v>26</v>
      </c>
      <c r="AL817">
        <v>17</v>
      </c>
      <c r="AM817">
        <v>9035</v>
      </c>
      <c r="AN817">
        <v>71</v>
      </c>
      <c r="AO817">
        <v>75</v>
      </c>
      <c r="AP817">
        <v>75</v>
      </c>
      <c r="AQ817">
        <v>3.5</v>
      </c>
      <c r="AR817" t="s">
        <v>29</v>
      </c>
      <c r="AS817" t="s">
        <v>114</v>
      </c>
      <c r="AT817" t="s">
        <v>108</v>
      </c>
      <c r="AU817">
        <v>59.75</v>
      </c>
      <c r="AV817">
        <v>40</v>
      </c>
      <c r="AW817">
        <v>3</v>
      </c>
      <c r="AX817">
        <v>0</v>
      </c>
      <c r="AY817">
        <v>24.7</v>
      </c>
      <c r="AZ817">
        <v>40</v>
      </c>
      <c r="BA817">
        <v>7098</v>
      </c>
      <c r="BB817">
        <v>74</v>
      </c>
      <c r="BC817">
        <v>72</v>
      </c>
      <c r="BD817">
        <v>73</v>
      </c>
      <c r="BE817">
        <v>3.5</v>
      </c>
      <c r="BF817" t="s">
        <v>29</v>
      </c>
      <c r="BG817">
        <v>-3</v>
      </c>
      <c r="BH817">
        <v>50</v>
      </c>
      <c r="BI817">
        <v>0.308</v>
      </c>
      <c r="BJ817" t="s">
        <v>108</v>
      </c>
      <c r="BK817">
        <v>0.52939999999999998</v>
      </c>
      <c r="BL817">
        <v>0.39389999999999997</v>
      </c>
      <c r="BM817">
        <v>1.5</v>
      </c>
      <c r="BN817">
        <v>1.3</v>
      </c>
    </row>
    <row r="818" spans="1:66" x14ac:dyDescent="0.25">
      <c r="A818">
        <v>1</v>
      </c>
      <c r="B818">
        <v>1</v>
      </c>
      <c r="C818">
        <v>1</v>
      </c>
      <c r="D818">
        <v>1.4466666666666665</v>
      </c>
      <c r="E818">
        <v>4.6833333333333336</v>
      </c>
      <c r="F818">
        <v>6.9833333333333334</v>
      </c>
      <c r="G818" s="40">
        <v>0.45</v>
      </c>
      <c r="H818" s="40">
        <v>0.42</v>
      </c>
      <c r="I818" s="40">
        <v>0.13</v>
      </c>
      <c r="J818">
        <v>1.44</v>
      </c>
      <c r="K818">
        <v>4.7</v>
      </c>
      <c r="L818">
        <v>7.5</v>
      </c>
      <c r="M818">
        <v>1.45</v>
      </c>
      <c r="N818">
        <v>4.5</v>
      </c>
      <c r="O818">
        <v>6.75</v>
      </c>
      <c r="P818">
        <v>1.45</v>
      </c>
      <c r="Q818">
        <v>4.8499999999999996</v>
      </c>
      <c r="R818">
        <v>6.7</v>
      </c>
      <c r="S818">
        <v>0.71152158750871819</v>
      </c>
      <c r="T818">
        <v>0.15186626768960784</v>
      </c>
      <c r="U818">
        <v>0.13661214480167388</v>
      </c>
      <c r="V818">
        <v>0.65060240963855431</v>
      </c>
      <c r="W818">
        <v>0.20963855421686747</v>
      </c>
      <c r="X818">
        <v>0.13975903614457832</v>
      </c>
      <c r="Y818">
        <v>0.65989744631162106</v>
      </c>
      <c r="Z818">
        <v>0.19728892724780422</v>
      </c>
      <c r="AA818">
        <v>0.14281362644057469</v>
      </c>
      <c r="AB818">
        <v>0.67400714781963111</v>
      </c>
      <c r="AC818">
        <v>0.18626458305142654</v>
      </c>
      <c r="AD818">
        <v>0.13972826912894229</v>
      </c>
      <c r="AE818" t="s">
        <v>144</v>
      </c>
      <c r="AF818" t="s">
        <v>141</v>
      </c>
      <c r="AG818">
        <v>783.5</v>
      </c>
      <c r="AH818">
        <v>25</v>
      </c>
      <c r="AI818">
        <v>18</v>
      </c>
      <c r="AJ818">
        <v>17</v>
      </c>
      <c r="AK818">
        <v>27.6</v>
      </c>
      <c r="AL818">
        <v>18</v>
      </c>
      <c r="AM818">
        <v>8949</v>
      </c>
      <c r="AN818">
        <v>84</v>
      </c>
      <c r="AO818">
        <v>86</v>
      </c>
      <c r="AP818">
        <v>84</v>
      </c>
      <c r="AQ818">
        <v>5</v>
      </c>
      <c r="AR818" t="s">
        <v>28</v>
      </c>
      <c r="AS818" t="s">
        <v>148</v>
      </c>
      <c r="AT818" t="s">
        <v>141</v>
      </c>
      <c r="AU818">
        <v>188.3</v>
      </c>
      <c r="AV818">
        <v>26</v>
      </c>
      <c r="AW818">
        <v>0</v>
      </c>
      <c r="AX818">
        <v>2</v>
      </c>
      <c r="AY818">
        <v>26.4</v>
      </c>
      <c r="AZ818">
        <v>61</v>
      </c>
      <c r="BA818">
        <v>6139</v>
      </c>
      <c r="BB818">
        <v>80</v>
      </c>
      <c r="BC818">
        <v>78</v>
      </c>
      <c r="BD818">
        <v>79</v>
      </c>
      <c r="BE818">
        <v>4.5</v>
      </c>
      <c r="BF818" t="s">
        <v>29</v>
      </c>
      <c r="BG818">
        <v>117</v>
      </c>
      <c r="BH818">
        <v>341</v>
      </c>
      <c r="BI818">
        <v>0.50800000000000001</v>
      </c>
      <c r="BJ818" t="s">
        <v>270</v>
      </c>
      <c r="BK818">
        <v>0.59619999999999995</v>
      </c>
      <c r="BL818">
        <v>0.3478</v>
      </c>
      <c r="BM818">
        <v>1.69</v>
      </c>
      <c r="BN818">
        <v>1.28</v>
      </c>
    </row>
    <row r="819" spans="1:66" x14ac:dyDescent="0.25">
      <c r="A819">
        <v>3</v>
      </c>
      <c r="B819">
        <v>-3</v>
      </c>
      <c r="C819">
        <v>5</v>
      </c>
      <c r="D819">
        <v>7.2166666666666659</v>
      </c>
      <c r="E819">
        <v>4.9833333333333334</v>
      </c>
      <c r="F819">
        <v>1.41</v>
      </c>
      <c r="G819" s="40">
        <v>0.17</v>
      </c>
      <c r="H819" s="40">
        <v>0.27</v>
      </c>
      <c r="I819" s="40">
        <v>0.55999999999999994</v>
      </c>
      <c r="J819">
        <v>7.5</v>
      </c>
      <c r="K819">
        <v>5.0999999999999996</v>
      </c>
      <c r="L819">
        <v>1.4</v>
      </c>
      <c r="M819">
        <v>6.75</v>
      </c>
      <c r="N819">
        <v>4.75</v>
      </c>
      <c r="O819">
        <v>1.43</v>
      </c>
      <c r="P819">
        <v>7.4</v>
      </c>
      <c r="Q819">
        <v>5.0999999999999996</v>
      </c>
      <c r="R819">
        <v>1.4</v>
      </c>
      <c r="S819">
        <v>0.13533167789996453</v>
      </c>
      <c r="T819">
        <v>0.13967719049308266</v>
      </c>
      <c r="U819">
        <v>0.72499113160695283</v>
      </c>
      <c r="V819">
        <v>0.14002989228469823</v>
      </c>
      <c r="W819">
        <v>0.19898984693088695</v>
      </c>
      <c r="X819">
        <v>0.66098026078441474</v>
      </c>
      <c r="Y819">
        <v>0.12925416364952932</v>
      </c>
      <c r="Z819">
        <v>0.18754525706010139</v>
      </c>
      <c r="AA819">
        <v>0.68320057929036926</v>
      </c>
      <c r="AB819">
        <v>0.13487191127806403</v>
      </c>
      <c r="AC819">
        <v>0.17540409816135702</v>
      </c>
      <c r="AD819">
        <v>0.68972399056057887</v>
      </c>
      <c r="AE819" t="s">
        <v>262</v>
      </c>
      <c r="AF819" t="s">
        <v>253</v>
      </c>
      <c r="AG819">
        <v>461.75</v>
      </c>
      <c r="AH819">
        <v>27</v>
      </c>
      <c r="AI819">
        <v>14</v>
      </c>
      <c r="AJ819">
        <v>15</v>
      </c>
      <c r="AK819">
        <v>27.9</v>
      </c>
      <c r="AL819">
        <v>149</v>
      </c>
      <c r="AM819">
        <v>3982</v>
      </c>
      <c r="AN819">
        <v>81</v>
      </c>
      <c r="AO819">
        <v>79</v>
      </c>
      <c r="AP819">
        <v>80</v>
      </c>
      <c r="AQ819">
        <v>4.5</v>
      </c>
      <c r="AR819" t="s">
        <v>29</v>
      </c>
      <c r="AS819" t="s">
        <v>252</v>
      </c>
      <c r="AT819" t="s">
        <v>253</v>
      </c>
      <c r="AU819">
        <v>879.5</v>
      </c>
      <c r="AV819">
        <v>27</v>
      </c>
      <c r="AW819">
        <v>19</v>
      </c>
      <c r="AX819">
        <v>18</v>
      </c>
      <c r="AY819">
        <v>27</v>
      </c>
      <c r="AZ819">
        <v>1</v>
      </c>
      <c r="BA819">
        <v>14695</v>
      </c>
      <c r="BB819">
        <v>86</v>
      </c>
      <c r="BC819">
        <v>83</v>
      </c>
      <c r="BD819">
        <v>80</v>
      </c>
      <c r="BE819">
        <v>5</v>
      </c>
      <c r="BF819" t="s">
        <v>29</v>
      </c>
      <c r="BG819">
        <v>-65</v>
      </c>
      <c r="BH819">
        <v>136</v>
      </c>
      <c r="BI819">
        <v>0.2</v>
      </c>
      <c r="BJ819" t="s">
        <v>267</v>
      </c>
      <c r="BK819">
        <v>0.5</v>
      </c>
      <c r="BL819">
        <v>0.52829999999999999</v>
      </c>
      <c r="BM819">
        <v>1.5</v>
      </c>
      <c r="BN819">
        <v>1.83</v>
      </c>
    </row>
    <row r="820" spans="1:66" x14ac:dyDescent="0.25">
      <c r="A820">
        <v>1</v>
      </c>
      <c r="B820">
        <v>1</v>
      </c>
      <c r="C820">
        <v>5</v>
      </c>
      <c r="D820">
        <v>2.0299999999999998</v>
      </c>
      <c r="E820">
        <v>3.6</v>
      </c>
      <c r="F820">
        <v>3.6</v>
      </c>
      <c r="G820" s="40">
        <v>0.33</v>
      </c>
      <c r="H820" s="40">
        <v>0.3</v>
      </c>
      <c r="I820" s="40">
        <v>0.36999999999999994</v>
      </c>
      <c r="J820">
        <v>2.02</v>
      </c>
      <c r="K820">
        <v>3.65</v>
      </c>
      <c r="L820">
        <v>3.65</v>
      </c>
      <c r="M820">
        <v>2.0499999999999998</v>
      </c>
      <c r="N820">
        <v>3.45</v>
      </c>
      <c r="O820">
        <v>3.55</v>
      </c>
      <c r="P820">
        <v>2.02</v>
      </c>
      <c r="Q820">
        <v>3.7</v>
      </c>
      <c r="R820">
        <v>3.6</v>
      </c>
      <c r="S820">
        <v>0.4931028755386147</v>
      </c>
      <c r="T820">
        <v>0.23400183443727529</v>
      </c>
      <c r="U820">
        <v>0.27289529002411006</v>
      </c>
      <c r="V820">
        <v>0.46047560860983178</v>
      </c>
      <c r="W820">
        <v>0.27361594134787104</v>
      </c>
      <c r="X820">
        <v>0.26590845004229724</v>
      </c>
      <c r="Y820">
        <v>0.47459559609491908</v>
      </c>
      <c r="Z820">
        <v>0.2591035416518207</v>
      </c>
      <c r="AA820">
        <v>0.26630086225326016</v>
      </c>
      <c r="AB820">
        <v>0.47605802674778852</v>
      </c>
      <c r="AC820">
        <v>0.25557377247898899</v>
      </c>
      <c r="AD820">
        <v>0.26836820077322249</v>
      </c>
      <c r="AE820" t="s">
        <v>258</v>
      </c>
      <c r="AF820" t="s">
        <v>253</v>
      </c>
      <c r="AG820">
        <v>937.25</v>
      </c>
      <c r="AH820">
        <v>28</v>
      </c>
      <c r="AI820">
        <v>17</v>
      </c>
      <c r="AJ820">
        <v>21</v>
      </c>
      <c r="AK820">
        <v>27.9</v>
      </c>
      <c r="AL820">
        <v>39</v>
      </c>
      <c r="AM820">
        <v>7151</v>
      </c>
      <c r="AN820">
        <v>83</v>
      </c>
      <c r="AO820">
        <v>82</v>
      </c>
      <c r="AP820">
        <v>82</v>
      </c>
      <c r="AQ820">
        <v>4.5</v>
      </c>
      <c r="AR820" t="s">
        <v>29</v>
      </c>
      <c r="AS820" t="s">
        <v>256</v>
      </c>
      <c r="AT820" t="s">
        <v>253</v>
      </c>
      <c r="AU820">
        <v>548.5</v>
      </c>
      <c r="AV820">
        <v>26</v>
      </c>
      <c r="AW820">
        <v>17</v>
      </c>
      <c r="AX820">
        <v>16</v>
      </c>
      <c r="AY820">
        <v>25.2</v>
      </c>
      <c r="AZ820">
        <v>25</v>
      </c>
      <c r="BA820">
        <v>7938</v>
      </c>
      <c r="BB820">
        <v>83</v>
      </c>
      <c r="BC820">
        <v>79</v>
      </c>
      <c r="BD820">
        <v>79</v>
      </c>
      <c r="BE820">
        <v>4.5</v>
      </c>
      <c r="BF820" t="s">
        <v>29</v>
      </c>
      <c r="BG820">
        <v>15</v>
      </c>
      <c r="BH820">
        <v>225</v>
      </c>
      <c r="BI820">
        <v>0.41399999999999998</v>
      </c>
      <c r="BJ820" t="s">
        <v>267</v>
      </c>
      <c r="BK820">
        <v>0.57379999999999998</v>
      </c>
      <c r="BL820">
        <v>0.5</v>
      </c>
      <c r="BM820">
        <v>1.98</v>
      </c>
      <c r="BN820">
        <v>1.62</v>
      </c>
    </row>
    <row r="821" spans="1:66" x14ac:dyDescent="0.25">
      <c r="A821">
        <v>1</v>
      </c>
      <c r="B821">
        <v>2</v>
      </c>
      <c r="C821">
        <v>4</v>
      </c>
      <c r="D821">
        <v>1.6433333333333333</v>
      </c>
      <c r="E821">
        <v>4.0333333333333341</v>
      </c>
      <c r="F821">
        <v>5.25</v>
      </c>
      <c r="G821" s="40">
        <v>0.46</v>
      </c>
      <c r="H821" s="40">
        <v>0.23</v>
      </c>
      <c r="I821" s="40">
        <v>0.31000000000000005</v>
      </c>
      <c r="J821">
        <v>1.63</v>
      </c>
      <c r="K821">
        <v>3.9</v>
      </c>
      <c r="L821">
        <v>5.2</v>
      </c>
      <c r="M821">
        <v>1.65</v>
      </c>
      <c r="N821">
        <v>4.2</v>
      </c>
      <c r="O821">
        <v>5.25</v>
      </c>
      <c r="P821">
        <v>1.65</v>
      </c>
      <c r="Q821">
        <v>4</v>
      </c>
      <c r="R821">
        <v>5.3</v>
      </c>
      <c r="S821">
        <v>0.6093882334287547</v>
      </c>
      <c r="T821">
        <v>0.19959199340030881</v>
      </c>
      <c r="U821">
        <v>0.19101977317093657</v>
      </c>
      <c r="V821">
        <v>0.58577405857740583</v>
      </c>
      <c r="W821">
        <v>0.23012552301255229</v>
      </c>
      <c r="X821">
        <v>0.18410041841004185</v>
      </c>
      <c r="Y821">
        <v>0.58010671774524558</v>
      </c>
      <c r="Z821">
        <v>0.23929402106991379</v>
      </c>
      <c r="AA821">
        <v>0.1805992611848406</v>
      </c>
      <c r="AB821">
        <v>0.591756336583802</v>
      </c>
      <c r="AC821">
        <v>0.22300384582759167</v>
      </c>
      <c r="AD821">
        <v>0.18523981758860633</v>
      </c>
      <c r="AE821" t="s">
        <v>320</v>
      </c>
      <c r="AF821" t="s">
        <v>307</v>
      </c>
      <c r="AG821">
        <v>248.8</v>
      </c>
      <c r="AH821">
        <v>26</v>
      </c>
      <c r="AI821">
        <v>16</v>
      </c>
      <c r="AJ821">
        <v>14</v>
      </c>
      <c r="AK821">
        <v>26.8</v>
      </c>
      <c r="AL821">
        <v>268</v>
      </c>
      <c r="AM821">
        <v>2679</v>
      </c>
      <c r="AN821">
        <v>78</v>
      </c>
      <c r="AO821">
        <v>76</v>
      </c>
      <c r="AP821">
        <v>75</v>
      </c>
      <c r="AQ821">
        <v>4</v>
      </c>
      <c r="AR821" t="s">
        <v>29</v>
      </c>
      <c r="AS821" t="s">
        <v>321</v>
      </c>
      <c r="AT821" t="s">
        <v>307</v>
      </c>
      <c r="AU821">
        <v>124.8</v>
      </c>
      <c r="AV821">
        <v>27</v>
      </c>
      <c r="AW821">
        <v>12</v>
      </c>
      <c r="AX821">
        <v>8</v>
      </c>
      <c r="AY821">
        <v>27.1</v>
      </c>
      <c r="AZ821">
        <v>279</v>
      </c>
      <c r="BA821">
        <v>2588</v>
      </c>
      <c r="BB821">
        <v>76</v>
      </c>
      <c r="BC821">
        <v>75</v>
      </c>
      <c r="BD821">
        <v>73</v>
      </c>
      <c r="BE821">
        <v>4</v>
      </c>
      <c r="BF821" t="s">
        <v>43</v>
      </c>
      <c r="BG821">
        <v>25</v>
      </c>
      <c r="BH821">
        <v>193</v>
      </c>
      <c r="BI821">
        <v>0.35599999999999998</v>
      </c>
      <c r="BJ821" t="s">
        <v>322</v>
      </c>
      <c r="BK821">
        <v>0.26829999999999998</v>
      </c>
      <c r="BL821">
        <v>0.4</v>
      </c>
      <c r="BM821">
        <v>1.24</v>
      </c>
      <c r="BN821">
        <v>1.35</v>
      </c>
    </row>
    <row r="822" spans="1:66" x14ac:dyDescent="0.25">
      <c r="A822">
        <v>1</v>
      </c>
      <c r="B822">
        <v>1</v>
      </c>
      <c r="C822">
        <v>1</v>
      </c>
      <c r="D822">
        <v>3.0833333333333335</v>
      </c>
      <c r="E822">
        <v>3.5499999999999994</v>
      </c>
      <c r="F822">
        <v>2.2533333333333334</v>
      </c>
      <c r="G822" s="40">
        <v>0.35</v>
      </c>
      <c r="H822" s="40">
        <v>0.22</v>
      </c>
      <c r="I822" s="40">
        <v>0.43000000000000005</v>
      </c>
      <c r="J822">
        <v>3.05</v>
      </c>
      <c r="K822">
        <v>3.55</v>
      </c>
      <c r="L822">
        <v>2.2000000000000002</v>
      </c>
      <c r="M822">
        <v>3.1</v>
      </c>
      <c r="N822">
        <v>3.55</v>
      </c>
      <c r="O822">
        <v>2.2999999999999998</v>
      </c>
      <c r="P822">
        <v>3.1</v>
      </c>
      <c r="Q822">
        <v>3.55</v>
      </c>
      <c r="R822">
        <v>2.2599999999999998</v>
      </c>
      <c r="S822">
        <v>0.31725344676742995</v>
      </c>
      <c r="T822">
        <v>0.24291791112317854</v>
      </c>
      <c r="U822">
        <v>0.43982864210939143</v>
      </c>
      <c r="V822">
        <v>0.31045627376425855</v>
      </c>
      <c r="W822">
        <v>0.27110266159695817</v>
      </c>
      <c r="X822">
        <v>0.41844106463878333</v>
      </c>
      <c r="Y822">
        <v>0.30817392640393332</v>
      </c>
      <c r="Z822">
        <v>0.26910962587385728</v>
      </c>
      <c r="AA822">
        <v>0.42271644772220945</v>
      </c>
      <c r="AB822">
        <v>0.31196121564520723</v>
      </c>
      <c r="AC822">
        <v>0.26104339953133132</v>
      </c>
      <c r="AD822">
        <v>0.42699538482346139</v>
      </c>
      <c r="AE822" t="s">
        <v>314</v>
      </c>
      <c r="AF822" t="s">
        <v>307</v>
      </c>
      <c r="AG822">
        <v>142.47999999999999</v>
      </c>
      <c r="AH822">
        <v>28</v>
      </c>
      <c r="AI822">
        <v>18</v>
      </c>
      <c r="AJ822">
        <v>11</v>
      </c>
      <c r="AK822">
        <v>25.6</v>
      </c>
      <c r="AL822">
        <v>161</v>
      </c>
      <c r="AM822">
        <v>3818</v>
      </c>
      <c r="AN822">
        <v>75</v>
      </c>
      <c r="AO822">
        <v>75</v>
      </c>
      <c r="AP822">
        <v>73</v>
      </c>
      <c r="AQ822">
        <v>3.5</v>
      </c>
      <c r="AR822" t="s">
        <v>46</v>
      </c>
      <c r="AS822" t="s">
        <v>312</v>
      </c>
      <c r="AT822" t="s">
        <v>307</v>
      </c>
      <c r="AU822">
        <v>418.35</v>
      </c>
      <c r="AV822">
        <v>31</v>
      </c>
      <c r="AW822">
        <v>20</v>
      </c>
      <c r="AX822">
        <v>19</v>
      </c>
      <c r="AY822">
        <v>25.4</v>
      </c>
      <c r="AZ822">
        <v>44</v>
      </c>
      <c r="BA822">
        <v>6735</v>
      </c>
      <c r="BB822">
        <v>79</v>
      </c>
      <c r="BC822">
        <v>77</v>
      </c>
      <c r="BD822">
        <v>76</v>
      </c>
      <c r="BE822">
        <v>4</v>
      </c>
      <c r="BF822" t="s">
        <v>29</v>
      </c>
      <c r="BG822">
        <v>-19</v>
      </c>
      <c r="BH822">
        <v>203</v>
      </c>
      <c r="BI822">
        <v>0.33500000000000002</v>
      </c>
      <c r="BJ822" t="s">
        <v>322</v>
      </c>
      <c r="BK822">
        <v>0.27500000000000002</v>
      </c>
      <c r="BL822">
        <v>0.52829999999999999</v>
      </c>
      <c r="BM822">
        <v>1.38</v>
      </c>
      <c r="BN822">
        <v>1.87</v>
      </c>
    </row>
    <row r="823" spans="1:66" x14ac:dyDescent="0.25">
      <c r="A823">
        <v>2</v>
      </c>
      <c r="B823">
        <v>0</v>
      </c>
      <c r="C823">
        <v>4</v>
      </c>
      <c r="D823">
        <v>3.9500000000000006</v>
      </c>
      <c r="E823">
        <v>3.8833333333333333</v>
      </c>
      <c r="F823">
        <v>1.8566666666666667</v>
      </c>
      <c r="G823" s="40">
        <v>0.19</v>
      </c>
      <c r="H823" s="40">
        <v>0.26</v>
      </c>
      <c r="I823" s="40">
        <v>0.55000000000000004</v>
      </c>
      <c r="J823">
        <v>3.9</v>
      </c>
      <c r="K823">
        <v>3.75</v>
      </c>
      <c r="L823">
        <v>1.85</v>
      </c>
      <c r="M823">
        <v>3.95</v>
      </c>
      <c r="N823">
        <v>4</v>
      </c>
      <c r="O823">
        <v>1.85</v>
      </c>
      <c r="P823">
        <v>4</v>
      </c>
      <c r="Q823">
        <v>3.9</v>
      </c>
      <c r="R823">
        <v>1.87</v>
      </c>
      <c r="S823">
        <v>0.25055579689775892</v>
      </c>
      <c r="T823">
        <v>0.22124549612858715</v>
      </c>
      <c r="U823">
        <v>0.5281987069736539</v>
      </c>
      <c r="V823">
        <v>0.24256330410554783</v>
      </c>
      <c r="W823">
        <v>0.23953126280422851</v>
      </c>
      <c r="X823">
        <v>0.51790543309022374</v>
      </c>
      <c r="Y823">
        <v>0.24011457544529682</v>
      </c>
      <c r="Z823">
        <v>0.24627135943107367</v>
      </c>
      <c r="AA823">
        <v>0.5136140651236295</v>
      </c>
      <c r="AB823">
        <v>0.24441122548286787</v>
      </c>
      <c r="AC823">
        <v>0.23568270612129646</v>
      </c>
      <c r="AD823">
        <v>0.51990606839583575</v>
      </c>
      <c r="AE823" t="s">
        <v>317</v>
      </c>
      <c r="AF823" t="s">
        <v>307</v>
      </c>
      <c r="AG823">
        <v>216.9</v>
      </c>
      <c r="AH823">
        <v>27</v>
      </c>
      <c r="AI823">
        <v>15</v>
      </c>
      <c r="AJ823">
        <v>12</v>
      </c>
      <c r="AK823">
        <v>27.2</v>
      </c>
      <c r="AL823">
        <v>218</v>
      </c>
      <c r="AM823">
        <v>3086</v>
      </c>
      <c r="AN823">
        <v>79</v>
      </c>
      <c r="AO823">
        <v>77</v>
      </c>
      <c r="AP823">
        <v>72</v>
      </c>
      <c r="AQ823">
        <v>4</v>
      </c>
      <c r="AR823" t="s">
        <v>29</v>
      </c>
      <c r="AS823" t="s">
        <v>310</v>
      </c>
      <c r="AT823" t="s">
        <v>307</v>
      </c>
      <c r="AU823">
        <v>517.75</v>
      </c>
      <c r="AV823">
        <v>25</v>
      </c>
      <c r="AW823">
        <v>18</v>
      </c>
      <c r="AX823">
        <v>17</v>
      </c>
      <c r="AY823">
        <v>27.6</v>
      </c>
      <c r="AZ823">
        <v>38</v>
      </c>
      <c r="BA823">
        <v>7165</v>
      </c>
      <c r="BB823">
        <v>82</v>
      </c>
      <c r="BC823">
        <v>80</v>
      </c>
      <c r="BD823">
        <v>80</v>
      </c>
      <c r="BE823">
        <v>4.5</v>
      </c>
      <c r="BF823" t="s">
        <v>29</v>
      </c>
      <c r="BG823">
        <v>-13</v>
      </c>
      <c r="BH823">
        <v>12</v>
      </c>
      <c r="BI823">
        <v>0.11799999999999999</v>
      </c>
      <c r="BJ823" t="s">
        <v>322</v>
      </c>
      <c r="BK823">
        <v>0.43590000000000001</v>
      </c>
      <c r="BL823">
        <v>0.58819999999999995</v>
      </c>
      <c r="BM823">
        <v>1.64</v>
      </c>
      <c r="BN823">
        <v>2.02</v>
      </c>
    </row>
    <row r="824" spans="1:66" x14ac:dyDescent="0.25">
      <c r="A824">
        <v>2</v>
      </c>
      <c r="B824">
        <v>0</v>
      </c>
      <c r="C824">
        <v>8</v>
      </c>
      <c r="D824">
        <v>1.6686666666666667</v>
      </c>
      <c r="E824">
        <v>3.9666666666666668</v>
      </c>
      <c r="F824">
        <v>5.0666666666666664</v>
      </c>
      <c r="G824" s="40">
        <v>0.51</v>
      </c>
      <c r="H824" s="40">
        <v>0.28999999999999998</v>
      </c>
      <c r="I824" s="40">
        <v>0.2</v>
      </c>
      <c r="J824">
        <v>1.66</v>
      </c>
      <c r="K824">
        <v>3.9</v>
      </c>
      <c r="L824">
        <v>4.9000000000000004</v>
      </c>
      <c r="M824">
        <v>1.6659999999999999</v>
      </c>
      <c r="N824">
        <v>4</v>
      </c>
      <c r="O824">
        <v>5.25</v>
      </c>
      <c r="P824">
        <v>1.68</v>
      </c>
      <c r="Q824">
        <v>4</v>
      </c>
      <c r="R824">
        <v>5.05</v>
      </c>
      <c r="S824">
        <v>0.59577877377425525</v>
      </c>
      <c r="T824">
        <v>0.2023859681716092</v>
      </c>
      <c r="U824">
        <v>0.20183525805413541</v>
      </c>
      <c r="V824">
        <v>0.57675670479669328</v>
      </c>
      <c r="W824">
        <v>0.24021916754782274</v>
      </c>
      <c r="X824">
        <v>0.18302412765548401</v>
      </c>
      <c r="Y824">
        <v>0.57055699920912883</v>
      </c>
      <c r="Z824">
        <v>0.23963393966783408</v>
      </c>
      <c r="AA824">
        <v>0.18980906112303692</v>
      </c>
      <c r="AB824">
        <v>0.58103082592669242</v>
      </c>
      <c r="AC824">
        <v>0.22741302512908868</v>
      </c>
      <c r="AD824">
        <v>0.19155614894421877</v>
      </c>
      <c r="AE824" t="s">
        <v>311</v>
      </c>
      <c r="AF824" t="s">
        <v>307</v>
      </c>
      <c r="AG824">
        <v>326.60000000000002</v>
      </c>
      <c r="AH824">
        <v>33</v>
      </c>
      <c r="AI824">
        <v>26</v>
      </c>
      <c r="AJ824">
        <v>12</v>
      </c>
      <c r="AK824">
        <v>27.4</v>
      </c>
      <c r="AL824">
        <v>41</v>
      </c>
      <c r="AM824">
        <v>6846</v>
      </c>
      <c r="AN824">
        <v>82</v>
      </c>
      <c r="AO824">
        <v>80</v>
      </c>
      <c r="AP824">
        <v>79</v>
      </c>
      <c r="AQ824">
        <v>4.5</v>
      </c>
      <c r="AR824" t="s">
        <v>46</v>
      </c>
      <c r="AS824" t="s">
        <v>316</v>
      </c>
      <c r="AT824" t="s">
        <v>307</v>
      </c>
      <c r="AU824">
        <v>101.6</v>
      </c>
      <c r="AV824">
        <v>26</v>
      </c>
      <c r="AW824">
        <v>22</v>
      </c>
      <c r="AX824">
        <v>5</v>
      </c>
      <c r="AY824">
        <v>27.4</v>
      </c>
      <c r="AZ824">
        <v>217</v>
      </c>
      <c r="BA824">
        <v>3100</v>
      </c>
      <c r="BB824">
        <v>76</v>
      </c>
      <c r="BC824">
        <v>75</v>
      </c>
      <c r="BD824">
        <v>72</v>
      </c>
      <c r="BE824">
        <v>4</v>
      </c>
      <c r="BF824" t="s">
        <v>29</v>
      </c>
      <c r="BG824">
        <v>33</v>
      </c>
      <c r="BH824">
        <v>158</v>
      </c>
      <c r="BI824">
        <v>0.47399999999999998</v>
      </c>
      <c r="BJ824" t="s">
        <v>322</v>
      </c>
      <c r="BK824">
        <v>0.5</v>
      </c>
      <c r="BL824">
        <v>0.27500000000000002</v>
      </c>
      <c r="BM824">
        <v>1.63</v>
      </c>
      <c r="BN824">
        <v>1.1299999999999999</v>
      </c>
    </row>
    <row r="825" spans="1:66" x14ac:dyDescent="0.25">
      <c r="A825">
        <v>1</v>
      </c>
      <c r="B825">
        <v>1</v>
      </c>
      <c r="C825">
        <v>1</v>
      </c>
      <c r="D825">
        <v>2.1533333333333333</v>
      </c>
      <c r="E825">
        <v>3.6166666666666667</v>
      </c>
      <c r="F825">
        <v>3.2166666666666663</v>
      </c>
      <c r="G825" s="40">
        <v>0.42</v>
      </c>
      <c r="H825" s="40">
        <v>0.36</v>
      </c>
      <c r="I825" s="40">
        <v>0.22000000000000008</v>
      </c>
      <c r="J825">
        <v>2.12</v>
      </c>
      <c r="K825">
        <v>3.65</v>
      </c>
      <c r="L825">
        <v>3.05</v>
      </c>
      <c r="M825">
        <v>2.2000000000000002</v>
      </c>
      <c r="N825">
        <v>3.6</v>
      </c>
      <c r="O825">
        <v>3.3</v>
      </c>
      <c r="P825">
        <v>2.14</v>
      </c>
      <c r="Q825">
        <v>3.6</v>
      </c>
      <c r="R825">
        <v>3.3</v>
      </c>
      <c r="S825">
        <v>0.45178966582522362</v>
      </c>
      <c r="T825">
        <v>0.23417948448642403</v>
      </c>
      <c r="U825">
        <v>0.31403084968835221</v>
      </c>
      <c r="V825">
        <v>0.43902439024390238</v>
      </c>
      <c r="W825">
        <v>0.26829268292682928</v>
      </c>
      <c r="X825">
        <v>0.29268292682926833</v>
      </c>
      <c r="Y825">
        <v>0.44584553028597157</v>
      </c>
      <c r="Z825">
        <v>0.26503039855888311</v>
      </c>
      <c r="AA825">
        <v>0.28912407115514521</v>
      </c>
      <c r="AB825">
        <v>0.44555319545169919</v>
      </c>
      <c r="AC825">
        <v>0.25583418865737878</v>
      </c>
      <c r="AD825">
        <v>0.29861261589092192</v>
      </c>
      <c r="AE825" t="s">
        <v>45</v>
      </c>
      <c r="AF825" t="s">
        <v>23</v>
      </c>
      <c r="AG825">
        <v>88.3</v>
      </c>
      <c r="AH825">
        <v>26</v>
      </c>
      <c r="AI825">
        <v>7</v>
      </c>
      <c r="AJ825">
        <v>4</v>
      </c>
      <c r="AK825">
        <v>25.1</v>
      </c>
      <c r="AL825">
        <v>347</v>
      </c>
      <c r="AM825">
        <v>2156</v>
      </c>
      <c r="AN825">
        <v>72</v>
      </c>
      <c r="AO825">
        <v>73</v>
      </c>
      <c r="AP825">
        <v>72</v>
      </c>
      <c r="AQ825">
        <v>3.5</v>
      </c>
      <c r="AR825" t="s">
        <v>29</v>
      </c>
      <c r="AS825" t="s">
        <v>35</v>
      </c>
      <c r="AT825" t="s">
        <v>23</v>
      </c>
      <c r="AU825">
        <v>93.2</v>
      </c>
      <c r="AV825">
        <v>28</v>
      </c>
      <c r="AW825">
        <v>13</v>
      </c>
      <c r="AX825">
        <v>9</v>
      </c>
      <c r="AY825">
        <v>23.9</v>
      </c>
      <c r="AZ825">
        <v>169</v>
      </c>
      <c r="BA825">
        <v>3749</v>
      </c>
      <c r="BB825">
        <v>74</v>
      </c>
      <c r="BC825">
        <v>74</v>
      </c>
      <c r="BD825">
        <v>73</v>
      </c>
      <c r="BE825">
        <v>3.5</v>
      </c>
      <c r="BF825" t="s">
        <v>29</v>
      </c>
      <c r="BG825">
        <v>-15</v>
      </c>
      <c r="BH825">
        <v>31</v>
      </c>
      <c r="BI825">
        <v>0.28599999999999998</v>
      </c>
      <c r="BJ825" t="s">
        <v>266</v>
      </c>
      <c r="BK825">
        <v>0.3</v>
      </c>
      <c r="BL825">
        <v>0.30769999999999997</v>
      </c>
      <c r="BM825">
        <v>1.3</v>
      </c>
      <c r="BN825">
        <v>1.08</v>
      </c>
    </row>
    <row r="826" spans="1:66" x14ac:dyDescent="0.25">
      <c r="A826">
        <v>1</v>
      </c>
      <c r="B826">
        <v>3</v>
      </c>
      <c r="C826">
        <v>7</v>
      </c>
      <c r="D826">
        <v>1.7290000000000001</v>
      </c>
      <c r="E826">
        <v>3.8833333333333333</v>
      </c>
      <c r="F826">
        <v>4.6000000000000005</v>
      </c>
      <c r="G826" s="40">
        <v>0.42</v>
      </c>
      <c r="H826" s="40">
        <v>0.39</v>
      </c>
      <c r="I826" s="40">
        <v>0.19000000000000006</v>
      </c>
      <c r="J826">
        <v>1.73</v>
      </c>
      <c r="K826">
        <v>3.7</v>
      </c>
      <c r="L826">
        <v>4.4000000000000004</v>
      </c>
      <c r="M826">
        <v>1.7270000000000001</v>
      </c>
      <c r="N826">
        <v>3.95</v>
      </c>
      <c r="O826">
        <v>4.75</v>
      </c>
      <c r="P826">
        <v>1.73</v>
      </c>
      <c r="Q826">
        <v>4</v>
      </c>
      <c r="R826">
        <v>4.6500000000000004</v>
      </c>
      <c r="S826">
        <v>0.5619145336856789</v>
      </c>
      <c r="T826">
        <v>0.2171508882969973</v>
      </c>
      <c r="U826">
        <v>0.22093457801732372</v>
      </c>
      <c r="V826">
        <v>0.55531055955770492</v>
      </c>
      <c r="W826">
        <v>0.24279021173573581</v>
      </c>
      <c r="X826">
        <v>0.20189922870655927</v>
      </c>
      <c r="Y826">
        <v>0.55415692174767983</v>
      </c>
      <c r="Z826">
        <v>0.23967286865587153</v>
      </c>
      <c r="AA826">
        <v>0.20617020959644863</v>
      </c>
      <c r="AB826">
        <v>0.55712733833035466</v>
      </c>
      <c r="AC826">
        <v>0.2332046562295349</v>
      </c>
      <c r="AD826">
        <v>0.20966800544011055</v>
      </c>
      <c r="AE826" t="s">
        <v>36</v>
      </c>
      <c r="AF826" t="s">
        <v>23</v>
      </c>
      <c r="AG826">
        <v>87.7</v>
      </c>
      <c r="AH826">
        <v>27</v>
      </c>
      <c r="AI826">
        <v>15</v>
      </c>
      <c r="AJ826">
        <v>6</v>
      </c>
      <c r="AK826">
        <v>26</v>
      </c>
      <c r="AL826">
        <v>180</v>
      </c>
      <c r="AM826">
        <v>3627</v>
      </c>
      <c r="AN826">
        <v>75</v>
      </c>
      <c r="AO826">
        <v>73</v>
      </c>
      <c r="AP826">
        <v>74</v>
      </c>
      <c r="AQ826">
        <v>3.5</v>
      </c>
      <c r="AR826" t="s">
        <v>29</v>
      </c>
      <c r="AS826" t="s">
        <v>44</v>
      </c>
      <c r="AT826" t="s">
        <v>23</v>
      </c>
      <c r="AU826">
        <v>87.7</v>
      </c>
      <c r="AV826">
        <v>29</v>
      </c>
      <c r="AW826">
        <v>16</v>
      </c>
      <c r="AX826">
        <v>10</v>
      </c>
      <c r="AY826">
        <v>25.1</v>
      </c>
      <c r="AZ826">
        <v>326</v>
      </c>
      <c r="BA826">
        <v>2298</v>
      </c>
      <c r="BB826">
        <v>74</v>
      </c>
      <c r="BC826">
        <v>73</v>
      </c>
      <c r="BD826">
        <v>72</v>
      </c>
      <c r="BE826">
        <v>3.5</v>
      </c>
      <c r="BF826" t="s">
        <v>29</v>
      </c>
      <c r="BG826">
        <v>8</v>
      </c>
      <c r="BH826">
        <v>81</v>
      </c>
      <c r="BI826">
        <v>0.36799999999999999</v>
      </c>
      <c r="BJ826" t="s">
        <v>266</v>
      </c>
      <c r="BK826">
        <v>0.28210000000000002</v>
      </c>
      <c r="BL826">
        <v>0.33329999999999999</v>
      </c>
      <c r="BM826">
        <v>1.26</v>
      </c>
      <c r="BN826">
        <v>1.08</v>
      </c>
    </row>
    <row r="827" spans="1:66" x14ac:dyDescent="0.25">
      <c r="A827">
        <v>3</v>
      </c>
      <c r="B827">
        <v>-2</v>
      </c>
      <c r="C827">
        <v>4</v>
      </c>
      <c r="D827">
        <v>2.5916666666666668</v>
      </c>
      <c r="E827">
        <v>3.35</v>
      </c>
      <c r="F827">
        <v>2.7166666666666668</v>
      </c>
      <c r="G827" s="40">
        <v>0.31</v>
      </c>
      <c r="H827" s="40">
        <v>0.34</v>
      </c>
      <c r="I827" s="40">
        <v>0.34999999999999992</v>
      </c>
      <c r="J827">
        <v>2.5499999999999998</v>
      </c>
      <c r="K827">
        <v>3.25</v>
      </c>
      <c r="L827">
        <v>2.7</v>
      </c>
      <c r="M827">
        <v>2.625</v>
      </c>
      <c r="N827">
        <v>3.4</v>
      </c>
      <c r="O827">
        <v>2.75</v>
      </c>
      <c r="P827">
        <v>2.6</v>
      </c>
      <c r="Q827">
        <v>3.4</v>
      </c>
      <c r="R827">
        <v>2.7</v>
      </c>
      <c r="S827">
        <v>0.37649576807082402</v>
      </c>
      <c r="T827">
        <v>0.26792489541784215</v>
      </c>
      <c r="U827">
        <v>0.35557933651133378</v>
      </c>
      <c r="V827">
        <v>0.36675655797989704</v>
      </c>
      <c r="W827">
        <v>0.2831576366756558</v>
      </c>
      <c r="X827">
        <v>0.35008580534444717</v>
      </c>
      <c r="Y827">
        <v>0.3666134185303514</v>
      </c>
      <c r="Z827">
        <v>0.28035143769968052</v>
      </c>
      <c r="AA827">
        <v>0.35303514376996803</v>
      </c>
      <c r="AB827">
        <v>0.3699552481936908</v>
      </c>
      <c r="AC827">
        <v>0.27714465659772619</v>
      </c>
      <c r="AD827">
        <v>0.35290009520858301</v>
      </c>
      <c r="AE827" t="s">
        <v>48</v>
      </c>
      <c r="AF827" t="s">
        <v>23</v>
      </c>
      <c r="AG827">
        <v>85.63</v>
      </c>
      <c r="AH827">
        <v>28</v>
      </c>
      <c r="AI827">
        <v>16</v>
      </c>
      <c r="AJ827">
        <v>8</v>
      </c>
      <c r="AK827">
        <v>25</v>
      </c>
      <c r="AL827">
        <v>426</v>
      </c>
      <c r="AM827">
        <v>1736</v>
      </c>
      <c r="AN827">
        <v>70</v>
      </c>
      <c r="AO827">
        <v>70</v>
      </c>
      <c r="AP827">
        <v>73</v>
      </c>
      <c r="AQ827">
        <v>3.5</v>
      </c>
      <c r="AR827" t="s">
        <v>46</v>
      </c>
      <c r="AS827" t="s">
        <v>38</v>
      </c>
      <c r="AT827" t="s">
        <v>23</v>
      </c>
      <c r="AU827">
        <v>88.7</v>
      </c>
      <c r="AV827">
        <v>24</v>
      </c>
      <c r="AW827">
        <v>10</v>
      </c>
      <c r="AX827">
        <v>5</v>
      </c>
      <c r="AY827">
        <v>25.1</v>
      </c>
      <c r="AZ827">
        <v>228</v>
      </c>
      <c r="BA827">
        <v>3029</v>
      </c>
      <c r="BB827">
        <v>80</v>
      </c>
      <c r="BC827">
        <v>76</v>
      </c>
      <c r="BD827">
        <v>73</v>
      </c>
      <c r="BE827">
        <v>4</v>
      </c>
      <c r="BF827" t="s">
        <v>29</v>
      </c>
      <c r="BG827">
        <v>3</v>
      </c>
      <c r="BH827">
        <v>73</v>
      </c>
      <c r="BI827">
        <v>0.4</v>
      </c>
      <c r="BJ827" t="s">
        <v>266</v>
      </c>
      <c r="BK827">
        <v>0.34150000000000003</v>
      </c>
      <c r="BL827">
        <v>0.41860000000000003</v>
      </c>
      <c r="BM827">
        <v>1.22</v>
      </c>
      <c r="BN827">
        <v>1.6</v>
      </c>
    </row>
    <row r="828" spans="1:66" x14ac:dyDescent="0.25">
      <c r="A828">
        <v>3</v>
      </c>
      <c r="B828">
        <v>-1</v>
      </c>
      <c r="C828">
        <v>3</v>
      </c>
      <c r="D828">
        <v>1.4666666666666668</v>
      </c>
      <c r="E828">
        <v>4.6333333333333337</v>
      </c>
      <c r="F828">
        <v>6.333333333333333</v>
      </c>
      <c r="G828" s="40">
        <v>0.42</v>
      </c>
      <c r="H828" s="40">
        <v>0.38</v>
      </c>
      <c r="I828" s="40">
        <v>0.20000000000000007</v>
      </c>
      <c r="J828">
        <v>1.42</v>
      </c>
      <c r="K828">
        <v>4.5</v>
      </c>
      <c r="L828">
        <v>6.5</v>
      </c>
      <c r="M828">
        <v>1.5</v>
      </c>
      <c r="N828">
        <v>4.75</v>
      </c>
      <c r="O828">
        <v>6.25</v>
      </c>
      <c r="P828">
        <v>1.48</v>
      </c>
      <c r="Q828">
        <v>4.6500000000000004</v>
      </c>
      <c r="R828">
        <v>6.25</v>
      </c>
      <c r="S828">
        <v>0.68978271239638567</v>
      </c>
      <c r="T828">
        <v>0.15952629504932697</v>
      </c>
      <c r="U828">
        <v>0.15069099255428731</v>
      </c>
      <c r="V828">
        <v>0.64276048714479028</v>
      </c>
      <c r="W828">
        <v>0.20297699594046009</v>
      </c>
      <c r="X828">
        <v>0.15426251691474965</v>
      </c>
      <c r="Y828">
        <v>0.64305391142727542</v>
      </c>
      <c r="Z828">
        <v>0.20467092234674572</v>
      </c>
      <c r="AA828">
        <v>0.15227516622597884</v>
      </c>
      <c r="AB828">
        <v>0.65853237032281708</v>
      </c>
      <c r="AC828">
        <v>0.18905807111217757</v>
      </c>
      <c r="AD828">
        <v>0.15240955856500527</v>
      </c>
      <c r="AE828" t="s">
        <v>30</v>
      </c>
      <c r="AF828" t="s">
        <v>23</v>
      </c>
      <c r="AG828">
        <v>348.55</v>
      </c>
      <c r="AH828">
        <v>30</v>
      </c>
      <c r="AI828">
        <v>19</v>
      </c>
      <c r="AJ828">
        <v>14</v>
      </c>
      <c r="AK828">
        <v>25.2</v>
      </c>
      <c r="AL828">
        <v>60</v>
      </c>
      <c r="AM828">
        <v>6154</v>
      </c>
      <c r="AN828">
        <v>79</v>
      </c>
      <c r="AO828">
        <v>79</v>
      </c>
      <c r="AP828">
        <v>77</v>
      </c>
      <c r="AQ828">
        <v>4</v>
      </c>
      <c r="AR828" t="s">
        <v>29</v>
      </c>
      <c r="AS828" t="s">
        <v>37</v>
      </c>
      <c r="AT828" t="s">
        <v>23</v>
      </c>
      <c r="AU828">
        <v>90.78</v>
      </c>
      <c r="AV828">
        <v>27</v>
      </c>
      <c r="AW828">
        <v>19</v>
      </c>
      <c r="AX828">
        <v>10</v>
      </c>
      <c r="AY828">
        <v>24.4</v>
      </c>
      <c r="AZ828">
        <v>223</v>
      </c>
      <c r="BA828">
        <v>3054</v>
      </c>
      <c r="BB828">
        <v>73</v>
      </c>
      <c r="BC828">
        <v>73</v>
      </c>
      <c r="BD828">
        <v>74</v>
      </c>
      <c r="BE828">
        <v>3.5</v>
      </c>
      <c r="BF828" t="s">
        <v>29</v>
      </c>
      <c r="BG828">
        <v>7</v>
      </c>
      <c r="BH828">
        <v>24</v>
      </c>
      <c r="BI828">
        <v>0.5</v>
      </c>
      <c r="BJ828" t="s">
        <v>266</v>
      </c>
      <c r="BK828">
        <v>0.57140000000000002</v>
      </c>
      <c r="BL828">
        <v>0.24390000000000001</v>
      </c>
      <c r="BM828">
        <v>2.21</v>
      </c>
      <c r="BN828">
        <v>1.1200000000000001</v>
      </c>
    </row>
    <row r="829" spans="1:66" x14ac:dyDescent="0.25">
      <c r="A829">
        <v>3</v>
      </c>
      <c r="B829">
        <v>-1</v>
      </c>
      <c r="C829">
        <v>1</v>
      </c>
      <c r="D829">
        <v>3.15</v>
      </c>
      <c r="E829">
        <v>3.4333333333333336</v>
      </c>
      <c r="F829">
        <v>2.2499999999999996</v>
      </c>
      <c r="G829" s="40">
        <v>0.25</v>
      </c>
      <c r="H829" s="40">
        <v>0.39</v>
      </c>
      <c r="I829" s="40">
        <v>0.36</v>
      </c>
      <c r="J829">
        <v>3.1</v>
      </c>
      <c r="K829">
        <v>3.45</v>
      </c>
      <c r="L829">
        <v>2.15</v>
      </c>
      <c r="M829">
        <v>3.2</v>
      </c>
      <c r="N829">
        <v>3.45</v>
      </c>
      <c r="O829">
        <v>2.2999999999999998</v>
      </c>
      <c r="P829">
        <v>3.15</v>
      </c>
      <c r="Q829">
        <v>3.4</v>
      </c>
      <c r="R829">
        <v>2.2999999999999998</v>
      </c>
      <c r="S829">
        <v>0.30797135150218585</v>
      </c>
      <c r="T829">
        <v>0.24797693237838339</v>
      </c>
      <c r="U829">
        <v>0.44405171611943084</v>
      </c>
      <c r="V829">
        <v>0.30131004366812225</v>
      </c>
      <c r="W829">
        <v>0.27947598253275108</v>
      </c>
      <c r="X829">
        <v>0.41921397379912667</v>
      </c>
      <c r="Y829">
        <v>0.30339476236663432</v>
      </c>
      <c r="Z829">
        <v>0.28108632395732303</v>
      </c>
      <c r="AA829">
        <v>0.41551891367604271</v>
      </c>
      <c r="AB829">
        <v>0.30422538584564746</v>
      </c>
      <c r="AC829">
        <v>0.26951307962281917</v>
      </c>
      <c r="AD829">
        <v>0.42626153453153343</v>
      </c>
      <c r="AE829" t="s">
        <v>39</v>
      </c>
      <c r="AF829" t="s">
        <v>23</v>
      </c>
      <c r="AG829">
        <v>87.45</v>
      </c>
      <c r="AH829">
        <v>29</v>
      </c>
      <c r="AI829">
        <v>14</v>
      </c>
      <c r="AJ829">
        <v>7</v>
      </c>
      <c r="AK829">
        <v>26.2</v>
      </c>
      <c r="AL829">
        <v>229</v>
      </c>
      <c r="AM829">
        <v>3029</v>
      </c>
      <c r="AN829">
        <v>71</v>
      </c>
      <c r="AO829">
        <v>73</v>
      </c>
      <c r="AP829">
        <v>73</v>
      </c>
      <c r="AQ829">
        <v>3.5</v>
      </c>
      <c r="AR829" t="s">
        <v>29</v>
      </c>
      <c r="AS829" t="s">
        <v>34</v>
      </c>
      <c r="AT829" t="s">
        <v>23</v>
      </c>
      <c r="AU829">
        <v>262.89999999999998</v>
      </c>
      <c r="AV829">
        <v>31</v>
      </c>
      <c r="AW829">
        <v>18</v>
      </c>
      <c r="AX829">
        <v>8</v>
      </c>
      <c r="AY829">
        <v>23.3</v>
      </c>
      <c r="AZ829">
        <v>145</v>
      </c>
      <c r="BA829">
        <v>4008</v>
      </c>
      <c r="BB829">
        <v>77</v>
      </c>
      <c r="BC829">
        <v>76</v>
      </c>
      <c r="BD829">
        <v>76</v>
      </c>
      <c r="BE829">
        <v>4</v>
      </c>
      <c r="BF829" t="s">
        <v>29</v>
      </c>
      <c r="BG829">
        <v>-20</v>
      </c>
      <c r="BH829">
        <v>76</v>
      </c>
      <c r="BI829">
        <v>0.313</v>
      </c>
      <c r="BJ829" t="s">
        <v>266</v>
      </c>
      <c r="BK829">
        <v>0.24390000000000001</v>
      </c>
      <c r="BL829">
        <v>0.38300000000000001</v>
      </c>
      <c r="BM829">
        <v>1.24</v>
      </c>
      <c r="BN829">
        <v>1.28</v>
      </c>
    </row>
    <row r="830" spans="1:66" x14ac:dyDescent="0.25">
      <c r="A830">
        <v>2</v>
      </c>
      <c r="B830">
        <v>0</v>
      </c>
      <c r="C830">
        <v>0</v>
      </c>
      <c r="D830">
        <v>1.4213333333333333</v>
      </c>
      <c r="E830">
        <v>5.0666666666666664</v>
      </c>
      <c r="F830">
        <v>6.6333333333333329</v>
      </c>
      <c r="G830" s="40">
        <v>0.44</v>
      </c>
      <c r="H830" s="40">
        <v>0.3</v>
      </c>
      <c r="I830" s="40">
        <v>0.26000000000000006</v>
      </c>
      <c r="J830">
        <v>1.37</v>
      </c>
      <c r="K830">
        <v>5.0999999999999996</v>
      </c>
      <c r="L830">
        <v>6.5</v>
      </c>
      <c r="M830">
        <v>1.444</v>
      </c>
      <c r="N830">
        <v>5</v>
      </c>
      <c r="O830">
        <v>7</v>
      </c>
      <c r="P830">
        <v>1.45</v>
      </c>
      <c r="Q830">
        <v>5.0999999999999996</v>
      </c>
      <c r="R830">
        <v>6.4</v>
      </c>
      <c r="S830">
        <v>0.70989915072914445</v>
      </c>
      <c r="T830">
        <v>0.14047595134794344</v>
      </c>
      <c r="U830">
        <v>0.14962489792291203</v>
      </c>
      <c r="V830">
        <v>0.66885797278703574</v>
      </c>
      <c r="W830">
        <v>0.1931661825408959</v>
      </c>
      <c r="X830">
        <v>0.1379758446720685</v>
      </c>
      <c r="Y830">
        <v>0.66186758592720274</v>
      </c>
      <c r="Z830">
        <v>0.18817803913616546</v>
      </c>
      <c r="AA830">
        <v>0.14995437493663183</v>
      </c>
      <c r="AB830">
        <v>0.6802082364811276</v>
      </c>
      <c r="AC830">
        <v>0.17394005767500162</v>
      </c>
      <c r="AD830">
        <v>0.14585170584387078</v>
      </c>
      <c r="AE830" t="s">
        <v>10</v>
      </c>
      <c r="AF830" t="s">
        <v>23</v>
      </c>
      <c r="AG830">
        <v>997.75</v>
      </c>
      <c r="AH830">
        <v>35</v>
      </c>
      <c r="AI830">
        <v>24</v>
      </c>
      <c r="AJ830">
        <v>19</v>
      </c>
      <c r="AK830">
        <v>26.1</v>
      </c>
      <c r="AL830">
        <v>12</v>
      </c>
      <c r="AM830">
        <v>9495</v>
      </c>
      <c r="AN830">
        <v>87</v>
      </c>
      <c r="AO830">
        <v>82</v>
      </c>
      <c r="AP830">
        <v>82</v>
      </c>
      <c r="AQ830">
        <v>5</v>
      </c>
      <c r="AR830" t="s">
        <v>28</v>
      </c>
      <c r="AS830" t="s">
        <v>40</v>
      </c>
      <c r="AT830" t="s">
        <v>23</v>
      </c>
      <c r="AU830">
        <v>218.25</v>
      </c>
      <c r="AV830">
        <v>26</v>
      </c>
      <c r="AW830">
        <v>17</v>
      </c>
      <c r="AX830">
        <v>8</v>
      </c>
      <c r="AY830">
        <v>24.1</v>
      </c>
      <c r="AZ830">
        <v>255</v>
      </c>
      <c r="BA830">
        <v>2803</v>
      </c>
      <c r="BB830">
        <v>77</v>
      </c>
      <c r="BC830">
        <v>74</v>
      </c>
      <c r="BD830">
        <v>73</v>
      </c>
      <c r="BE830">
        <v>4</v>
      </c>
      <c r="BF830" t="s">
        <v>28</v>
      </c>
      <c r="BG830">
        <v>28</v>
      </c>
      <c r="BH830">
        <v>100</v>
      </c>
      <c r="BI830">
        <v>0.45900000000000002</v>
      </c>
      <c r="BJ830" t="s">
        <v>266</v>
      </c>
      <c r="BK830">
        <v>0.66669999999999996</v>
      </c>
      <c r="BL830">
        <v>0.36959999999999998</v>
      </c>
      <c r="BM830">
        <v>2.21</v>
      </c>
      <c r="BN830">
        <v>1.33</v>
      </c>
    </row>
    <row r="831" spans="1:66" x14ac:dyDescent="0.25">
      <c r="A831">
        <v>3</v>
      </c>
      <c r="B831">
        <v>-1</v>
      </c>
      <c r="C831">
        <v>3</v>
      </c>
      <c r="D831">
        <v>2.0499999999999998</v>
      </c>
      <c r="E831">
        <v>3.4833333333333329</v>
      </c>
      <c r="F831">
        <v>3.5833333333333335</v>
      </c>
      <c r="G831" s="40">
        <v>0.48</v>
      </c>
      <c r="H831" s="40">
        <v>0.37</v>
      </c>
      <c r="I831" s="40">
        <v>0.15000000000000002</v>
      </c>
      <c r="J831">
        <v>2.02</v>
      </c>
      <c r="K831">
        <v>3.4</v>
      </c>
      <c r="L831">
        <v>3.5</v>
      </c>
      <c r="M831">
        <v>2.0499999999999998</v>
      </c>
      <c r="N831">
        <v>3.55</v>
      </c>
      <c r="O831">
        <v>3.7</v>
      </c>
      <c r="P831">
        <v>2.08</v>
      </c>
      <c r="Q831">
        <v>3.5</v>
      </c>
      <c r="R831">
        <v>3.55</v>
      </c>
      <c r="S831">
        <v>0.47649509562707082</v>
      </c>
      <c r="T831">
        <v>0.24849916346816259</v>
      </c>
      <c r="U831">
        <v>0.27500574090476654</v>
      </c>
      <c r="V831">
        <v>0.46914903116349671</v>
      </c>
      <c r="W831">
        <v>0.27091704616483614</v>
      </c>
      <c r="X831">
        <v>0.25993392267166709</v>
      </c>
      <c r="Y831">
        <v>0.45867326220975307</v>
      </c>
      <c r="Z831">
        <v>0.27258296725608178</v>
      </c>
      <c r="AA831">
        <v>0.26874377053416515</v>
      </c>
      <c r="AB831">
        <v>0.46810579633344024</v>
      </c>
      <c r="AC831">
        <v>0.26399972562969348</v>
      </c>
      <c r="AD831">
        <v>0.26789447803686622</v>
      </c>
      <c r="AE831" t="s">
        <v>32</v>
      </c>
      <c r="AF831" t="s">
        <v>23</v>
      </c>
      <c r="AG831">
        <v>189.65</v>
      </c>
      <c r="AH831">
        <v>29</v>
      </c>
      <c r="AI831">
        <v>11</v>
      </c>
      <c r="AJ831">
        <v>7</v>
      </c>
      <c r="AK831">
        <v>23.6</v>
      </c>
      <c r="AL831">
        <v>102</v>
      </c>
      <c r="AM831">
        <v>4815</v>
      </c>
      <c r="AN831">
        <v>75</v>
      </c>
      <c r="AO831">
        <v>76</v>
      </c>
      <c r="AP831">
        <v>76</v>
      </c>
      <c r="AQ831">
        <v>4</v>
      </c>
      <c r="AR831" t="s">
        <v>29</v>
      </c>
      <c r="AS831" t="s">
        <v>33</v>
      </c>
      <c r="AT831" t="s">
        <v>23</v>
      </c>
      <c r="AU831">
        <v>272</v>
      </c>
      <c r="AV831">
        <v>26</v>
      </c>
      <c r="AW831">
        <v>20</v>
      </c>
      <c r="AX831">
        <v>12</v>
      </c>
      <c r="AY831">
        <v>25.4</v>
      </c>
      <c r="AZ831">
        <v>131</v>
      </c>
      <c r="BA831">
        <v>4207</v>
      </c>
      <c r="BB831">
        <v>78</v>
      </c>
      <c r="BC831">
        <v>78</v>
      </c>
      <c r="BD831">
        <v>78</v>
      </c>
      <c r="BE831">
        <v>4</v>
      </c>
      <c r="BF831" t="s">
        <v>29</v>
      </c>
      <c r="BG831">
        <v>-4</v>
      </c>
      <c r="BH831">
        <v>73</v>
      </c>
      <c r="BI831">
        <v>0.28999999999999998</v>
      </c>
      <c r="BJ831" t="s">
        <v>266</v>
      </c>
      <c r="BK831">
        <v>0.35560000000000003</v>
      </c>
      <c r="BL831">
        <v>0.59179999999999999</v>
      </c>
      <c r="BM831">
        <v>1.24</v>
      </c>
      <c r="BN831">
        <v>1.71</v>
      </c>
    </row>
    <row r="832" spans="1:66" x14ac:dyDescent="0.25">
      <c r="A832">
        <v>1</v>
      </c>
      <c r="B832">
        <v>3</v>
      </c>
      <c r="C832">
        <v>5</v>
      </c>
      <c r="D832">
        <v>2.5299999999999998</v>
      </c>
      <c r="E832">
        <v>2.9033333333333338</v>
      </c>
      <c r="F832">
        <v>3.0166666666666671</v>
      </c>
      <c r="G832" s="40">
        <v>0.3</v>
      </c>
      <c r="H832" s="40">
        <v>0.28000000000000003</v>
      </c>
      <c r="I832" s="40">
        <v>0.41999999999999993</v>
      </c>
      <c r="J832">
        <v>2.48</v>
      </c>
      <c r="K832">
        <v>2.95</v>
      </c>
      <c r="L832">
        <v>2.85</v>
      </c>
      <c r="M832">
        <v>2.5499999999999998</v>
      </c>
      <c r="N832">
        <v>2.9</v>
      </c>
      <c r="O832">
        <v>3.1</v>
      </c>
      <c r="P832">
        <v>2.56</v>
      </c>
      <c r="Q832">
        <v>2.86</v>
      </c>
      <c r="R832">
        <v>3.1</v>
      </c>
      <c r="S832">
        <v>0.37839212815326767</v>
      </c>
      <c r="T832">
        <v>0.2923403357695028</v>
      </c>
      <c r="U832">
        <v>0.32926753607722942</v>
      </c>
      <c r="V832">
        <v>0.37011115685467272</v>
      </c>
      <c r="W832">
        <v>0.32544256895841911</v>
      </c>
      <c r="X832">
        <v>0.30444627418690817</v>
      </c>
      <c r="Y832">
        <v>0.36752391848646138</v>
      </c>
      <c r="Z832">
        <v>0.32897245850536411</v>
      </c>
      <c r="AA832">
        <v>0.30350362300817457</v>
      </c>
      <c r="AB832">
        <v>0.3720090678314672</v>
      </c>
      <c r="AC832">
        <v>0.31558512107776199</v>
      </c>
      <c r="AD832">
        <v>0.31240581109077076</v>
      </c>
      <c r="AE832" t="s">
        <v>102</v>
      </c>
      <c r="AF832" t="s">
        <v>85</v>
      </c>
      <c r="AG832">
        <v>27.13</v>
      </c>
      <c r="AH832">
        <v>27</v>
      </c>
      <c r="AI832">
        <v>2</v>
      </c>
      <c r="AJ832">
        <v>0</v>
      </c>
      <c r="AK832">
        <v>25.3</v>
      </c>
      <c r="AL832">
        <v>232</v>
      </c>
      <c r="AM832">
        <v>3005</v>
      </c>
      <c r="AN832">
        <v>65</v>
      </c>
      <c r="AO832">
        <v>70</v>
      </c>
      <c r="AP832">
        <v>65</v>
      </c>
      <c r="AQ832">
        <v>3</v>
      </c>
      <c r="AR832" t="s">
        <v>46</v>
      </c>
      <c r="AS832" t="s">
        <v>87</v>
      </c>
      <c r="AT832" t="s">
        <v>85</v>
      </c>
      <c r="AU832">
        <v>41.68</v>
      </c>
      <c r="AV832">
        <v>25</v>
      </c>
      <c r="AW832">
        <v>4</v>
      </c>
      <c r="AX832">
        <v>0</v>
      </c>
      <c r="AY832">
        <v>26.2</v>
      </c>
      <c r="AZ832">
        <v>67</v>
      </c>
      <c r="BA832">
        <v>5744</v>
      </c>
      <c r="BB832">
        <v>73</v>
      </c>
      <c r="BC832">
        <v>74</v>
      </c>
      <c r="BD832">
        <v>71</v>
      </c>
      <c r="BE832">
        <v>3.5</v>
      </c>
      <c r="BF832" t="s">
        <v>29</v>
      </c>
      <c r="BG832">
        <v>8</v>
      </c>
      <c r="BH832">
        <v>36</v>
      </c>
      <c r="BI832">
        <v>0.435</v>
      </c>
      <c r="BJ832" t="s">
        <v>85</v>
      </c>
      <c r="BK832">
        <v>0.3846</v>
      </c>
      <c r="BL832">
        <v>0.42220000000000002</v>
      </c>
      <c r="BM832">
        <v>1.1299999999999999</v>
      </c>
      <c r="BN832">
        <v>1.22</v>
      </c>
    </row>
    <row r="833" spans="1:66" x14ac:dyDescent="0.25">
      <c r="A833">
        <v>3</v>
      </c>
      <c r="B833">
        <v>-1</v>
      </c>
      <c r="C833">
        <v>5</v>
      </c>
      <c r="D833">
        <v>4.0333333333333332</v>
      </c>
      <c r="E833">
        <v>3.4666666666666668</v>
      </c>
      <c r="F833">
        <v>1.8633333333333333</v>
      </c>
      <c r="G833" s="40">
        <v>0.21</v>
      </c>
      <c r="H833" s="40">
        <v>0.28999999999999998</v>
      </c>
      <c r="I833" s="40">
        <v>0.5</v>
      </c>
      <c r="J833">
        <v>4.0999999999999996</v>
      </c>
      <c r="K833">
        <v>3.4</v>
      </c>
      <c r="L833">
        <v>1.74</v>
      </c>
      <c r="M833">
        <v>3.9</v>
      </c>
      <c r="N833">
        <v>3.5</v>
      </c>
      <c r="O833">
        <v>1.95</v>
      </c>
      <c r="P833">
        <v>4.0999999999999996</v>
      </c>
      <c r="Q833">
        <v>3.5</v>
      </c>
      <c r="R833">
        <v>1.9</v>
      </c>
      <c r="S833">
        <v>0.22797361178778822</v>
      </c>
      <c r="T833">
        <v>0.23484718802259583</v>
      </c>
      <c r="U833">
        <v>0.53717920018961585</v>
      </c>
      <c r="V833">
        <v>0.24305555555555552</v>
      </c>
      <c r="W833">
        <v>0.27083333333333331</v>
      </c>
      <c r="X833">
        <v>0.48611111111111105</v>
      </c>
      <c r="Y833">
        <v>0.23098298020145885</v>
      </c>
      <c r="Z833">
        <v>0.27058006252170891</v>
      </c>
      <c r="AA833">
        <v>0.49843695727683224</v>
      </c>
      <c r="AB833">
        <v>0.23400404918160086</v>
      </c>
      <c r="AC833">
        <v>0.25875352795921269</v>
      </c>
      <c r="AD833">
        <v>0.50724242285918641</v>
      </c>
      <c r="AE833" t="s">
        <v>117</v>
      </c>
      <c r="AF833" t="s">
        <v>108</v>
      </c>
      <c r="AG833">
        <v>24.33</v>
      </c>
      <c r="AH833">
        <v>30</v>
      </c>
      <c r="AI833">
        <v>6</v>
      </c>
      <c r="AJ833">
        <v>0</v>
      </c>
      <c r="AK833">
        <v>27.8</v>
      </c>
      <c r="AL833">
        <v>84</v>
      </c>
      <c r="AM833">
        <v>5249</v>
      </c>
      <c r="AN833">
        <v>69</v>
      </c>
      <c r="AO833">
        <v>71</v>
      </c>
      <c r="AP833">
        <v>71</v>
      </c>
      <c r="AQ833">
        <v>3.5</v>
      </c>
      <c r="AR833" t="s">
        <v>28</v>
      </c>
      <c r="AS833" t="s">
        <v>113</v>
      </c>
      <c r="AT833" t="s">
        <v>108</v>
      </c>
      <c r="AU833">
        <v>98.45</v>
      </c>
      <c r="AV833">
        <v>29</v>
      </c>
      <c r="AW833">
        <v>8</v>
      </c>
      <c r="AX833">
        <v>7</v>
      </c>
      <c r="AY833">
        <v>27.3</v>
      </c>
      <c r="AZ833">
        <v>33</v>
      </c>
      <c r="BA833">
        <v>7418</v>
      </c>
      <c r="BB833">
        <v>81</v>
      </c>
      <c r="BC833">
        <v>75</v>
      </c>
      <c r="BD833">
        <v>75</v>
      </c>
      <c r="BE833">
        <v>4</v>
      </c>
      <c r="BF833" t="s">
        <v>29</v>
      </c>
      <c r="BG833">
        <v>-13</v>
      </c>
      <c r="BH833">
        <v>22</v>
      </c>
      <c r="BI833">
        <v>0.17399999999999999</v>
      </c>
      <c r="BJ833" t="s">
        <v>108</v>
      </c>
      <c r="BK833">
        <v>0.40279999999999999</v>
      </c>
      <c r="BL833">
        <v>0.54390000000000005</v>
      </c>
      <c r="BM833">
        <v>1.33</v>
      </c>
      <c r="BN833">
        <v>1.68</v>
      </c>
    </row>
    <row r="834" spans="1:66" x14ac:dyDescent="0.25">
      <c r="A834">
        <v>1</v>
      </c>
      <c r="B834">
        <v>3</v>
      </c>
      <c r="C834">
        <v>3</v>
      </c>
      <c r="D834">
        <v>2.3666666666666667</v>
      </c>
      <c r="E834">
        <v>3.15</v>
      </c>
      <c r="F834">
        <v>2.9833333333333329</v>
      </c>
      <c r="G834" s="40">
        <v>0.31</v>
      </c>
      <c r="H834" s="40">
        <v>0.35</v>
      </c>
      <c r="I834" s="40">
        <v>0.33999999999999997</v>
      </c>
      <c r="J834">
        <v>2.2999999999999998</v>
      </c>
      <c r="K834">
        <v>3.05</v>
      </c>
      <c r="L834">
        <v>2.85</v>
      </c>
      <c r="M834">
        <v>2.4</v>
      </c>
      <c r="N834">
        <v>3.2</v>
      </c>
      <c r="O834">
        <v>3.05</v>
      </c>
      <c r="P834">
        <v>2.4</v>
      </c>
      <c r="Q834">
        <v>3.2</v>
      </c>
      <c r="R834">
        <v>3.05</v>
      </c>
      <c r="S834">
        <v>0.39879958802429233</v>
      </c>
      <c r="T834">
        <v>0.27936214795610326</v>
      </c>
      <c r="U834">
        <v>0.3218382640196043</v>
      </c>
      <c r="V834">
        <v>0.394184168012924</v>
      </c>
      <c r="W834">
        <v>0.29563812600969303</v>
      </c>
      <c r="X834">
        <v>0.31017770597738287</v>
      </c>
      <c r="Y834">
        <v>0.394184168012924</v>
      </c>
      <c r="Z834">
        <v>0.29563812600969303</v>
      </c>
      <c r="AA834">
        <v>0.31017770597738287</v>
      </c>
      <c r="AB834">
        <v>0.39572264135004676</v>
      </c>
      <c r="AC834">
        <v>0.29021279999182975</v>
      </c>
      <c r="AD834">
        <v>0.31406455865812338</v>
      </c>
      <c r="AE834" t="s">
        <v>110</v>
      </c>
      <c r="AF834" t="s">
        <v>108</v>
      </c>
      <c r="AG834">
        <v>84.95</v>
      </c>
      <c r="AH834">
        <v>33</v>
      </c>
      <c r="AI834">
        <v>5</v>
      </c>
      <c r="AJ834">
        <v>4</v>
      </c>
      <c r="AK834">
        <v>26.9</v>
      </c>
      <c r="AL834">
        <v>9</v>
      </c>
      <c r="AM834">
        <v>10366</v>
      </c>
      <c r="AN834">
        <v>75</v>
      </c>
      <c r="AO834">
        <v>72</v>
      </c>
      <c r="AP834">
        <v>75</v>
      </c>
      <c r="AQ834">
        <v>3.5</v>
      </c>
      <c r="AR834" t="s">
        <v>29</v>
      </c>
      <c r="AS834" t="s">
        <v>116</v>
      </c>
      <c r="AT834" t="s">
        <v>108</v>
      </c>
      <c r="AU834">
        <v>83.05</v>
      </c>
      <c r="AV834">
        <v>34</v>
      </c>
      <c r="AW834">
        <v>9</v>
      </c>
      <c r="AX834">
        <v>5</v>
      </c>
      <c r="AY834">
        <v>26.4</v>
      </c>
      <c r="AZ834">
        <v>75</v>
      </c>
      <c r="BA834">
        <v>5476</v>
      </c>
      <c r="BB834">
        <v>78</v>
      </c>
      <c r="BC834">
        <v>75</v>
      </c>
      <c r="BD834">
        <v>76</v>
      </c>
      <c r="BE834">
        <v>4</v>
      </c>
      <c r="BF834" t="s">
        <v>29</v>
      </c>
      <c r="BG834">
        <v>-5</v>
      </c>
      <c r="BH834">
        <v>57</v>
      </c>
      <c r="BI834">
        <v>0.34100000000000003</v>
      </c>
      <c r="BJ834" t="s">
        <v>108</v>
      </c>
      <c r="BK834">
        <v>0.47299999999999998</v>
      </c>
      <c r="BL834">
        <v>0.44619999999999999</v>
      </c>
      <c r="BM834">
        <v>1.36</v>
      </c>
      <c r="BN834">
        <v>1.69</v>
      </c>
    </row>
    <row r="835" spans="1:66" x14ac:dyDescent="0.25">
      <c r="A835">
        <v>2</v>
      </c>
      <c r="B835">
        <v>0</v>
      </c>
      <c r="C835">
        <v>4</v>
      </c>
      <c r="D835">
        <v>1.9666666666666668</v>
      </c>
      <c r="E835">
        <v>3.5833333333333335</v>
      </c>
      <c r="F835">
        <v>3.6166666666666667</v>
      </c>
      <c r="G835" s="40">
        <v>0.38</v>
      </c>
      <c r="H835" s="40">
        <v>0.26</v>
      </c>
      <c r="I835" s="40">
        <v>0.36</v>
      </c>
      <c r="J835">
        <v>1.92</v>
      </c>
      <c r="K835">
        <v>3.5</v>
      </c>
      <c r="L835">
        <v>3.4</v>
      </c>
      <c r="M835">
        <v>2</v>
      </c>
      <c r="N835">
        <v>3.65</v>
      </c>
      <c r="O835">
        <v>3.8</v>
      </c>
      <c r="P835">
        <v>1.98</v>
      </c>
      <c r="Q835">
        <v>3.6</v>
      </c>
      <c r="R835">
        <v>3.65</v>
      </c>
      <c r="S835">
        <v>0.48732574721341054</v>
      </c>
      <c r="T835">
        <v>0.2374785367131341</v>
      </c>
      <c r="U835">
        <v>0.27519571607345539</v>
      </c>
      <c r="V835">
        <v>0.4820994091067084</v>
      </c>
      <c r="W835">
        <v>0.26416405978449775</v>
      </c>
      <c r="X835">
        <v>0.25373653110879391</v>
      </c>
      <c r="Y835">
        <v>0.47790507364975449</v>
      </c>
      <c r="Z835">
        <v>0.26284779050736495</v>
      </c>
      <c r="AA835">
        <v>0.25924713584288051</v>
      </c>
      <c r="AB835">
        <v>0.48244340998995777</v>
      </c>
      <c r="AC835">
        <v>0.25483012900166563</v>
      </c>
      <c r="AD835">
        <v>0.2627264610083766</v>
      </c>
      <c r="AE835" t="s">
        <v>168</v>
      </c>
      <c r="AF835" t="s">
        <v>160</v>
      </c>
      <c r="AG835">
        <v>38.229999999999997</v>
      </c>
      <c r="AH835">
        <v>26</v>
      </c>
      <c r="AI835">
        <v>12</v>
      </c>
      <c r="AJ835">
        <v>5</v>
      </c>
      <c r="AK835">
        <v>26.9</v>
      </c>
      <c r="AL835">
        <v>302</v>
      </c>
      <c r="AM835">
        <v>2441</v>
      </c>
      <c r="AN835">
        <v>72</v>
      </c>
      <c r="AO835">
        <v>67</v>
      </c>
      <c r="AP835">
        <v>66</v>
      </c>
      <c r="AQ835">
        <v>2.5</v>
      </c>
      <c r="AR835" t="s">
        <v>29</v>
      </c>
      <c r="AS835" t="s">
        <v>161</v>
      </c>
      <c r="AT835" t="s">
        <v>160</v>
      </c>
      <c r="AU835">
        <v>47.3</v>
      </c>
      <c r="AV835">
        <v>26</v>
      </c>
      <c r="AW835">
        <v>15</v>
      </c>
      <c r="AX835">
        <v>5</v>
      </c>
      <c r="AY835">
        <v>25.7</v>
      </c>
      <c r="AZ835">
        <v>114</v>
      </c>
      <c r="BA835">
        <v>4579</v>
      </c>
      <c r="BB835">
        <v>71</v>
      </c>
      <c r="BC835">
        <v>69</v>
      </c>
      <c r="BD835">
        <v>70</v>
      </c>
      <c r="BE835">
        <v>3</v>
      </c>
      <c r="BF835" t="s">
        <v>29</v>
      </c>
      <c r="BG835">
        <v>3</v>
      </c>
      <c r="BH835">
        <v>31</v>
      </c>
      <c r="BI835">
        <v>0.47399999999999998</v>
      </c>
      <c r="BJ835" t="s">
        <v>234</v>
      </c>
      <c r="BK835">
        <v>0.39389999999999997</v>
      </c>
      <c r="BL835">
        <v>0.5</v>
      </c>
      <c r="BM835">
        <v>1.18</v>
      </c>
      <c r="BN835">
        <v>1.6</v>
      </c>
    </row>
    <row r="836" spans="1:66" x14ac:dyDescent="0.25">
      <c r="D836">
        <v>2.4300000000000002</v>
      </c>
      <c r="E836">
        <v>3.0666666666666664</v>
      </c>
      <c r="F836">
        <v>3.2166666666666668</v>
      </c>
      <c r="G836" s="40">
        <v>0.32</v>
      </c>
      <c r="H836" s="40">
        <v>0.37</v>
      </c>
      <c r="I836" s="40">
        <v>0.30999999999999994</v>
      </c>
      <c r="J836">
        <v>2.4500000000000002</v>
      </c>
      <c r="K836">
        <v>3.1</v>
      </c>
      <c r="L836">
        <v>3.2</v>
      </c>
      <c r="M836">
        <v>2.4</v>
      </c>
      <c r="N836">
        <v>3</v>
      </c>
      <c r="O836">
        <v>3.25</v>
      </c>
      <c r="P836">
        <v>2.44</v>
      </c>
      <c r="Q836">
        <v>3.1</v>
      </c>
      <c r="R836">
        <v>3.2</v>
      </c>
      <c r="S836">
        <v>0.40612312411656787</v>
      </c>
      <c r="T836">
        <v>0.28293885898168475</v>
      </c>
      <c r="U836">
        <v>0.31093801690174733</v>
      </c>
      <c r="V836">
        <v>0.39393939393939387</v>
      </c>
      <c r="W836">
        <v>0.31515151515151507</v>
      </c>
      <c r="X836">
        <v>0.29090909090909089</v>
      </c>
      <c r="Y836">
        <v>0.39221888344140449</v>
      </c>
      <c r="Z836">
        <v>0.3087142179345248</v>
      </c>
      <c r="AA836">
        <v>0.29906689862407088</v>
      </c>
      <c r="AB836">
        <v>0.39742713383245537</v>
      </c>
      <c r="AC836">
        <v>0.30226819735590821</v>
      </c>
      <c r="AD836">
        <v>0.30030466881163637</v>
      </c>
      <c r="AE836" t="s">
        <v>150</v>
      </c>
      <c r="AF836" t="s">
        <v>141</v>
      </c>
      <c r="AG836">
        <v>88.35</v>
      </c>
      <c r="AH836">
        <v>25</v>
      </c>
      <c r="AI836">
        <v>11</v>
      </c>
      <c r="AJ836">
        <v>6</v>
      </c>
      <c r="AK836">
        <v>28.4</v>
      </c>
      <c r="AL836">
        <v>103</v>
      </c>
      <c r="AM836">
        <v>4803</v>
      </c>
      <c r="AN836">
        <v>77</v>
      </c>
      <c r="AO836">
        <v>78</v>
      </c>
      <c r="AP836">
        <v>77</v>
      </c>
      <c r="AQ836">
        <v>4</v>
      </c>
      <c r="AR836" t="s">
        <v>46</v>
      </c>
      <c r="AS836" t="s">
        <v>156</v>
      </c>
      <c r="AT836" t="s">
        <v>141</v>
      </c>
      <c r="AU836">
        <v>66.099999999999994</v>
      </c>
      <c r="AV836">
        <v>24</v>
      </c>
      <c r="AW836">
        <v>6</v>
      </c>
      <c r="AX836">
        <v>3</v>
      </c>
      <c r="AY836">
        <v>26.8</v>
      </c>
      <c r="AZ836">
        <v>177</v>
      </c>
      <c r="BA836">
        <v>3663</v>
      </c>
      <c r="BB836">
        <v>77</v>
      </c>
      <c r="BC836">
        <v>74</v>
      </c>
      <c r="BD836">
        <v>76</v>
      </c>
      <c r="BE836">
        <v>4</v>
      </c>
      <c r="BF836" t="s">
        <v>43</v>
      </c>
      <c r="BG836">
        <v>2</v>
      </c>
      <c r="BH836">
        <v>17</v>
      </c>
      <c r="BI836">
        <v>0.5</v>
      </c>
      <c r="BJ836" t="s">
        <v>270</v>
      </c>
      <c r="BK836">
        <v>0.43099999999999999</v>
      </c>
      <c r="BL836">
        <v>0.26829999999999998</v>
      </c>
      <c r="BM836">
        <v>1.43</v>
      </c>
      <c r="BN836">
        <v>0.95</v>
      </c>
    </row>
    <row r="837" spans="1:66" x14ac:dyDescent="0.25">
      <c r="D837">
        <v>2.023333333333333</v>
      </c>
      <c r="E837">
        <v>3.4</v>
      </c>
      <c r="F837">
        <v>3.8333333333333335</v>
      </c>
      <c r="G837" s="40">
        <v>0.47</v>
      </c>
      <c r="H837" s="40">
        <v>0.4</v>
      </c>
      <c r="I837" s="40">
        <v>0.13</v>
      </c>
      <c r="J837">
        <v>2.04</v>
      </c>
      <c r="K837">
        <v>3.45</v>
      </c>
      <c r="L837">
        <v>3.85</v>
      </c>
      <c r="M837">
        <v>2.0499999999999998</v>
      </c>
      <c r="N837">
        <v>3.35</v>
      </c>
      <c r="O837">
        <v>3.65</v>
      </c>
      <c r="P837">
        <v>1.98</v>
      </c>
      <c r="Q837">
        <v>3.4</v>
      </c>
      <c r="R837">
        <v>4</v>
      </c>
      <c r="S837">
        <v>0.4921451199703023</v>
      </c>
      <c r="T837">
        <v>0.24708188139608286</v>
      </c>
      <c r="U837">
        <v>0.26077299863361469</v>
      </c>
      <c r="V837">
        <v>0.46006960775091715</v>
      </c>
      <c r="W837">
        <v>0.28153513310130751</v>
      </c>
      <c r="X837">
        <v>0.25839525914777539</v>
      </c>
      <c r="Y837">
        <v>0.48138184907263204</v>
      </c>
      <c r="Z837">
        <v>0.28033413563641513</v>
      </c>
      <c r="AA837">
        <v>0.23828401529095283</v>
      </c>
      <c r="AB837">
        <v>0.47786552559795048</v>
      </c>
      <c r="AC837">
        <v>0.26965038337793518</v>
      </c>
      <c r="AD837">
        <v>0.25248409102411434</v>
      </c>
      <c r="AE837" t="s">
        <v>146</v>
      </c>
      <c r="AF837" t="s">
        <v>141</v>
      </c>
      <c r="AG837">
        <v>430.9</v>
      </c>
      <c r="AH837">
        <v>27</v>
      </c>
      <c r="AI837">
        <v>20</v>
      </c>
      <c r="AJ837">
        <v>14</v>
      </c>
      <c r="AK837">
        <v>28</v>
      </c>
      <c r="AL837">
        <v>31</v>
      </c>
      <c r="AM837">
        <v>7447</v>
      </c>
      <c r="AN837">
        <v>80</v>
      </c>
      <c r="AO837">
        <v>81</v>
      </c>
      <c r="AP837">
        <v>82</v>
      </c>
      <c r="AQ837">
        <v>4.5</v>
      </c>
      <c r="AR837" t="s">
        <v>29</v>
      </c>
      <c r="AS837" t="s">
        <v>149</v>
      </c>
      <c r="AT837" t="s">
        <v>141</v>
      </c>
      <c r="AU837">
        <v>298.89999999999998</v>
      </c>
      <c r="AV837">
        <v>24</v>
      </c>
      <c r="AW837">
        <v>9</v>
      </c>
      <c r="AX837">
        <v>10</v>
      </c>
      <c r="AY837">
        <v>28.2</v>
      </c>
      <c r="AZ837">
        <v>77</v>
      </c>
      <c r="BA837">
        <v>5396</v>
      </c>
      <c r="BB837">
        <v>82</v>
      </c>
      <c r="BC837">
        <v>79</v>
      </c>
      <c r="BD837">
        <v>79</v>
      </c>
      <c r="BE837">
        <v>4.5</v>
      </c>
      <c r="BF837" t="s">
        <v>29</v>
      </c>
      <c r="BG837">
        <v>13</v>
      </c>
      <c r="BH837">
        <v>83</v>
      </c>
      <c r="BI837">
        <v>0.46</v>
      </c>
      <c r="BJ837" t="s">
        <v>270</v>
      </c>
      <c r="BK837">
        <v>0.62960000000000005</v>
      </c>
      <c r="BL837">
        <v>0.53449999999999998</v>
      </c>
      <c r="BM837">
        <v>1.46</v>
      </c>
      <c r="BN837">
        <v>1.78</v>
      </c>
    </row>
    <row r="838" spans="1:66" x14ac:dyDescent="0.25">
      <c r="D838">
        <v>1.51</v>
      </c>
      <c r="E838">
        <v>4.5933333333333328</v>
      </c>
      <c r="F838">
        <v>5.8</v>
      </c>
      <c r="G838" s="40">
        <v>0.4</v>
      </c>
      <c r="H838" s="40">
        <v>0.34</v>
      </c>
      <c r="I838" s="40">
        <v>0.25999999999999995</v>
      </c>
      <c r="J838">
        <v>1.5</v>
      </c>
      <c r="K838">
        <v>4.7</v>
      </c>
      <c r="L838">
        <v>6.1</v>
      </c>
      <c r="M838">
        <v>1.53</v>
      </c>
      <c r="N838">
        <v>4.33</v>
      </c>
      <c r="O838">
        <v>5.5</v>
      </c>
      <c r="P838">
        <v>1.5</v>
      </c>
      <c r="Q838">
        <v>4.75</v>
      </c>
      <c r="R838">
        <v>5.8</v>
      </c>
      <c r="S838">
        <v>0.67385586533403474</v>
      </c>
      <c r="T838">
        <v>0.16044187269857968</v>
      </c>
      <c r="U838">
        <v>0.16570226196738561</v>
      </c>
      <c r="V838">
        <v>0.61292140759595315</v>
      </c>
      <c r="W838">
        <v>0.21657500083644535</v>
      </c>
      <c r="X838">
        <v>0.1705035915676015</v>
      </c>
      <c r="Y838">
        <v>0.63515850144092223</v>
      </c>
      <c r="Z838">
        <v>0.20057636887608071</v>
      </c>
      <c r="AA838">
        <v>0.16426512968299714</v>
      </c>
      <c r="AB838">
        <v>0.64064525812363671</v>
      </c>
      <c r="AC838">
        <v>0.19253108080370193</v>
      </c>
      <c r="AD838">
        <v>0.16682366107266142</v>
      </c>
      <c r="AE838" t="s">
        <v>137</v>
      </c>
      <c r="AF838" t="s">
        <v>141</v>
      </c>
      <c r="AG838">
        <v>676</v>
      </c>
      <c r="AH838">
        <v>26</v>
      </c>
      <c r="AI838">
        <v>15</v>
      </c>
      <c r="AJ838">
        <v>21</v>
      </c>
      <c r="AK838">
        <v>26.1</v>
      </c>
      <c r="AL838">
        <v>3</v>
      </c>
      <c r="AM838">
        <v>13105</v>
      </c>
      <c r="AN838">
        <v>84</v>
      </c>
      <c r="AO838">
        <v>82</v>
      </c>
      <c r="AP838">
        <v>81</v>
      </c>
      <c r="AQ838">
        <v>5</v>
      </c>
      <c r="AR838" t="s">
        <v>28</v>
      </c>
      <c r="AS838" t="s">
        <v>152</v>
      </c>
      <c r="AT838" t="s">
        <v>141</v>
      </c>
      <c r="AU838">
        <v>223.4</v>
      </c>
      <c r="AV838">
        <v>28</v>
      </c>
      <c r="AW838">
        <v>11</v>
      </c>
      <c r="AX838">
        <v>11</v>
      </c>
      <c r="AY838">
        <v>28.5</v>
      </c>
      <c r="AZ838">
        <v>125</v>
      </c>
      <c r="BA838">
        <v>4257</v>
      </c>
      <c r="BB838">
        <v>79</v>
      </c>
      <c r="BC838">
        <v>79</v>
      </c>
      <c r="BD838">
        <v>78</v>
      </c>
      <c r="BE838">
        <v>4</v>
      </c>
      <c r="BF838" t="s">
        <v>29</v>
      </c>
      <c r="BG838">
        <v>148</v>
      </c>
      <c r="BH838">
        <v>244</v>
      </c>
      <c r="BI838">
        <v>0.60699999999999998</v>
      </c>
      <c r="BJ838" t="s">
        <v>270</v>
      </c>
      <c r="BK838">
        <v>0.62960000000000005</v>
      </c>
      <c r="BL838">
        <v>0.4884</v>
      </c>
      <c r="BM838">
        <v>2.2599999999999998</v>
      </c>
      <c r="BN838">
        <v>1.42</v>
      </c>
    </row>
    <row r="839" spans="1:66" x14ac:dyDescent="0.25">
      <c r="D839">
        <v>3.2333333333333329</v>
      </c>
      <c r="E839">
        <v>3.4499999999999997</v>
      </c>
      <c r="F839">
        <v>2.2200000000000002</v>
      </c>
      <c r="G839" s="40">
        <v>0.25</v>
      </c>
      <c r="H839" s="40">
        <v>0.38</v>
      </c>
      <c r="I839" s="40">
        <v>0.37</v>
      </c>
      <c r="J839">
        <v>3.25</v>
      </c>
      <c r="K839">
        <v>3.5</v>
      </c>
      <c r="L839">
        <v>2.23</v>
      </c>
      <c r="M839">
        <v>3.25</v>
      </c>
      <c r="N839">
        <v>3.35</v>
      </c>
      <c r="O839">
        <v>2.2000000000000002</v>
      </c>
      <c r="P839">
        <v>3.2</v>
      </c>
      <c r="Q839">
        <v>3.5</v>
      </c>
      <c r="R839">
        <v>2.23</v>
      </c>
      <c r="S839">
        <v>0.30569302540595406</v>
      </c>
      <c r="T839">
        <v>0.24879023353155691</v>
      </c>
      <c r="U839">
        <v>0.44551674106248912</v>
      </c>
      <c r="V839">
        <v>0.29007182918429603</v>
      </c>
      <c r="W839">
        <v>0.28141296861163045</v>
      </c>
      <c r="X839">
        <v>0.42851520220407363</v>
      </c>
      <c r="Y839">
        <v>0.29857312268084618</v>
      </c>
      <c r="Z839">
        <v>0.2729811407367736</v>
      </c>
      <c r="AA839">
        <v>0.42844573658238022</v>
      </c>
      <c r="AB839">
        <v>0.29811265909036538</v>
      </c>
      <c r="AC839">
        <v>0.26772811429332033</v>
      </c>
      <c r="AD839">
        <v>0.43415922661631434</v>
      </c>
      <c r="AE839" t="s">
        <v>147</v>
      </c>
      <c r="AF839" t="s">
        <v>141</v>
      </c>
      <c r="AG839">
        <v>373.5</v>
      </c>
      <c r="AH839">
        <v>25</v>
      </c>
      <c r="AI839">
        <v>5</v>
      </c>
      <c r="AJ839">
        <v>7</v>
      </c>
      <c r="AK839">
        <v>26.2</v>
      </c>
      <c r="AL839">
        <v>32</v>
      </c>
      <c r="AM839">
        <v>7427</v>
      </c>
      <c r="AN839">
        <v>81</v>
      </c>
      <c r="AO839">
        <v>81</v>
      </c>
      <c r="AP839">
        <v>77</v>
      </c>
      <c r="AQ839">
        <v>4.5</v>
      </c>
      <c r="AR839" t="s">
        <v>28</v>
      </c>
      <c r="AS839" t="s">
        <v>144</v>
      </c>
      <c r="AT839" t="s">
        <v>141</v>
      </c>
      <c r="AU839">
        <v>783.5</v>
      </c>
      <c r="AV839">
        <v>25</v>
      </c>
      <c r="AW839">
        <v>18</v>
      </c>
      <c r="AX839">
        <v>17</v>
      </c>
      <c r="AY839">
        <v>27.6</v>
      </c>
      <c r="AZ839">
        <v>18</v>
      </c>
      <c r="BA839">
        <v>8949</v>
      </c>
      <c r="BB839">
        <v>84</v>
      </c>
      <c r="BC839">
        <v>86</v>
      </c>
      <c r="BD839">
        <v>84</v>
      </c>
      <c r="BE839">
        <v>5</v>
      </c>
      <c r="BF839" t="s">
        <v>28</v>
      </c>
      <c r="BG839">
        <v>-136</v>
      </c>
      <c r="BH839">
        <v>130</v>
      </c>
      <c r="BI839">
        <v>0.191</v>
      </c>
      <c r="BJ839" t="s">
        <v>270</v>
      </c>
      <c r="BK839">
        <v>0.40820000000000001</v>
      </c>
      <c r="BL839">
        <v>0.59619999999999995</v>
      </c>
      <c r="BM839">
        <v>1.39</v>
      </c>
      <c r="BN839">
        <v>1.69</v>
      </c>
    </row>
    <row r="840" spans="1:66" x14ac:dyDescent="0.25">
      <c r="D840">
        <v>2.4833333333333334</v>
      </c>
      <c r="E840">
        <v>3.2000000000000006</v>
      </c>
      <c r="F840">
        <v>2.9833333333333329</v>
      </c>
      <c r="G840" s="40">
        <v>0.22</v>
      </c>
      <c r="H840" s="40">
        <v>0.35</v>
      </c>
      <c r="I840" s="40">
        <v>0.43000000000000005</v>
      </c>
      <c r="J840">
        <v>2.5</v>
      </c>
      <c r="K840">
        <v>3.2</v>
      </c>
      <c r="L840">
        <v>3</v>
      </c>
      <c r="M840">
        <v>2.4500000000000002</v>
      </c>
      <c r="N840">
        <v>3.2</v>
      </c>
      <c r="O840">
        <v>2.95</v>
      </c>
      <c r="P840">
        <v>2.5</v>
      </c>
      <c r="Q840">
        <v>3.2</v>
      </c>
      <c r="R840">
        <v>3</v>
      </c>
      <c r="S840">
        <v>0.39560439560439553</v>
      </c>
      <c r="T840">
        <v>0.27472527472527469</v>
      </c>
      <c r="U840">
        <v>0.32967032967032966</v>
      </c>
      <c r="V840">
        <v>0.38518820769152301</v>
      </c>
      <c r="W840">
        <v>0.29490972151382233</v>
      </c>
      <c r="X840">
        <v>0.31990207079465471</v>
      </c>
      <c r="Y840">
        <v>0.38247011952191234</v>
      </c>
      <c r="Z840">
        <v>0.29880478087649398</v>
      </c>
      <c r="AA840">
        <v>0.31872509960159368</v>
      </c>
      <c r="AB840">
        <v>0.38775424093927696</v>
      </c>
      <c r="AC840">
        <v>0.28947992570519698</v>
      </c>
      <c r="AD840">
        <v>0.32276583335552606</v>
      </c>
      <c r="AE840" t="s">
        <v>151</v>
      </c>
      <c r="AF840" t="s">
        <v>141</v>
      </c>
      <c r="AG840">
        <v>111.8</v>
      </c>
      <c r="AH840">
        <v>27</v>
      </c>
      <c r="AI840">
        <v>8</v>
      </c>
      <c r="AJ840">
        <v>4</v>
      </c>
      <c r="AK840">
        <v>28.3</v>
      </c>
      <c r="AL840">
        <v>116</v>
      </c>
      <c r="AM840">
        <v>4556</v>
      </c>
      <c r="AN840">
        <v>79</v>
      </c>
      <c r="AO840">
        <v>76</v>
      </c>
      <c r="AP840">
        <v>75</v>
      </c>
      <c r="AQ840">
        <v>4</v>
      </c>
      <c r="AR840" t="s">
        <v>29</v>
      </c>
      <c r="AS840" t="s">
        <v>157</v>
      </c>
      <c r="AT840" t="s">
        <v>141</v>
      </c>
      <c r="AU840">
        <v>93.5</v>
      </c>
      <c r="AV840">
        <v>27</v>
      </c>
      <c r="AW840">
        <v>4</v>
      </c>
      <c r="AX840">
        <v>1</v>
      </c>
      <c r="AY840">
        <v>27.7</v>
      </c>
      <c r="AZ840">
        <v>202</v>
      </c>
      <c r="BA840">
        <v>3267</v>
      </c>
      <c r="BB840">
        <v>76</v>
      </c>
      <c r="BC840">
        <v>77</v>
      </c>
      <c r="BD840">
        <v>75</v>
      </c>
      <c r="BE840">
        <v>4</v>
      </c>
      <c r="BF840" t="s">
        <v>46</v>
      </c>
      <c r="BG840">
        <v>-17</v>
      </c>
      <c r="BH840">
        <v>38</v>
      </c>
      <c r="BI840">
        <v>0.42899999999999999</v>
      </c>
      <c r="BJ840" t="s">
        <v>270</v>
      </c>
      <c r="BK840">
        <v>0.28889999999999999</v>
      </c>
      <c r="BL840">
        <v>0.33329999999999999</v>
      </c>
      <c r="BM840">
        <v>1.36</v>
      </c>
      <c r="BN840">
        <v>1.1399999999999999</v>
      </c>
    </row>
    <row r="841" spans="1:66" x14ac:dyDescent="0.25">
      <c r="D841">
        <v>2.1</v>
      </c>
      <c r="E841">
        <v>3.3666666666666671</v>
      </c>
      <c r="F841">
        <v>3.6333333333333329</v>
      </c>
      <c r="G841" s="40">
        <v>0.24</v>
      </c>
      <c r="H841" s="40">
        <v>0.45</v>
      </c>
      <c r="I841" s="40">
        <v>0.31</v>
      </c>
      <c r="J841">
        <v>2.08</v>
      </c>
      <c r="K841">
        <v>3.45</v>
      </c>
      <c r="L841">
        <v>3.7</v>
      </c>
      <c r="M841">
        <v>2.1</v>
      </c>
      <c r="N841">
        <v>3.3</v>
      </c>
      <c r="O841">
        <v>3.55</v>
      </c>
      <c r="P841">
        <v>2.12</v>
      </c>
      <c r="Q841">
        <v>3.35</v>
      </c>
      <c r="R841">
        <v>3.65</v>
      </c>
      <c r="S841">
        <v>0.48106562882088555</v>
      </c>
      <c r="T841">
        <v>0.24849747713926534</v>
      </c>
      <c r="U841">
        <v>0.27043689403984916</v>
      </c>
      <c r="V841">
        <v>0.44885057471264361</v>
      </c>
      <c r="W841">
        <v>0.28563218390804596</v>
      </c>
      <c r="X841">
        <v>0.26551724137931032</v>
      </c>
      <c r="Y841">
        <v>0.45174101782580584</v>
      </c>
      <c r="Z841">
        <v>0.28587789784797268</v>
      </c>
      <c r="AA841">
        <v>0.26238108432622154</v>
      </c>
      <c r="AB841">
        <v>0.46055240711977835</v>
      </c>
      <c r="AC841">
        <v>0.27333585296509466</v>
      </c>
      <c r="AD841">
        <v>0.26611173991512699</v>
      </c>
      <c r="AE841" t="s">
        <v>153</v>
      </c>
      <c r="AF841" t="s">
        <v>141</v>
      </c>
      <c r="AG841">
        <v>143.80000000000001</v>
      </c>
      <c r="AH841">
        <v>21</v>
      </c>
      <c r="AI841">
        <v>9</v>
      </c>
      <c r="AJ841">
        <v>8</v>
      </c>
      <c r="AK841">
        <v>28</v>
      </c>
      <c r="AL841">
        <v>138</v>
      </c>
      <c r="AM841">
        <v>4059</v>
      </c>
      <c r="AN841">
        <v>80</v>
      </c>
      <c r="AO841">
        <v>75</v>
      </c>
      <c r="AP841">
        <v>75</v>
      </c>
      <c r="AQ841">
        <v>4</v>
      </c>
      <c r="AR841" t="s">
        <v>29</v>
      </c>
      <c r="AS841" t="s">
        <v>142</v>
      </c>
      <c r="AT841" t="s">
        <v>141</v>
      </c>
      <c r="AU841">
        <v>251.9</v>
      </c>
      <c r="AV841">
        <v>27</v>
      </c>
      <c r="AW841">
        <v>17</v>
      </c>
      <c r="AX841">
        <v>12</v>
      </c>
      <c r="AY841">
        <v>25.5</v>
      </c>
      <c r="AZ841">
        <v>11</v>
      </c>
      <c r="BA841">
        <v>9770</v>
      </c>
      <c r="BB841">
        <v>77</v>
      </c>
      <c r="BC841">
        <v>78</v>
      </c>
      <c r="BD841">
        <v>77</v>
      </c>
      <c r="BE841">
        <v>4</v>
      </c>
      <c r="BF841" t="s">
        <v>29</v>
      </c>
      <c r="BG841">
        <v>-11</v>
      </c>
      <c r="BH841">
        <v>25</v>
      </c>
      <c r="BI841">
        <v>0.222</v>
      </c>
      <c r="BJ841" t="s">
        <v>270</v>
      </c>
      <c r="BK841">
        <v>0.375</v>
      </c>
      <c r="BL841">
        <v>0.3095</v>
      </c>
      <c r="BM841">
        <v>1.55</v>
      </c>
      <c r="BN841">
        <v>1.43</v>
      </c>
    </row>
    <row r="842" spans="1:66" x14ac:dyDescent="0.25">
      <c r="D842">
        <v>3.4333333333333336</v>
      </c>
      <c r="E842">
        <v>3.0166666666666671</v>
      </c>
      <c r="F842">
        <v>2.3333333333333335</v>
      </c>
      <c r="G842" s="40">
        <v>0.2</v>
      </c>
      <c r="H842" s="40">
        <v>0.45</v>
      </c>
      <c r="I842" s="40">
        <v>0.35000000000000003</v>
      </c>
      <c r="J842">
        <v>3.45</v>
      </c>
      <c r="K842">
        <v>3.05</v>
      </c>
      <c r="L842">
        <v>2.35</v>
      </c>
      <c r="M842">
        <v>3.45</v>
      </c>
      <c r="N842">
        <v>2.95</v>
      </c>
      <c r="O842">
        <v>2.2999999999999998</v>
      </c>
      <c r="P842">
        <v>3.4</v>
      </c>
      <c r="Q842">
        <v>3.05</v>
      </c>
      <c r="R842">
        <v>2.35</v>
      </c>
      <c r="S842">
        <v>0.28953621402798557</v>
      </c>
      <c r="T842">
        <v>0.28539998239901437</v>
      </c>
      <c r="U842">
        <v>0.42506380357300011</v>
      </c>
      <c r="V842">
        <v>0.27251732101616627</v>
      </c>
      <c r="W842">
        <v>0.3187066974595843</v>
      </c>
      <c r="X842">
        <v>0.40877598152424943</v>
      </c>
      <c r="Y842">
        <v>0.28077563412006662</v>
      </c>
      <c r="Z842">
        <v>0.31299578885515622</v>
      </c>
      <c r="AA842">
        <v>0.40622857702477722</v>
      </c>
      <c r="AB842">
        <v>0.28094305638807282</v>
      </c>
      <c r="AC842">
        <v>0.30570082290458495</v>
      </c>
      <c r="AD842">
        <v>0.41335612070734223</v>
      </c>
      <c r="AE842" t="s">
        <v>145</v>
      </c>
      <c r="AF842" t="s">
        <v>141</v>
      </c>
      <c r="AG842">
        <v>159.44999999999999</v>
      </c>
      <c r="AH842">
        <v>25</v>
      </c>
      <c r="AI842">
        <v>13</v>
      </c>
      <c r="AJ842">
        <v>9</v>
      </c>
      <c r="AK842">
        <v>27.1</v>
      </c>
      <c r="AL842">
        <v>27</v>
      </c>
      <c r="AM842">
        <v>7881</v>
      </c>
      <c r="AN842">
        <v>77</v>
      </c>
      <c r="AO842">
        <v>78</v>
      </c>
      <c r="AP842">
        <v>77</v>
      </c>
      <c r="AQ842">
        <v>4</v>
      </c>
      <c r="AR842" t="s">
        <v>46</v>
      </c>
      <c r="AS842" t="s">
        <v>148</v>
      </c>
      <c r="AT842" t="s">
        <v>141</v>
      </c>
      <c r="AU842">
        <v>188.3</v>
      </c>
      <c r="AV842">
        <v>26</v>
      </c>
      <c r="AW842">
        <v>0</v>
      </c>
      <c r="AX842">
        <v>2</v>
      </c>
      <c r="AY842">
        <v>26.4</v>
      </c>
      <c r="AZ842">
        <v>61</v>
      </c>
      <c r="BA842">
        <v>6139</v>
      </c>
      <c r="BB842">
        <v>80</v>
      </c>
      <c r="BC842">
        <v>78</v>
      </c>
      <c r="BD842">
        <v>79</v>
      </c>
      <c r="BE842">
        <v>4.5</v>
      </c>
      <c r="BF842" t="s">
        <v>29</v>
      </c>
      <c r="BG842">
        <v>-8</v>
      </c>
      <c r="BH842">
        <v>39</v>
      </c>
      <c r="BI842">
        <v>0.28100000000000003</v>
      </c>
      <c r="BJ842" t="s">
        <v>270</v>
      </c>
      <c r="BK842">
        <v>0.25</v>
      </c>
      <c r="BL842">
        <v>0.3478</v>
      </c>
      <c r="BM842">
        <v>0.75</v>
      </c>
      <c r="BN842">
        <v>1.28</v>
      </c>
    </row>
    <row r="843" spans="1:66" x14ac:dyDescent="0.25">
      <c r="D843">
        <v>2.1333333333333333</v>
      </c>
      <c r="E843">
        <v>3.4</v>
      </c>
      <c r="F843">
        <v>3.3333333333333335</v>
      </c>
      <c r="G843" s="40">
        <v>0.32</v>
      </c>
      <c r="H843" s="40">
        <v>0.39</v>
      </c>
      <c r="I843" s="40">
        <v>0.28999999999999992</v>
      </c>
      <c r="J843">
        <v>2.12</v>
      </c>
      <c r="K843">
        <v>3.4</v>
      </c>
      <c r="L843">
        <v>3.4</v>
      </c>
      <c r="M843">
        <v>2.15</v>
      </c>
      <c r="N843">
        <v>3.4</v>
      </c>
      <c r="O843">
        <v>3.25</v>
      </c>
      <c r="P843">
        <v>2.13</v>
      </c>
      <c r="Q843">
        <v>3.4</v>
      </c>
      <c r="R843">
        <v>3.35</v>
      </c>
      <c r="S843">
        <v>0.46064659353779563</v>
      </c>
      <c r="T843">
        <v>0.25212670696216705</v>
      </c>
      <c r="U843">
        <v>0.28722669950003732</v>
      </c>
      <c r="V843">
        <v>0.43594042805010363</v>
      </c>
      <c r="W843">
        <v>0.27566821185521256</v>
      </c>
      <c r="X843">
        <v>0.28839136009468391</v>
      </c>
      <c r="Y843">
        <v>0.44202968856117203</v>
      </c>
      <c r="Z843">
        <v>0.27691859901038129</v>
      </c>
      <c r="AA843">
        <v>0.28105171242844668</v>
      </c>
      <c r="AB843">
        <v>0.44620557004969047</v>
      </c>
      <c r="AC843">
        <v>0.26823783927592032</v>
      </c>
      <c r="AD843">
        <v>0.28555659067438927</v>
      </c>
      <c r="AE843" t="s">
        <v>64</v>
      </c>
      <c r="AF843" t="s">
        <v>63</v>
      </c>
      <c r="AG843">
        <v>13.1</v>
      </c>
      <c r="AH843">
        <v>30</v>
      </c>
      <c r="AI843">
        <v>4</v>
      </c>
      <c r="AJ843">
        <v>0</v>
      </c>
      <c r="AK843">
        <v>25.1</v>
      </c>
      <c r="AL843">
        <v>71</v>
      </c>
      <c r="AM843">
        <v>5560</v>
      </c>
      <c r="AN843">
        <v>71</v>
      </c>
      <c r="AO843">
        <v>64</v>
      </c>
      <c r="AP843">
        <v>67</v>
      </c>
      <c r="AQ843">
        <v>2</v>
      </c>
      <c r="AR843" t="s">
        <v>29</v>
      </c>
      <c r="AS843" t="s">
        <v>67</v>
      </c>
      <c r="AT843" t="s">
        <v>63</v>
      </c>
      <c r="AU843">
        <v>21.85</v>
      </c>
      <c r="AV843">
        <v>29</v>
      </c>
      <c r="AW843">
        <v>2</v>
      </c>
      <c r="AX843">
        <v>4</v>
      </c>
      <c r="AY843">
        <v>25.7</v>
      </c>
      <c r="AZ843">
        <v>104</v>
      </c>
      <c r="BA843">
        <v>4793</v>
      </c>
      <c r="BB843">
        <v>67</v>
      </c>
      <c r="BC843">
        <v>70</v>
      </c>
      <c r="BD843">
        <v>67</v>
      </c>
      <c r="BE843">
        <v>2.5</v>
      </c>
      <c r="BF843" t="s">
        <v>29</v>
      </c>
      <c r="BG843">
        <v>-15</v>
      </c>
      <c r="BH843">
        <v>53</v>
      </c>
      <c r="BI843">
        <v>0.318</v>
      </c>
      <c r="BJ843" t="s">
        <v>63</v>
      </c>
      <c r="BK843">
        <v>0.37930000000000003</v>
      </c>
      <c r="BL843">
        <v>0.42859999999999998</v>
      </c>
      <c r="BM843">
        <v>1.48</v>
      </c>
      <c r="BN843">
        <v>1.75</v>
      </c>
    </row>
    <row r="844" spans="1:66" x14ac:dyDescent="0.25">
      <c r="D844">
        <v>2.41</v>
      </c>
      <c r="E844">
        <v>3.1999999999999997</v>
      </c>
      <c r="F844">
        <v>3</v>
      </c>
      <c r="G844" s="40">
        <v>0.23</v>
      </c>
      <c r="H844" s="40">
        <v>0.34</v>
      </c>
      <c r="I844" s="40">
        <v>0.43</v>
      </c>
      <c r="J844">
        <v>2.4300000000000002</v>
      </c>
      <c r="K844">
        <v>3.15</v>
      </c>
      <c r="L844">
        <v>3.05</v>
      </c>
      <c r="M844">
        <v>2.4</v>
      </c>
      <c r="N844">
        <v>3.25</v>
      </c>
      <c r="O844">
        <v>2.95</v>
      </c>
      <c r="P844">
        <v>2.4</v>
      </c>
      <c r="Q844">
        <v>3.2</v>
      </c>
      <c r="R844">
        <v>3</v>
      </c>
      <c r="S844">
        <v>0.40229190067931708</v>
      </c>
      <c r="T844">
        <v>0.27719356861552191</v>
      </c>
      <c r="U844">
        <v>0.32051453070516089</v>
      </c>
      <c r="V844">
        <v>0.39184632675998776</v>
      </c>
      <c r="W844">
        <v>0.28936344129968328</v>
      </c>
      <c r="X844">
        <v>0.31879023194032902</v>
      </c>
      <c r="Y844">
        <v>0.39215686274509809</v>
      </c>
      <c r="Z844">
        <v>0.29411764705882348</v>
      </c>
      <c r="AA844">
        <v>0.31372549019607848</v>
      </c>
      <c r="AB844">
        <v>0.39543169672813433</v>
      </c>
      <c r="AC844">
        <v>0.28689155232467622</v>
      </c>
      <c r="AD844">
        <v>0.31767675094718945</v>
      </c>
      <c r="AE844" t="s">
        <v>74</v>
      </c>
      <c r="AF844" t="s">
        <v>63</v>
      </c>
      <c r="AG844">
        <v>9.73</v>
      </c>
      <c r="AH844">
        <v>33</v>
      </c>
      <c r="AI844">
        <v>1</v>
      </c>
      <c r="AJ844">
        <v>0</v>
      </c>
      <c r="AK844">
        <v>26.2</v>
      </c>
      <c r="AL844">
        <v>254</v>
      </c>
      <c r="AM844">
        <v>2813</v>
      </c>
      <c r="AN844">
        <v>67</v>
      </c>
      <c r="AO844">
        <v>64</v>
      </c>
      <c r="AP844">
        <v>65</v>
      </c>
      <c r="AQ844">
        <v>2</v>
      </c>
      <c r="AR844" t="s">
        <v>46</v>
      </c>
      <c r="AS844" t="s">
        <v>68</v>
      </c>
      <c r="AT844" t="s">
        <v>63</v>
      </c>
      <c r="AU844">
        <v>16.600000000000001</v>
      </c>
      <c r="AV844">
        <v>36</v>
      </c>
      <c r="AW844">
        <v>2</v>
      </c>
      <c r="AX844">
        <v>1</v>
      </c>
      <c r="AY844">
        <v>25.1</v>
      </c>
      <c r="AZ844">
        <v>129</v>
      </c>
      <c r="BA844">
        <v>4227</v>
      </c>
      <c r="BB844">
        <v>62</v>
      </c>
      <c r="BC844">
        <v>66</v>
      </c>
      <c r="BD844">
        <v>64</v>
      </c>
      <c r="BE844">
        <v>2</v>
      </c>
      <c r="BF844" t="s">
        <v>46</v>
      </c>
      <c r="BG844">
        <v>-11</v>
      </c>
      <c r="BH844">
        <v>3</v>
      </c>
      <c r="BI844">
        <v>0</v>
      </c>
      <c r="BJ844" t="s">
        <v>63</v>
      </c>
      <c r="BK844">
        <v>0.25</v>
      </c>
      <c r="BL844">
        <v>0.38890000000000002</v>
      </c>
      <c r="BM844">
        <v>1.17</v>
      </c>
      <c r="BN844">
        <v>1.39</v>
      </c>
    </row>
    <row r="845" spans="1:66" x14ac:dyDescent="0.25">
      <c r="D845">
        <v>2.0833333333333335</v>
      </c>
      <c r="E845">
        <v>3.1666666666666665</v>
      </c>
      <c r="F845">
        <v>3.75</v>
      </c>
      <c r="G845" s="40">
        <v>0.43</v>
      </c>
      <c r="H845" s="40">
        <v>0.34</v>
      </c>
      <c r="I845" s="40">
        <v>0.23000000000000004</v>
      </c>
      <c r="J845">
        <v>2.0699999999999998</v>
      </c>
      <c r="K845">
        <v>3.15</v>
      </c>
      <c r="L845">
        <v>3.9</v>
      </c>
      <c r="M845">
        <v>2.1</v>
      </c>
      <c r="N845">
        <v>3.2</v>
      </c>
      <c r="O845">
        <v>3.6</v>
      </c>
      <c r="P845">
        <v>2.08</v>
      </c>
      <c r="Q845">
        <v>3.15</v>
      </c>
      <c r="R845">
        <v>3.75</v>
      </c>
      <c r="S845">
        <v>0.47806978204323258</v>
      </c>
      <c r="T845">
        <v>0.26818548748766707</v>
      </c>
      <c r="U845">
        <v>0.25374473046910034</v>
      </c>
      <c r="V845">
        <v>0.44651162790697674</v>
      </c>
      <c r="W845">
        <v>0.2930232558139535</v>
      </c>
      <c r="X845">
        <v>0.26046511627906976</v>
      </c>
      <c r="Y845">
        <v>0.45147050392707677</v>
      </c>
      <c r="Z845">
        <v>0.29811385656137129</v>
      </c>
      <c r="AA845">
        <v>0.25041563951155188</v>
      </c>
      <c r="AB845">
        <v>0.45868397129242872</v>
      </c>
      <c r="AC845">
        <v>0.28644086662099727</v>
      </c>
      <c r="AD845">
        <v>0.25487516208657396</v>
      </c>
      <c r="AE845" t="s">
        <v>62</v>
      </c>
      <c r="AF845" t="s">
        <v>63</v>
      </c>
      <c r="AG845">
        <v>18.350000000000001</v>
      </c>
      <c r="AH845">
        <v>29</v>
      </c>
      <c r="AI845">
        <v>3</v>
      </c>
      <c r="AJ845">
        <v>1</v>
      </c>
      <c r="AK845">
        <v>27.4</v>
      </c>
      <c r="AL845">
        <v>66</v>
      </c>
      <c r="AM845">
        <v>5865</v>
      </c>
      <c r="AN845">
        <v>67</v>
      </c>
      <c r="AO845">
        <v>68</v>
      </c>
      <c r="AP845">
        <v>66</v>
      </c>
      <c r="AQ845">
        <v>2.5</v>
      </c>
      <c r="AR845" t="s">
        <v>29</v>
      </c>
      <c r="AS845" t="s">
        <v>70</v>
      </c>
      <c r="AT845" t="s">
        <v>63</v>
      </c>
      <c r="AU845">
        <v>16.38</v>
      </c>
      <c r="AV845">
        <v>28</v>
      </c>
      <c r="AW845">
        <v>1</v>
      </c>
      <c r="AX845">
        <v>3</v>
      </c>
      <c r="AY845">
        <v>25.3</v>
      </c>
      <c r="AZ845">
        <v>200</v>
      </c>
      <c r="BA845">
        <v>3276</v>
      </c>
      <c r="BB845">
        <v>69</v>
      </c>
      <c r="BC845">
        <v>63</v>
      </c>
      <c r="BD845">
        <v>65</v>
      </c>
      <c r="BE845">
        <v>2</v>
      </c>
      <c r="BF845" t="s">
        <v>29</v>
      </c>
      <c r="BG845">
        <v>0</v>
      </c>
      <c r="BH845">
        <v>41</v>
      </c>
      <c r="BI845">
        <v>0.39300000000000002</v>
      </c>
      <c r="BJ845" t="s">
        <v>63</v>
      </c>
      <c r="BK845">
        <v>0.4375</v>
      </c>
      <c r="BL845">
        <v>0.36</v>
      </c>
      <c r="BM845">
        <v>1.25</v>
      </c>
      <c r="BN845">
        <v>1.44</v>
      </c>
    </row>
    <row r="846" spans="1:66" x14ac:dyDescent="0.25">
      <c r="D846">
        <v>1.5833333333333333</v>
      </c>
      <c r="E846">
        <v>4</v>
      </c>
      <c r="F846">
        <v>5.8999999999999995</v>
      </c>
      <c r="G846" s="40">
        <v>0.41</v>
      </c>
      <c r="H846" s="40">
        <v>0.34</v>
      </c>
      <c r="I846" s="40">
        <v>0.25000000000000006</v>
      </c>
      <c r="J846">
        <v>1.58</v>
      </c>
      <c r="K846">
        <v>3.9</v>
      </c>
      <c r="L846">
        <v>6.5</v>
      </c>
      <c r="M846">
        <v>1.59</v>
      </c>
      <c r="N846">
        <v>4</v>
      </c>
      <c r="O846">
        <v>5.5</v>
      </c>
      <c r="P846">
        <v>1.58</v>
      </c>
      <c r="Q846">
        <v>4.0999999999999996</v>
      </c>
      <c r="R846">
        <v>5.7</v>
      </c>
      <c r="S846">
        <v>0.65102844790658165</v>
      </c>
      <c r="T846">
        <v>0.19072156014074149</v>
      </c>
      <c r="U846">
        <v>0.15824999195267678</v>
      </c>
      <c r="V846">
        <v>0.59291200646813103</v>
      </c>
      <c r="W846">
        <v>0.2356825225710821</v>
      </c>
      <c r="X846">
        <v>0.17140547096078698</v>
      </c>
      <c r="Y846">
        <v>0.60148247284706857</v>
      </c>
      <c r="Z846">
        <v>0.23179080660935811</v>
      </c>
      <c r="AA846">
        <v>0.16672672054357338</v>
      </c>
      <c r="AB846">
        <v>0.61514097574059379</v>
      </c>
      <c r="AC846">
        <v>0.21939829644039391</v>
      </c>
      <c r="AD846">
        <v>0.16546072781901236</v>
      </c>
      <c r="AE846" t="s">
        <v>258</v>
      </c>
      <c r="AF846" t="s">
        <v>253</v>
      </c>
      <c r="AG846">
        <v>937.25</v>
      </c>
      <c r="AH846">
        <v>28</v>
      </c>
      <c r="AI846">
        <v>17</v>
      </c>
      <c r="AJ846">
        <v>21</v>
      </c>
      <c r="AK846">
        <v>27.9</v>
      </c>
      <c r="AL846">
        <v>39</v>
      </c>
      <c r="AM846">
        <v>7151</v>
      </c>
      <c r="AN846">
        <v>83</v>
      </c>
      <c r="AO846">
        <v>82</v>
      </c>
      <c r="AP846">
        <v>82</v>
      </c>
      <c r="AQ846">
        <v>4.5</v>
      </c>
      <c r="AR846" t="s">
        <v>29</v>
      </c>
      <c r="AS846" t="s">
        <v>261</v>
      </c>
      <c r="AT846" t="s">
        <v>253</v>
      </c>
      <c r="AU846">
        <v>239.45</v>
      </c>
      <c r="AV846">
        <v>26</v>
      </c>
      <c r="AW846">
        <v>14</v>
      </c>
      <c r="AX846">
        <v>7</v>
      </c>
      <c r="AY846">
        <v>27.4</v>
      </c>
      <c r="AZ846">
        <v>135</v>
      </c>
      <c r="BA846">
        <v>4146</v>
      </c>
      <c r="BB846">
        <v>77</v>
      </c>
      <c r="BC846">
        <v>75</v>
      </c>
      <c r="BD846">
        <v>75</v>
      </c>
      <c r="BE846">
        <v>4</v>
      </c>
      <c r="BF846" t="s">
        <v>29</v>
      </c>
      <c r="BG846">
        <v>45</v>
      </c>
      <c r="BH846">
        <v>104</v>
      </c>
      <c r="BI846">
        <v>0.62</v>
      </c>
      <c r="BJ846" t="s">
        <v>267</v>
      </c>
      <c r="BK846">
        <v>0.57379999999999998</v>
      </c>
      <c r="BL846">
        <v>0.3</v>
      </c>
      <c r="BM846">
        <v>1.98</v>
      </c>
      <c r="BN846">
        <v>1.03</v>
      </c>
    </row>
    <row r="847" spans="1:66" x14ac:dyDescent="0.25">
      <c r="D847">
        <v>3.3833333333333333</v>
      </c>
      <c r="E847">
        <v>3.4833333333333329</v>
      </c>
      <c r="F847">
        <v>2.1433333333333331</v>
      </c>
      <c r="G847" s="40">
        <v>0.28000000000000003</v>
      </c>
      <c r="H847" s="40">
        <v>0.23</v>
      </c>
      <c r="I847" s="40">
        <v>0.49</v>
      </c>
      <c r="J847">
        <v>3.4</v>
      </c>
      <c r="K847">
        <v>3.6</v>
      </c>
      <c r="L847">
        <v>2.12</v>
      </c>
      <c r="M847">
        <v>3.35</v>
      </c>
      <c r="N847">
        <v>3.35</v>
      </c>
      <c r="O847">
        <v>2.15</v>
      </c>
      <c r="P847">
        <v>3.4</v>
      </c>
      <c r="Q847">
        <v>3.5</v>
      </c>
      <c r="R847">
        <v>2.16</v>
      </c>
      <c r="S847">
        <v>0.29196827762401534</v>
      </c>
      <c r="T847">
        <v>0.23978071109218649</v>
      </c>
      <c r="U847">
        <v>0.46825101128379815</v>
      </c>
      <c r="V847">
        <v>0.28104575163398693</v>
      </c>
      <c r="W847">
        <v>0.28104575163398693</v>
      </c>
      <c r="X847">
        <v>0.43790849673202614</v>
      </c>
      <c r="Y847">
        <v>0.28204745560364131</v>
      </c>
      <c r="Z847">
        <v>0.27398895687210861</v>
      </c>
      <c r="AA847">
        <v>0.44396358752425014</v>
      </c>
      <c r="AB847">
        <v>0.28502049495388121</v>
      </c>
      <c r="AC847">
        <v>0.26493847319942737</v>
      </c>
      <c r="AD847">
        <v>0.45004103184669147</v>
      </c>
      <c r="AE847" t="s">
        <v>262</v>
      </c>
      <c r="AF847" t="s">
        <v>253</v>
      </c>
      <c r="AG847">
        <v>461.75</v>
      </c>
      <c r="AH847">
        <v>27</v>
      </c>
      <c r="AI847">
        <v>14</v>
      </c>
      <c r="AJ847">
        <v>15</v>
      </c>
      <c r="AK847">
        <v>27.9</v>
      </c>
      <c r="AL847">
        <v>149</v>
      </c>
      <c r="AM847">
        <v>3982</v>
      </c>
      <c r="AN847">
        <v>81</v>
      </c>
      <c r="AO847">
        <v>79</v>
      </c>
      <c r="AP847">
        <v>80</v>
      </c>
      <c r="AQ847">
        <v>4.5</v>
      </c>
      <c r="AR847" t="s">
        <v>29</v>
      </c>
      <c r="AS847" t="s">
        <v>256</v>
      </c>
      <c r="AT847" t="s">
        <v>253</v>
      </c>
      <c r="AU847">
        <v>548.5</v>
      </c>
      <c r="AV847">
        <v>26</v>
      </c>
      <c r="AW847">
        <v>17</v>
      </c>
      <c r="AX847">
        <v>16</v>
      </c>
      <c r="AY847">
        <v>25.2</v>
      </c>
      <c r="AZ847">
        <v>25</v>
      </c>
      <c r="BA847">
        <v>7938</v>
      </c>
      <c r="BB847">
        <v>83</v>
      </c>
      <c r="BC847">
        <v>79</v>
      </c>
      <c r="BD847">
        <v>79</v>
      </c>
      <c r="BE847">
        <v>4.5</v>
      </c>
      <c r="BF847" t="s">
        <v>29</v>
      </c>
      <c r="BG847">
        <v>45</v>
      </c>
      <c r="BH847">
        <v>104</v>
      </c>
      <c r="BI847">
        <v>0.62</v>
      </c>
      <c r="BJ847" t="s">
        <v>267</v>
      </c>
      <c r="BK847">
        <v>0.5</v>
      </c>
      <c r="BL847">
        <v>0.5</v>
      </c>
      <c r="BM847">
        <v>1.5</v>
      </c>
      <c r="BN847">
        <v>1.62</v>
      </c>
    </row>
    <row r="848" spans="1:66" x14ac:dyDescent="0.25">
      <c r="D848">
        <v>3.7333333333333329</v>
      </c>
      <c r="E848">
        <v>3.6999999999999997</v>
      </c>
      <c r="F848">
        <v>1.9633333333333332</v>
      </c>
      <c r="G848" s="40">
        <v>0.28000000000000003</v>
      </c>
      <c r="H848" s="40">
        <v>0.34</v>
      </c>
      <c r="I848" s="40">
        <v>0.37999999999999995</v>
      </c>
      <c r="J848">
        <v>3.75</v>
      </c>
      <c r="K848">
        <v>3.65</v>
      </c>
      <c r="L848">
        <v>1.92</v>
      </c>
      <c r="M848">
        <v>3.7</v>
      </c>
      <c r="N848">
        <v>3.75</v>
      </c>
      <c r="O848">
        <v>2</v>
      </c>
      <c r="P848">
        <v>3.75</v>
      </c>
      <c r="Q848">
        <v>3.7</v>
      </c>
      <c r="R848">
        <v>1.97</v>
      </c>
      <c r="S848">
        <v>0.26081767208228418</v>
      </c>
      <c r="T848">
        <v>0.22977281213200448</v>
      </c>
      <c r="U848">
        <v>0.50940951578571125</v>
      </c>
      <c r="V848">
        <v>0.26064291920069504</v>
      </c>
      <c r="W848">
        <v>0.25716768027801912</v>
      </c>
      <c r="X848">
        <v>0.48218940052128584</v>
      </c>
      <c r="Y848">
        <v>0.25529306691417264</v>
      </c>
      <c r="Z848">
        <v>0.25874297322382361</v>
      </c>
      <c r="AA848">
        <v>0.48596395986200375</v>
      </c>
      <c r="AB848">
        <v>0.25891788606571731</v>
      </c>
      <c r="AC848">
        <v>0.24856115521128241</v>
      </c>
      <c r="AD848">
        <v>0.49252095872300022</v>
      </c>
      <c r="AE848" t="s">
        <v>312</v>
      </c>
      <c r="AF848" t="s">
        <v>307</v>
      </c>
      <c r="AG848">
        <v>418.35</v>
      </c>
      <c r="AH848">
        <v>31</v>
      </c>
      <c r="AI848">
        <v>20</v>
      </c>
      <c r="AJ848">
        <v>19</v>
      </c>
      <c r="AK848">
        <v>25.4</v>
      </c>
      <c r="AL848">
        <v>44</v>
      </c>
      <c r="AM848">
        <v>6735</v>
      </c>
      <c r="AN848">
        <v>79</v>
      </c>
      <c r="AO848">
        <v>77</v>
      </c>
      <c r="AP848">
        <v>76</v>
      </c>
      <c r="AQ848">
        <v>4</v>
      </c>
      <c r="AR848" t="s">
        <v>29</v>
      </c>
      <c r="AS848" t="s">
        <v>309</v>
      </c>
      <c r="AT848" t="s">
        <v>307</v>
      </c>
      <c r="AU848">
        <v>573.29999999999995</v>
      </c>
      <c r="AV848">
        <v>28</v>
      </c>
      <c r="AW848">
        <v>19</v>
      </c>
      <c r="AX848">
        <v>20</v>
      </c>
      <c r="AY848">
        <v>28.8</v>
      </c>
      <c r="AZ848">
        <v>37</v>
      </c>
      <c r="BA848">
        <v>7235</v>
      </c>
      <c r="BB848">
        <v>83</v>
      </c>
      <c r="BC848">
        <v>81</v>
      </c>
      <c r="BD848">
        <v>83</v>
      </c>
      <c r="BE848">
        <v>4.5</v>
      </c>
      <c r="BF848" t="s">
        <v>29</v>
      </c>
      <c r="BG848">
        <v>-60</v>
      </c>
      <c r="BH848">
        <v>240</v>
      </c>
      <c r="BI848">
        <v>0.29199999999999998</v>
      </c>
      <c r="BJ848" t="s">
        <v>322</v>
      </c>
      <c r="BK848">
        <v>0.52829999999999999</v>
      </c>
      <c r="BL848">
        <v>0.64580000000000004</v>
      </c>
      <c r="BM848">
        <v>1.87</v>
      </c>
      <c r="BN848">
        <v>2.1</v>
      </c>
    </row>
    <row r="849" spans="4:66" x14ac:dyDescent="0.25">
      <c r="D849">
        <v>2.4666666666666668</v>
      </c>
      <c r="E849">
        <v>3.4833333333333329</v>
      </c>
      <c r="F849">
        <v>2.8033333333333332</v>
      </c>
      <c r="G849" s="40">
        <v>0.34</v>
      </c>
      <c r="H849" s="40">
        <v>0.35</v>
      </c>
      <c r="I849" s="40">
        <v>0.30999999999999994</v>
      </c>
      <c r="J849">
        <v>2.4</v>
      </c>
      <c r="K849">
        <v>3.4</v>
      </c>
      <c r="L849">
        <v>2.85</v>
      </c>
      <c r="M849">
        <v>2.5</v>
      </c>
      <c r="N849">
        <v>3.55</v>
      </c>
      <c r="O849">
        <v>2.8</v>
      </c>
      <c r="P849">
        <v>2.5</v>
      </c>
      <c r="Q849">
        <v>3.5</v>
      </c>
      <c r="R849">
        <v>2.76</v>
      </c>
      <c r="S849">
        <v>0.4038011422151484</v>
      </c>
      <c r="T849">
        <v>0.25615579065630562</v>
      </c>
      <c r="U849">
        <v>0.34004306712854598</v>
      </c>
      <c r="V849">
        <v>0.38504745303118337</v>
      </c>
      <c r="W849">
        <v>0.27116017819097427</v>
      </c>
      <c r="X849">
        <v>0.34379236877784231</v>
      </c>
      <c r="Y849">
        <v>0.38166732516791779</v>
      </c>
      <c r="Z849">
        <v>0.27261951797708411</v>
      </c>
      <c r="AA849">
        <v>0.34571315685499804</v>
      </c>
      <c r="AB849">
        <v>0.39017197347141658</v>
      </c>
      <c r="AC849">
        <v>0.26664516227478802</v>
      </c>
      <c r="AD849">
        <v>0.34318286425379546</v>
      </c>
      <c r="AE849" t="s">
        <v>310</v>
      </c>
      <c r="AF849" t="s">
        <v>307</v>
      </c>
      <c r="AG849">
        <v>517.75</v>
      </c>
      <c r="AH849">
        <v>25</v>
      </c>
      <c r="AI849">
        <v>18</v>
      </c>
      <c r="AJ849">
        <v>17</v>
      </c>
      <c r="AK849">
        <v>27.6</v>
      </c>
      <c r="AL849">
        <v>38</v>
      </c>
      <c r="AM849">
        <v>7165</v>
      </c>
      <c r="AN849">
        <v>82</v>
      </c>
      <c r="AO849">
        <v>80</v>
      </c>
      <c r="AP849">
        <v>80</v>
      </c>
      <c r="AQ849">
        <v>4.5</v>
      </c>
      <c r="AR849" t="s">
        <v>29</v>
      </c>
      <c r="AS849" t="s">
        <v>308</v>
      </c>
      <c r="AT849" t="s">
        <v>307</v>
      </c>
      <c r="AU849">
        <v>415.35</v>
      </c>
      <c r="AV849">
        <v>26</v>
      </c>
      <c r="AW849">
        <v>16</v>
      </c>
      <c r="AX849">
        <v>17</v>
      </c>
      <c r="AY849">
        <v>27.1</v>
      </c>
      <c r="AZ849">
        <v>26</v>
      </c>
      <c r="BA849">
        <v>7928</v>
      </c>
      <c r="BB849">
        <v>82</v>
      </c>
      <c r="BC849">
        <v>79</v>
      </c>
      <c r="BD849">
        <v>78</v>
      </c>
      <c r="BE849">
        <v>4.5</v>
      </c>
      <c r="BF849" t="s">
        <v>29</v>
      </c>
      <c r="BG849">
        <v>32</v>
      </c>
      <c r="BH849">
        <v>182</v>
      </c>
      <c r="BI849">
        <v>0.42199999999999999</v>
      </c>
      <c r="BJ849" t="s">
        <v>322</v>
      </c>
      <c r="BK849">
        <v>0.58819999999999995</v>
      </c>
      <c r="BL849">
        <v>0.56859999999999999</v>
      </c>
      <c r="BM849">
        <v>2.02</v>
      </c>
      <c r="BN849">
        <v>2.1800000000000002</v>
      </c>
    </row>
    <row r="850" spans="4:66" x14ac:dyDescent="0.25">
      <c r="D850">
        <v>2.6833333333333336</v>
      </c>
      <c r="E850">
        <v>3.2999999999999994</v>
      </c>
      <c r="F850">
        <v>2.6766666666666672</v>
      </c>
      <c r="G850" s="40">
        <v>0.38</v>
      </c>
      <c r="H850" s="40">
        <v>0.31</v>
      </c>
      <c r="I850" s="40">
        <v>0.31</v>
      </c>
      <c r="J850">
        <v>2.7</v>
      </c>
      <c r="K850">
        <v>3.15</v>
      </c>
      <c r="L850">
        <v>2.63</v>
      </c>
      <c r="M850">
        <v>2.5</v>
      </c>
      <c r="N850">
        <v>3.55</v>
      </c>
      <c r="O850">
        <v>2.8</v>
      </c>
      <c r="P850">
        <v>2.85</v>
      </c>
      <c r="Q850">
        <v>3.2</v>
      </c>
      <c r="R850">
        <v>2.6</v>
      </c>
      <c r="S850">
        <v>0.35673237106752204</v>
      </c>
      <c r="T850">
        <v>0.27704047992779751</v>
      </c>
      <c r="U850">
        <v>0.36622714900468045</v>
      </c>
      <c r="V850">
        <v>0.38504745303118337</v>
      </c>
      <c r="W850">
        <v>0.27116017819097427</v>
      </c>
      <c r="X850">
        <v>0.34379236877784231</v>
      </c>
      <c r="Y850">
        <v>0.33480885311871228</v>
      </c>
      <c r="Z850">
        <v>0.29818913480885312</v>
      </c>
      <c r="AA850">
        <v>0.3670020120724346</v>
      </c>
      <c r="AB850">
        <v>0.35886289240580593</v>
      </c>
      <c r="AC850">
        <v>0.28212993097587497</v>
      </c>
      <c r="AD850">
        <v>0.35900717661831916</v>
      </c>
      <c r="AE850" t="s">
        <v>314</v>
      </c>
      <c r="AF850" t="s">
        <v>307</v>
      </c>
      <c r="AG850">
        <v>142.47999999999999</v>
      </c>
      <c r="AH850">
        <v>28</v>
      </c>
      <c r="AI850">
        <v>18</v>
      </c>
      <c r="AJ850">
        <v>11</v>
      </c>
      <c r="AK850">
        <v>25.6</v>
      </c>
      <c r="AL850">
        <v>161</v>
      </c>
      <c r="AM850">
        <v>3818</v>
      </c>
      <c r="AN850">
        <v>75</v>
      </c>
      <c r="AO850">
        <v>75</v>
      </c>
      <c r="AP850">
        <v>73</v>
      </c>
      <c r="AQ850">
        <v>3.5</v>
      </c>
      <c r="AR850" t="s">
        <v>46</v>
      </c>
      <c r="AS850" t="s">
        <v>320</v>
      </c>
      <c r="AT850" t="s">
        <v>307</v>
      </c>
      <c r="AU850">
        <v>248.8</v>
      </c>
      <c r="AV850">
        <v>26</v>
      </c>
      <c r="AW850">
        <v>16</v>
      </c>
      <c r="AX850">
        <v>14</v>
      </c>
      <c r="AY850">
        <v>26.8</v>
      </c>
      <c r="AZ850">
        <v>268</v>
      </c>
      <c r="BA850">
        <v>2679</v>
      </c>
      <c r="BB850">
        <v>78</v>
      </c>
      <c r="BC850">
        <v>76</v>
      </c>
      <c r="BD850">
        <v>75</v>
      </c>
      <c r="BE850">
        <v>4</v>
      </c>
      <c r="BF850" t="s">
        <v>29</v>
      </c>
      <c r="BG850">
        <v>-34</v>
      </c>
      <c r="BH850">
        <v>179</v>
      </c>
      <c r="BI850">
        <v>0.28699999999999998</v>
      </c>
      <c r="BJ850" t="s">
        <v>322</v>
      </c>
      <c r="BK850">
        <v>0.27500000000000002</v>
      </c>
      <c r="BL850">
        <v>0.26829999999999998</v>
      </c>
      <c r="BM850">
        <v>1.38</v>
      </c>
      <c r="BN850">
        <v>1.24</v>
      </c>
    </row>
    <row r="851" spans="4:66" x14ac:dyDescent="0.25">
      <c r="D851">
        <v>3.35</v>
      </c>
      <c r="E851">
        <v>3.6500000000000004</v>
      </c>
      <c r="F851">
        <v>2.0966666666666671</v>
      </c>
      <c r="G851" s="40">
        <v>0.31</v>
      </c>
      <c r="H851" s="40">
        <v>0.3</v>
      </c>
      <c r="I851" s="40">
        <v>0.38999999999999996</v>
      </c>
      <c r="J851">
        <v>3.35</v>
      </c>
      <c r="K851">
        <v>3.6</v>
      </c>
      <c r="L851">
        <v>2.06</v>
      </c>
      <c r="M851">
        <v>3.35</v>
      </c>
      <c r="N851">
        <v>3.65</v>
      </c>
      <c r="O851">
        <v>2.15</v>
      </c>
      <c r="P851">
        <v>3.35</v>
      </c>
      <c r="Q851">
        <v>3.7</v>
      </c>
      <c r="R851">
        <v>2.08</v>
      </c>
      <c r="S851">
        <v>0.29047618502155209</v>
      </c>
      <c r="T851">
        <v>0.2371474946764093</v>
      </c>
      <c r="U851">
        <v>0.47237632030203858</v>
      </c>
      <c r="V851">
        <v>0.2876913206855467</v>
      </c>
      <c r="W851">
        <v>0.26404545871139218</v>
      </c>
      <c r="X851">
        <v>0.44826322060306112</v>
      </c>
      <c r="Y851">
        <v>0.28441553642041462</v>
      </c>
      <c r="Z851">
        <v>0.2575113640563213</v>
      </c>
      <c r="AA851">
        <v>0.45807309952326392</v>
      </c>
      <c r="AB851">
        <v>0.28752768070917112</v>
      </c>
      <c r="AC851">
        <v>0.25290143914804092</v>
      </c>
      <c r="AD851">
        <v>0.45957088014278785</v>
      </c>
      <c r="AE851" t="s">
        <v>321</v>
      </c>
      <c r="AF851" t="s">
        <v>307</v>
      </c>
      <c r="AG851">
        <v>124.8</v>
      </c>
      <c r="AH851">
        <v>27</v>
      </c>
      <c r="AI851">
        <v>12</v>
      </c>
      <c r="AJ851">
        <v>8</v>
      </c>
      <c r="AK851">
        <v>27.1</v>
      </c>
      <c r="AL851">
        <v>279</v>
      </c>
      <c r="AM851">
        <v>2588</v>
      </c>
      <c r="AN851">
        <v>76</v>
      </c>
      <c r="AO851">
        <v>75</v>
      </c>
      <c r="AP851">
        <v>73</v>
      </c>
      <c r="AQ851">
        <v>4</v>
      </c>
      <c r="AR851" t="s">
        <v>43</v>
      </c>
      <c r="AS851" t="s">
        <v>311</v>
      </c>
      <c r="AT851" t="s">
        <v>307</v>
      </c>
      <c r="AU851">
        <v>326.60000000000002</v>
      </c>
      <c r="AV851">
        <v>33</v>
      </c>
      <c r="AW851">
        <v>26</v>
      </c>
      <c r="AX851">
        <v>12</v>
      </c>
      <c r="AY851">
        <v>27.4</v>
      </c>
      <c r="AZ851">
        <v>41</v>
      </c>
      <c r="BA851">
        <v>6846</v>
      </c>
      <c r="BB851">
        <v>82</v>
      </c>
      <c r="BC851">
        <v>80</v>
      </c>
      <c r="BD851">
        <v>79</v>
      </c>
      <c r="BE851">
        <v>4.5</v>
      </c>
      <c r="BF851" t="s">
        <v>46</v>
      </c>
      <c r="BG851">
        <v>-50</v>
      </c>
      <c r="BH851">
        <v>120</v>
      </c>
      <c r="BI851">
        <v>0.23699999999999999</v>
      </c>
      <c r="BJ851" t="s">
        <v>322</v>
      </c>
      <c r="BK851">
        <v>0.4</v>
      </c>
      <c r="BL851">
        <v>0.5</v>
      </c>
      <c r="BM851">
        <v>1.35</v>
      </c>
      <c r="BN851">
        <v>1.63</v>
      </c>
    </row>
    <row r="852" spans="4:66" x14ac:dyDescent="0.25">
      <c r="D852">
        <v>3.3000000000000003</v>
      </c>
      <c r="E852">
        <v>3.2333333333333329</v>
      </c>
      <c r="F852">
        <v>2.2833333333333332</v>
      </c>
      <c r="G852" s="40">
        <v>0.28000000000000003</v>
      </c>
      <c r="H852" s="40">
        <v>0.36</v>
      </c>
      <c r="I852" s="40">
        <v>0.36</v>
      </c>
      <c r="J852">
        <v>3.4</v>
      </c>
      <c r="K852">
        <v>3.15</v>
      </c>
      <c r="L852">
        <v>2.2000000000000002</v>
      </c>
      <c r="M852">
        <v>3.25</v>
      </c>
      <c r="N852">
        <v>3.3</v>
      </c>
      <c r="O852">
        <v>2.35</v>
      </c>
      <c r="P852">
        <v>3.25</v>
      </c>
      <c r="Q852">
        <v>3.25</v>
      </c>
      <c r="R852">
        <v>2.2999999999999998</v>
      </c>
      <c r="S852">
        <v>0.28581835842642062</v>
      </c>
      <c r="T852">
        <v>0.27246236036911126</v>
      </c>
      <c r="U852">
        <v>0.44171928120446818</v>
      </c>
      <c r="V852">
        <v>0.29692734756389394</v>
      </c>
      <c r="W852">
        <v>0.29242844835838039</v>
      </c>
      <c r="X852">
        <v>0.41064420407772562</v>
      </c>
      <c r="Y852">
        <v>0.2929936305732484</v>
      </c>
      <c r="Z852">
        <v>0.2929936305732484</v>
      </c>
      <c r="AA852">
        <v>0.4140127388535032</v>
      </c>
      <c r="AB852">
        <v>0.29191311218785437</v>
      </c>
      <c r="AC852">
        <v>0.28596147976691338</v>
      </c>
      <c r="AD852">
        <v>0.42212540804523235</v>
      </c>
      <c r="AE852" t="s">
        <v>319</v>
      </c>
      <c r="AF852" t="s">
        <v>307</v>
      </c>
      <c r="AG852">
        <v>153.53</v>
      </c>
      <c r="AH852">
        <v>29</v>
      </c>
      <c r="AI852">
        <v>17</v>
      </c>
      <c r="AJ852">
        <v>11</v>
      </c>
      <c r="AK852">
        <v>26.9</v>
      </c>
      <c r="AL852">
        <v>246</v>
      </c>
      <c r="AM852">
        <v>2866</v>
      </c>
      <c r="AN852">
        <v>76</v>
      </c>
      <c r="AO852">
        <v>73</v>
      </c>
      <c r="AP852">
        <v>73</v>
      </c>
      <c r="AQ852">
        <v>4</v>
      </c>
      <c r="AR852" t="s">
        <v>29</v>
      </c>
      <c r="AS852" t="s">
        <v>315</v>
      </c>
      <c r="AT852" t="s">
        <v>307</v>
      </c>
      <c r="AU852">
        <v>184.13</v>
      </c>
      <c r="AV852">
        <v>30</v>
      </c>
      <c r="AW852">
        <v>20</v>
      </c>
      <c r="AX852">
        <v>13</v>
      </c>
      <c r="AY852">
        <v>26</v>
      </c>
      <c r="AZ852">
        <v>162</v>
      </c>
      <c r="BA852">
        <v>3817</v>
      </c>
      <c r="BB852">
        <v>76</v>
      </c>
      <c r="BC852">
        <v>74</v>
      </c>
      <c r="BD852">
        <v>77</v>
      </c>
      <c r="BE852">
        <v>4</v>
      </c>
      <c r="BF852" t="s">
        <v>46</v>
      </c>
      <c r="BG852">
        <v>-19</v>
      </c>
      <c r="BH852">
        <v>105</v>
      </c>
      <c r="BI852">
        <v>0.27800000000000002</v>
      </c>
      <c r="BJ852" t="s">
        <v>322</v>
      </c>
      <c r="BK852">
        <v>0.26829999999999998</v>
      </c>
      <c r="BL852">
        <v>0.2195</v>
      </c>
      <c r="BM852">
        <v>1.1499999999999999</v>
      </c>
      <c r="BN852">
        <v>1.34</v>
      </c>
    </row>
    <row r="853" spans="4:66" x14ac:dyDescent="0.25">
      <c r="D853">
        <v>1.5933333333333335</v>
      </c>
      <c r="E853">
        <v>4.2110000000000003</v>
      </c>
      <c r="F853">
        <v>5.3500000000000005</v>
      </c>
      <c r="G853" s="40">
        <v>0.46</v>
      </c>
      <c r="H853" s="40">
        <v>0.33</v>
      </c>
      <c r="I853" s="40">
        <v>0.21000000000000002</v>
      </c>
      <c r="J853">
        <v>1.58</v>
      </c>
      <c r="K853">
        <v>4</v>
      </c>
      <c r="L853">
        <v>5.25</v>
      </c>
      <c r="M853">
        <v>1.6</v>
      </c>
      <c r="N853">
        <v>4.3330000000000002</v>
      </c>
      <c r="O853">
        <v>5.5</v>
      </c>
      <c r="P853">
        <v>1.6</v>
      </c>
      <c r="Q853">
        <v>4.3</v>
      </c>
      <c r="R853">
        <v>5.3</v>
      </c>
      <c r="S853">
        <v>0.62106013709507535</v>
      </c>
      <c r="T853">
        <v>0.19203033593154972</v>
      </c>
      <c r="U853">
        <v>0.18690952697337504</v>
      </c>
      <c r="V853">
        <v>0.60234858192865792</v>
      </c>
      <c r="W853">
        <v>0.22242273969209614</v>
      </c>
      <c r="X853">
        <v>0.17522867837924594</v>
      </c>
      <c r="Y853">
        <v>0.59737876802096979</v>
      </c>
      <c r="Z853">
        <v>0.22228047182175623</v>
      </c>
      <c r="AA853">
        <v>0.18034076015727393</v>
      </c>
      <c r="AB853">
        <v>0.60692916234823435</v>
      </c>
      <c r="AC853">
        <v>0.21224451581513404</v>
      </c>
      <c r="AD853">
        <v>0.18082632183663164</v>
      </c>
      <c r="AE853" t="s">
        <v>34</v>
      </c>
      <c r="AF853" t="s">
        <v>23</v>
      </c>
      <c r="AG853">
        <v>262.89999999999998</v>
      </c>
      <c r="AH853">
        <v>31</v>
      </c>
      <c r="AI853">
        <v>18</v>
      </c>
      <c r="AJ853">
        <v>8</v>
      </c>
      <c r="AK853">
        <v>23.3</v>
      </c>
      <c r="AL853">
        <v>145</v>
      </c>
      <c r="AM853">
        <v>4008</v>
      </c>
      <c r="AN853">
        <v>77</v>
      </c>
      <c r="AO853">
        <v>76</v>
      </c>
      <c r="AP853">
        <v>76</v>
      </c>
      <c r="AQ853">
        <v>4</v>
      </c>
      <c r="AR853" t="s">
        <v>29</v>
      </c>
      <c r="AS853" t="s">
        <v>45</v>
      </c>
      <c r="AT853" t="s">
        <v>23</v>
      </c>
      <c r="AU853">
        <v>88.3</v>
      </c>
      <c r="AV853">
        <v>26</v>
      </c>
      <c r="AW853">
        <v>7</v>
      </c>
      <c r="AX853">
        <v>4</v>
      </c>
      <c r="AY853">
        <v>25.1</v>
      </c>
      <c r="AZ853">
        <v>347</v>
      </c>
      <c r="BA853">
        <v>2156</v>
      </c>
      <c r="BB853">
        <v>72</v>
      </c>
      <c r="BC853">
        <v>73</v>
      </c>
      <c r="BD853">
        <v>72</v>
      </c>
      <c r="BE853">
        <v>3.5</v>
      </c>
      <c r="BF853" t="s">
        <v>29</v>
      </c>
      <c r="BG853">
        <v>8</v>
      </c>
      <c r="BH853">
        <v>41</v>
      </c>
      <c r="BI853">
        <v>0.52200000000000002</v>
      </c>
      <c r="BJ853" t="s">
        <v>266</v>
      </c>
      <c r="BK853">
        <v>0.38300000000000001</v>
      </c>
      <c r="BL853">
        <v>0.3</v>
      </c>
      <c r="BM853">
        <v>1.28</v>
      </c>
      <c r="BN853">
        <v>1.3</v>
      </c>
    </row>
    <row r="854" spans="4:66" x14ac:dyDescent="0.25">
      <c r="D854">
        <v>4.083333333333333</v>
      </c>
      <c r="E854">
        <v>3.7666666666666671</v>
      </c>
      <c r="F854">
        <v>1.8366666666666667</v>
      </c>
      <c r="G854" s="40">
        <v>0.2</v>
      </c>
      <c r="H854" s="40">
        <v>0.28999999999999998</v>
      </c>
      <c r="I854" s="40">
        <v>0.51</v>
      </c>
      <c r="J854">
        <v>3.95</v>
      </c>
      <c r="K854">
        <v>3.7</v>
      </c>
      <c r="L854">
        <v>1.81</v>
      </c>
      <c r="M854">
        <v>4.2</v>
      </c>
      <c r="N854">
        <v>3.8</v>
      </c>
      <c r="O854">
        <v>1.85</v>
      </c>
      <c r="P854">
        <v>4.0999999999999996</v>
      </c>
      <c r="Q854">
        <v>3.8</v>
      </c>
      <c r="R854">
        <v>1.85</v>
      </c>
      <c r="S854">
        <v>0.24451843875453713</v>
      </c>
      <c r="T854">
        <v>0.22186397390821325</v>
      </c>
      <c r="U854">
        <v>0.53361758733724951</v>
      </c>
      <c r="V854">
        <v>0.22854356306892068</v>
      </c>
      <c r="W854">
        <v>0.25260078023407023</v>
      </c>
      <c r="X854">
        <v>0.51885565669700906</v>
      </c>
      <c r="Y854">
        <v>0.23282000331180661</v>
      </c>
      <c r="Z854">
        <v>0.25120052988905445</v>
      </c>
      <c r="AA854">
        <v>0.51597946679913886</v>
      </c>
      <c r="AB854">
        <v>0.23529400171175482</v>
      </c>
      <c r="AC854">
        <v>0.24188842801044597</v>
      </c>
      <c r="AD854">
        <v>0.52281757027779918</v>
      </c>
      <c r="AE854" t="s">
        <v>35</v>
      </c>
      <c r="AF854" t="s">
        <v>23</v>
      </c>
      <c r="AG854">
        <v>93.2</v>
      </c>
      <c r="AH854">
        <v>28</v>
      </c>
      <c r="AI854">
        <v>13</v>
      </c>
      <c r="AJ854">
        <v>9</v>
      </c>
      <c r="AK854">
        <v>23.9</v>
      </c>
      <c r="AL854">
        <v>169</v>
      </c>
      <c r="AM854">
        <v>3749</v>
      </c>
      <c r="AN854">
        <v>74</v>
      </c>
      <c r="AO854">
        <v>74</v>
      </c>
      <c r="AP854">
        <v>73</v>
      </c>
      <c r="AQ854">
        <v>3.5</v>
      </c>
      <c r="AR854" t="s">
        <v>29</v>
      </c>
      <c r="AS854" t="s">
        <v>32</v>
      </c>
      <c r="AT854" t="s">
        <v>23</v>
      </c>
      <c r="AU854">
        <v>189.65</v>
      </c>
      <c r="AV854">
        <v>29</v>
      </c>
      <c r="AW854">
        <v>11</v>
      </c>
      <c r="AX854">
        <v>7</v>
      </c>
      <c r="AY854">
        <v>23.6</v>
      </c>
      <c r="AZ854">
        <v>102</v>
      </c>
      <c r="BA854">
        <v>4815</v>
      </c>
      <c r="BB854">
        <v>75</v>
      </c>
      <c r="BC854">
        <v>76</v>
      </c>
      <c r="BD854">
        <v>76</v>
      </c>
      <c r="BE854">
        <v>4</v>
      </c>
      <c r="BF854" t="s">
        <v>29</v>
      </c>
      <c r="BG854">
        <v>-12</v>
      </c>
      <c r="BH854">
        <v>63</v>
      </c>
      <c r="BI854">
        <v>0.26900000000000002</v>
      </c>
      <c r="BJ854" t="s">
        <v>266</v>
      </c>
      <c r="BK854">
        <v>0.30769999999999997</v>
      </c>
      <c r="BL854">
        <v>0.35560000000000003</v>
      </c>
      <c r="BM854">
        <v>1.08</v>
      </c>
      <c r="BN854">
        <v>1.24</v>
      </c>
    </row>
    <row r="855" spans="4:66" x14ac:dyDescent="0.25">
      <c r="D855">
        <v>2.4333333333333336</v>
      </c>
      <c r="E855">
        <v>3.0500000000000003</v>
      </c>
      <c r="F855">
        <v>3.1666666666666665</v>
      </c>
      <c r="G855" s="40">
        <v>0.26</v>
      </c>
      <c r="H855" s="40">
        <v>0.45</v>
      </c>
      <c r="I855" s="40">
        <v>0.28999999999999998</v>
      </c>
      <c r="J855">
        <v>2.35</v>
      </c>
      <c r="K855">
        <v>3</v>
      </c>
      <c r="L855">
        <v>3.1</v>
      </c>
      <c r="M855">
        <v>2.5</v>
      </c>
      <c r="N855">
        <v>3.1</v>
      </c>
      <c r="O855">
        <v>3.2</v>
      </c>
      <c r="P855">
        <v>2.4500000000000002</v>
      </c>
      <c r="Q855">
        <v>3.05</v>
      </c>
      <c r="R855">
        <v>3.2</v>
      </c>
      <c r="S855">
        <v>0.4054151743173528</v>
      </c>
      <c r="T855">
        <v>0.28725396773239575</v>
      </c>
      <c r="U855">
        <v>0.30733085795025133</v>
      </c>
      <c r="V855">
        <v>0.3864433190494741</v>
      </c>
      <c r="W855">
        <v>0.31164783794312428</v>
      </c>
      <c r="X855">
        <v>0.30190884300740162</v>
      </c>
      <c r="Y855">
        <v>0.38927111377006679</v>
      </c>
      <c r="Z855">
        <v>0.31269318974972582</v>
      </c>
      <c r="AA855">
        <v>0.29803569648020739</v>
      </c>
      <c r="AB855">
        <v>0.39370986904563127</v>
      </c>
      <c r="AC855">
        <v>0.30386499847508192</v>
      </c>
      <c r="AD855">
        <v>0.30242513247928682</v>
      </c>
      <c r="AE855" t="s">
        <v>37</v>
      </c>
      <c r="AF855" t="s">
        <v>23</v>
      </c>
      <c r="AG855">
        <v>90.78</v>
      </c>
      <c r="AH855">
        <v>27</v>
      </c>
      <c r="AI855">
        <v>19</v>
      </c>
      <c r="AJ855">
        <v>10</v>
      </c>
      <c r="AK855">
        <v>24.4</v>
      </c>
      <c r="AL855">
        <v>223</v>
      </c>
      <c r="AM855">
        <v>3054</v>
      </c>
      <c r="AN855">
        <v>73</v>
      </c>
      <c r="AO855">
        <v>73</v>
      </c>
      <c r="AP855">
        <v>74</v>
      </c>
      <c r="AQ855">
        <v>3.5</v>
      </c>
      <c r="AR855" t="s">
        <v>29</v>
      </c>
      <c r="AS855" t="s">
        <v>41</v>
      </c>
      <c r="AT855" t="s">
        <v>23</v>
      </c>
      <c r="AU855">
        <v>66.7</v>
      </c>
      <c r="AV855">
        <v>28</v>
      </c>
      <c r="AW855">
        <v>11</v>
      </c>
      <c r="AX855">
        <v>6</v>
      </c>
      <c r="AY855">
        <v>26</v>
      </c>
      <c r="AZ855">
        <v>266</v>
      </c>
      <c r="BA855">
        <v>2690</v>
      </c>
      <c r="BB855">
        <v>75</v>
      </c>
      <c r="BC855">
        <v>75</v>
      </c>
      <c r="BD855">
        <v>74</v>
      </c>
      <c r="BE855">
        <v>4</v>
      </c>
      <c r="BF855" t="s">
        <v>29</v>
      </c>
      <c r="BG855">
        <v>3</v>
      </c>
      <c r="BH855">
        <v>26</v>
      </c>
      <c r="BI855">
        <v>0.316</v>
      </c>
      <c r="BJ855" t="s">
        <v>266</v>
      </c>
      <c r="BK855">
        <v>0.24390000000000001</v>
      </c>
      <c r="BL855">
        <v>0.35709999999999997</v>
      </c>
      <c r="BM855">
        <v>1.1200000000000001</v>
      </c>
      <c r="BN855">
        <v>1.1399999999999999</v>
      </c>
    </row>
    <row r="856" spans="4:66" x14ac:dyDescent="0.25">
      <c r="D856">
        <v>1.8633333333333333</v>
      </c>
      <c r="E856">
        <v>3.6166666666666671</v>
      </c>
      <c r="F856">
        <v>4.2</v>
      </c>
      <c r="G856" s="40">
        <v>0.33</v>
      </c>
      <c r="H856" s="40">
        <v>0.42</v>
      </c>
      <c r="I856" s="40">
        <v>0.24999999999999994</v>
      </c>
      <c r="J856">
        <v>1.82</v>
      </c>
      <c r="K856">
        <v>3.5</v>
      </c>
      <c r="L856">
        <v>4.2</v>
      </c>
      <c r="M856">
        <v>1.9</v>
      </c>
      <c r="N856">
        <v>3.7</v>
      </c>
      <c r="O856">
        <v>4.2</v>
      </c>
      <c r="P856">
        <v>1.87</v>
      </c>
      <c r="Q856">
        <v>3.65</v>
      </c>
      <c r="R856">
        <v>4.2</v>
      </c>
      <c r="S856">
        <v>0.53492081576848582</v>
      </c>
      <c r="T856">
        <v>0.23328016406517033</v>
      </c>
      <c r="U856">
        <v>0.23179902016634388</v>
      </c>
      <c r="V856">
        <v>0.50867430441898531</v>
      </c>
      <c r="W856">
        <v>0.26121112929623563</v>
      </c>
      <c r="X856">
        <v>0.23011456628477903</v>
      </c>
      <c r="Y856">
        <v>0.51083823455905641</v>
      </c>
      <c r="Z856">
        <v>0.26171712291107818</v>
      </c>
      <c r="AA856">
        <v>0.22744464252986557</v>
      </c>
      <c r="AB856">
        <v>0.51814445158217592</v>
      </c>
      <c r="AC856">
        <v>0.25206947209082803</v>
      </c>
      <c r="AD856">
        <v>0.22978607632699619</v>
      </c>
      <c r="AE856" t="s">
        <v>40</v>
      </c>
      <c r="AF856" t="s">
        <v>23</v>
      </c>
      <c r="AG856">
        <v>218.25</v>
      </c>
      <c r="AH856">
        <v>26</v>
      </c>
      <c r="AI856">
        <v>17</v>
      </c>
      <c r="AJ856">
        <v>8</v>
      </c>
      <c r="AK856">
        <v>24.1</v>
      </c>
      <c r="AL856">
        <v>255</v>
      </c>
      <c r="AM856">
        <v>2803</v>
      </c>
      <c r="AN856">
        <v>77</v>
      </c>
      <c r="AO856">
        <v>74</v>
      </c>
      <c r="AP856">
        <v>73</v>
      </c>
      <c r="AQ856">
        <v>4</v>
      </c>
      <c r="AR856" t="s">
        <v>28</v>
      </c>
      <c r="AS856" t="s">
        <v>36</v>
      </c>
      <c r="AT856" t="s">
        <v>23</v>
      </c>
      <c r="AU856">
        <v>87.7</v>
      </c>
      <c r="AV856">
        <v>27</v>
      </c>
      <c r="AW856">
        <v>15</v>
      </c>
      <c r="AX856">
        <v>6</v>
      </c>
      <c r="AY856">
        <v>26</v>
      </c>
      <c r="AZ856">
        <v>180</v>
      </c>
      <c r="BA856">
        <v>3627</v>
      </c>
      <c r="BB856">
        <v>75</v>
      </c>
      <c r="BC856">
        <v>73</v>
      </c>
      <c r="BD856">
        <v>74</v>
      </c>
      <c r="BE856">
        <v>3.5</v>
      </c>
      <c r="BF856" t="s">
        <v>29</v>
      </c>
      <c r="BG856">
        <v>5</v>
      </c>
      <c r="BH856">
        <v>47</v>
      </c>
      <c r="BI856">
        <v>0.32400000000000001</v>
      </c>
      <c r="BJ856" t="s">
        <v>266</v>
      </c>
      <c r="BK856">
        <v>0.36959999999999998</v>
      </c>
      <c r="BL856">
        <v>0.28210000000000002</v>
      </c>
      <c r="BM856">
        <v>1.33</v>
      </c>
      <c r="BN856">
        <v>1.26</v>
      </c>
    </row>
    <row r="857" spans="4:66" x14ac:dyDescent="0.25">
      <c r="D857">
        <v>4.4833333333333334</v>
      </c>
      <c r="E857">
        <v>4.2443333333333326</v>
      </c>
      <c r="F857">
        <v>1.68</v>
      </c>
      <c r="G857" s="40">
        <v>0.27</v>
      </c>
      <c r="H857" s="40">
        <v>0.31</v>
      </c>
      <c r="I857" s="40">
        <v>0.42</v>
      </c>
      <c r="J857">
        <v>4.3499999999999996</v>
      </c>
      <c r="K857">
        <v>4.0999999999999996</v>
      </c>
      <c r="L857">
        <v>1.66</v>
      </c>
      <c r="M857">
        <v>4.5</v>
      </c>
      <c r="N857">
        <v>4.3330000000000002</v>
      </c>
      <c r="O857">
        <v>1.7</v>
      </c>
      <c r="P857">
        <v>4.5999999999999996</v>
      </c>
      <c r="Q857">
        <v>4.3</v>
      </c>
      <c r="R857">
        <v>1.68</v>
      </c>
      <c r="S857">
        <v>0.22243311665727528</v>
      </c>
      <c r="T857">
        <v>0.19468492101793713</v>
      </c>
      <c r="U857">
        <v>0.58288196232478762</v>
      </c>
      <c r="V857">
        <v>0.21341982813070412</v>
      </c>
      <c r="W857">
        <v>0.22164533269978504</v>
      </c>
      <c r="X857">
        <v>0.56493483916951093</v>
      </c>
      <c r="Y857">
        <v>0.207992629275596</v>
      </c>
      <c r="Z857">
        <v>0.22250374294598643</v>
      </c>
      <c r="AA857">
        <v>0.56950362777841756</v>
      </c>
      <c r="AB857">
        <v>0.21461519135452511</v>
      </c>
      <c r="AC857">
        <v>0.21294466555456951</v>
      </c>
      <c r="AD857">
        <v>0.57244014309090541</v>
      </c>
      <c r="AE857" t="s">
        <v>44</v>
      </c>
      <c r="AF857" t="s">
        <v>23</v>
      </c>
      <c r="AG857">
        <v>87.7</v>
      </c>
      <c r="AH857">
        <v>29</v>
      </c>
      <c r="AI857">
        <v>16</v>
      </c>
      <c r="AJ857">
        <v>10</v>
      </c>
      <c r="AK857">
        <v>25.1</v>
      </c>
      <c r="AL857">
        <v>326</v>
      </c>
      <c r="AM857">
        <v>2298</v>
      </c>
      <c r="AN857">
        <v>74</v>
      </c>
      <c r="AO857">
        <v>73</v>
      </c>
      <c r="AP857">
        <v>72</v>
      </c>
      <c r="AQ857">
        <v>3.5</v>
      </c>
      <c r="AR857" t="s">
        <v>29</v>
      </c>
      <c r="AS857" t="s">
        <v>30</v>
      </c>
      <c r="AT857" t="s">
        <v>23</v>
      </c>
      <c r="AU857">
        <v>348.55</v>
      </c>
      <c r="AV857">
        <v>30</v>
      </c>
      <c r="AW857">
        <v>19</v>
      </c>
      <c r="AX857">
        <v>14</v>
      </c>
      <c r="AY857">
        <v>25.2</v>
      </c>
      <c r="AZ857">
        <v>60</v>
      </c>
      <c r="BA857">
        <v>6154</v>
      </c>
      <c r="BB857">
        <v>79</v>
      </c>
      <c r="BC857">
        <v>79</v>
      </c>
      <c r="BD857">
        <v>77</v>
      </c>
      <c r="BE857">
        <v>4</v>
      </c>
      <c r="BF857" t="s">
        <v>29</v>
      </c>
      <c r="BG857">
        <v>-11</v>
      </c>
      <c r="BH857">
        <v>95</v>
      </c>
      <c r="BI857">
        <v>0.29899999999999999</v>
      </c>
      <c r="BJ857" t="s">
        <v>266</v>
      </c>
      <c r="BK857">
        <v>0.33329999999999999</v>
      </c>
      <c r="BL857">
        <v>0.57140000000000002</v>
      </c>
      <c r="BM857">
        <v>1.08</v>
      </c>
      <c r="BN857">
        <v>2.21</v>
      </c>
    </row>
    <row r="858" spans="4:66" x14ac:dyDescent="0.25">
      <c r="D858">
        <v>3.5333333333333332</v>
      </c>
      <c r="E858">
        <v>3.4833333333333329</v>
      </c>
      <c r="F858">
        <v>2.0933333333333333</v>
      </c>
      <c r="G858" s="40">
        <v>0.34</v>
      </c>
      <c r="H858" s="40">
        <v>0.38</v>
      </c>
      <c r="I858" s="40">
        <v>0.27999999999999992</v>
      </c>
      <c r="J858">
        <v>3.5</v>
      </c>
      <c r="K858">
        <v>3.4</v>
      </c>
      <c r="L858">
        <v>2.1</v>
      </c>
      <c r="M858">
        <v>3.55</v>
      </c>
      <c r="N858">
        <v>3.55</v>
      </c>
      <c r="O858">
        <v>2.1</v>
      </c>
      <c r="P858">
        <v>3.55</v>
      </c>
      <c r="Q858">
        <v>3.5</v>
      </c>
      <c r="R858">
        <v>2.08</v>
      </c>
      <c r="S858">
        <v>0.28057553956834536</v>
      </c>
      <c r="T858">
        <v>0.25179856115107913</v>
      </c>
      <c r="U858">
        <v>0.46762589928057557</v>
      </c>
      <c r="V858">
        <v>0.2709677419354839</v>
      </c>
      <c r="W858">
        <v>0.2709677419354839</v>
      </c>
      <c r="X858">
        <v>0.45806451612903226</v>
      </c>
      <c r="Y858">
        <v>0.26874377053416515</v>
      </c>
      <c r="Z858">
        <v>0.27258296725608178</v>
      </c>
      <c r="AA858">
        <v>0.45867326220975307</v>
      </c>
      <c r="AB858">
        <v>0.27342901734599812</v>
      </c>
      <c r="AC858">
        <v>0.26511642344754827</v>
      </c>
      <c r="AD858">
        <v>0.46145455920645362</v>
      </c>
      <c r="AE858" t="s">
        <v>58</v>
      </c>
      <c r="AF858" t="s">
        <v>26</v>
      </c>
      <c r="AG858">
        <v>77.8</v>
      </c>
      <c r="AH858">
        <v>31</v>
      </c>
      <c r="AI858">
        <v>13</v>
      </c>
      <c r="AJ858">
        <v>7</v>
      </c>
      <c r="AK858">
        <v>26.9</v>
      </c>
      <c r="AL858">
        <v>243</v>
      </c>
      <c r="AM858">
        <v>2873</v>
      </c>
      <c r="AN858">
        <v>75</v>
      </c>
      <c r="AO858">
        <v>72</v>
      </c>
      <c r="AP858">
        <v>73</v>
      </c>
      <c r="AQ858">
        <v>3.5</v>
      </c>
      <c r="AR858" t="s">
        <v>46</v>
      </c>
      <c r="AS858" t="s">
        <v>25</v>
      </c>
      <c r="AT858" t="s">
        <v>26</v>
      </c>
      <c r="AU858">
        <v>505.55</v>
      </c>
      <c r="AV858">
        <v>28</v>
      </c>
      <c r="AW858">
        <v>21</v>
      </c>
      <c r="AX858">
        <v>16</v>
      </c>
      <c r="AY858">
        <v>24.1</v>
      </c>
      <c r="AZ858">
        <v>16</v>
      </c>
      <c r="BA858">
        <v>9221</v>
      </c>
      <c r="BB858">
        <v>78</v>
      </c>
      <c r="BC858">
        <v>81</v>
      </c>
      <c r="BD858">
        <v>80</v>
      </c>
      <c r="BE858">
        <v>4.5</v>
      </c>
      <c r="BF858" t="s">
        <v>29</v>
      </c>
      <c r="BG858">
        <v>-14</v>
      </c>
      <c r="BH858">
        <v>22</v>
      </c>
      <c r="BI858">
        <v>0.20799999999999999</v>
      </c>
      <c r="BJ858" t="s">
        <v>273</v>
      </c>
      <c r="BK858">
        <v>0.36109999999999998</v>
      </c>
      <c r="BL858">
        <v>0.58330000000000004</v>
      </c>
      <c r="BM858">
        <v>1.47</v>
      </c>
      <c r="BN858">
        <v>1.79</v>
      </c>
    </row>
    <row r="859" spans="4:66" x14ac:dyDescent="0.25">
      <c r="D859">
        <v>2.5233333333333334</v>
      </c>
      <c r="E859">
        <v>3.25</v>
      </c>
      <c r="F859">
        <v>2.9166666666666665</v>
      </c>
      <c r="G859" s="40">
        <v>0.31</v>
      </c>
      <c r="H859" s="40">
        <v>0.4</v>
      </c>
      <c r="I859" s="40">
        <v>0.28999999999999992</v>
      </c>
      <c r="J859">
        <v>2.5499999999999998</v>
      </c>
      <c r="K859">
        <v>3.2</v>
      </c>
      <c r="L859">
        <v>2.88</v>
      </c>
      <c r="M859">
        <v>2.5</v>
      </c>
      <c r="N859">
        <v>3.3</v>
      </c>
      <c r="O859">
        <v>2.95</v>
      </c>
      <c r="P859">
        <v>2.52</v>
      </c>
      <c r="Q859">
        <v>3.25</v>
      </c>
      <c r="R859">
        <v>2.92</v>
      </c>
      <c r="S859">
        <v>0.38485651197632753</v>
      </c>
      <c r="T859">
        <v>0.27438511804463239</v>
      </c>
      <c r="U859">
        <v>0.34075836997903997</v>
      </c>
      <c r="V859">
        <v>0.38387223974763401</v>
      </c>
      <c r="W859">
        <v>0.29081230283911674</v>
      </c>
      <c r="X859">
        <v>0.32531545741324913</v>
      </c>
      <c r="Y859">
        <v>0.37901782861524691</v>
      </c>
      <c r="Z859">
        <v>0.29388459326474531</v>
      </c>
      <c r="AA859">
        <v>0.32709757812000761</v>
      </c>
      <c r="AB859">
        <v>0.38258219344640282</v>
      </c>
      <c r="AC859">
        <v>0.2863606713828315</v>
      </c>
      <c r="AD859">
        <v>0.33105713517076557</v>
      </c>
      <c r="AE859" t="s">
        <v>57</v>
      </c>
      <c r="AF859" t="s">
        <v>26</v>
      </c>
      <c r="AG859">
        <v>100.5</v>
      </c>
      <c r="AH859">
        <v>25</v>
      </c>
      <c r="AI859">
        <v>13</v>
      </c>
      <c r="AJ859">
        <v>6</v>
      </c>
      <c r="AK859">
        <v>25.5</v>
      </c>
      <c r="AL859">
        <v>234</v>
      </c>
      <c r="AM859">
        <v>2973</v>
      </c>
      <c r="AN859">
        <v>72</v>
      </c>
      <c r="AO859">
        <v>73</v>
      </c>
      <c r="AP859">
        <v>73</v>
      </c>
      <c r="AQ859">
        <v>3.5</v>
      </c>
      <c r="AR859" t="s">
        <v>46</v>
      </c>
      <c r="AS859" t="s">
        <v>274</v>
      </c>
      <c r="AT859" t="s">
        <v>26</v>
      </c>
      <c r="AU859">
        <v>287.75</v>
      </c>
      <c r="AV859">
        <v>31</v>
      </c>
      <c r="AW859">
        <v>20</v>
      </c>
      <c r="AX859">
        <v>11</v>
      </c>
      <c r="AY859">
        <v>25.4</v>
      </c>
      <c r="AZ859">
        <v>65</v>
      </c>
      <c r="BA859">
        <v>5919</v>
      </c>
      <c r="BB859">
        <v>78</v>
      </c>
      <c r="BC859">
        <v>78</v>
      </c>
      <c r="BD859">
        <v>77</v>
      </c>
      <c r="BE859">
        <v>4</v>
      </c>
      <c r="BF859" t="s">
        <v>46</v>
      </c>
      <c r="BG859">
        <v>-12</v>
      </c>
      <c r="BH859">
        <v>42</v>
      </c>
      <c r="BI859">
        <v>0.22500000000000001</v>
      </c>
      <c r="BJ859" t="s">
        <v>273</v>
      </c>
      <c r="BK859">
        <v>0.30559999999999998</v>
      </c>
      <c r="BL859">
        <v>0.53659999999999997</v>
      </c>
      <c r="BM859">
        <v>1.28</v>
      </c>
      <c r="BN859">
        <v>1.88</v>
      </c>
    </row>
    <row r="860" spans="4:66" x14ac:dyDescent="0.25">
      <c r="D860">
        <v>3.9666666666666668</v>
      </c>
      <c r="E860">
        <v>4.3109999999999999</v>
      </c>
      <c r="F860">
        <v>1.7696666666666667</v>
      </c>
      <c r="G860" s="40">
        <v>0.37</v>
      </c>
      <c r="H860" s="40">
        <v>0.25</v>
      </c>
      <c r="I860" s="40">
        <v>0.38</v>
      </c>
      <c r="J860">
        <v>4</v>
      </c>
      <c r="K860">
        <v>4.3</v>
      </c>
      <c r="L860">
        <v>1.76</v>
      </c>
      <c r="M860">
        <v>4</v>
      </c>
      <c r="N860">
        <v>4.3330000000000002</v>
      </c>
      <c r="O860">
        <v>1.7689999999999999</v>
      </c>
      <c r="P860">
        <v>3.9</v>
      </c>
      <c r="Q860">
        <v>4.3</v>
      </c>
      <c r="R860">
        <v>1.78</v>
      </c>
      <c r="S860">
        <v>0.24697920297432324</v>
      </c>
      <c r="T860">
        <v>0.19170442662948764</v>
      </c>
      <c r="U860">
        <v>0.5613163703961892</v>
      </c>
      <c r="V860">
        <v>0.23898789006118748</v>
      </c>
      <c r="W860">
        <v>0.22062117707010151</v>
      </c>
      <c r="X860">
        <v>0.54039093286871109</v>
      </c>
      <c r="Y860">
        <v>0.24402218963208572</v>
      </c>
      <c r="Z860">
        <v>0.22132245106165913</v>
      </c>
      <c r="AA860">
        <v>0.53465535930625518</v>
      </c>
      <c r="AB860">
        <v>0.2433297608891988</v>
      </c>
      <c r="AC860">
        <v>0.21121601825374944</v>
      </c>
      <c r="AD860">
        <v>0.54545422085705186</v>
      </c>
      <c r="AE860" t="s">
        <v>50</v>
      </c>
      <c r="AF860" t="s">
        <v>26</v>
      </c>
      <c r="AG860">
        <v>565.79999999999995</v>
      </c>
      <c r="AH860">
        <v>33</v>
      </c>
      <c r="AI860">
        <v>18</v>
      </c>
      <c r="AJ860">
        <v>17</v>
      </c>
      <c r="AK860">
        <v>24.7</v>
      </c>
      <c r="AL860">
        <v>36</v>
      </c>
      <c r="AM860">
        <v>7276</v>
      </c>
      <c r="AN860">
        <v>87</v>
      </c>
      <c r="AO860">
        <v>81</v>
      </c>
      <c r="AP860">
        <v>81</v>
      </c>
      <c r="AQ860">
        <v>4.5</v>
      </c>
      <c r="AR860" t="s">
        <v>29</v>
      </c>
      <c r="AS860" t="s">
        <v>31</v>
      </c>
      <c r="AT860" t="s">
        <v>26</v>
      </c>
      <c r="AU860">
        <v>852.4</v>
      </c>
      <c r="AV860">
        <v>25</v>
      </c>
      <c r="AW860">
        <v>15</v>
      </c>
      <c r="AX860">
        <v>17</v>
      </c>
      <c r="AY860">
        <v>26.1</v>
      </c>
      <c r="AZ860">
        <v>6</v>
      </c>
      <c r="BA860">
        <v>10885</v>
      </c>
      <c r="BB860">
        <v>92</v>
      </c>
      <c r="BC860">
        <v>85</v>
      </c>
      <c r="BD860">
        <v>82</v>
      </c>
      <c r="BE860">
        <v>5</v>
      </c>
      <c r="BF860" t="s">
        <v>29</v>
      </c>
      <c r="BG860">
        <v>-89</v>
      </c>
      <c r="BH860">
        <v>132</v>
      </c>
      <c r="BI860">
        <v>0.26400000000000001</v>
      </c>
      <c r="BJ860" t="s">
        <v>273</v>
      </c>
      <c r="BK860">
        <v>0.60780000000000001</v>
      </c>
      <c r="BL860">
        <v>0.72919999999999996</v>
      </c>
      <c r="BM860">
        <v>2.27</v>
      </c>
      <c r="BN860">
        <v>2.83</v>
      </c>
    </row>
    <row r="861" spans="4:66" x14ac:dyDescent="0.25">
      <c r="D861">
        <v>2.2833333333333332</v>
      </c>
      <c r="E861">
        <v>3.3166666666666664</v>
      </c>
      <c r="F861">
        <v>3.25</v>
      </c>
      <c r="G861" s="40">
        <v>0.36</v>
      </c>
      <c r="H861" s="40">
        <v>0.34</v>
      </c>
      <c r="I861" s="40">
        <v>0.3</v>
      </c>
      <c r="J861">
        <v>2.25</v>
      </c>
      <c r="K861">
        <v>3.3</v>
      </c>
      <c r="L861">
        <v>3.25</v>
      </c>
      <c r="M861">
        <v>2.2999999999999998</v>
      </c>
      <c r="N861">
        <v>3.35</v>
      </c>
      <c r="O861">
        <v>3.3</v>
      </c>
      <c r="P861">
        <v>2.2999999999999998</v>
      </c>
      <c r="Q861">
        <v>3.3</v>
      </c>
      <c r="R861">
        <v>3.2</v>
      </c>
      <c r="S861">
        <v>0.43573245548406397</v>
      </c>
      <c r="T861">
        <v>0.26260661379619926</v>
      </c>
      <c r="U861">
        <v>0.3016609307197366</v>
      </c>
      <c r="V861">
        <v>0.41954459203036054</v>
      </c>
      <c r="W861">
        <v>0.28804554079696393</v>
      </c>
      <c r="X861">
        <v>0.29240986717267553</v>
      </c>
      <c r="Y861">
        <v>0.41395531164249316</v>
      </c>
      <c r="Z861">
        <v>0.28851430811446493</v>
      </c>
      <c r="AA861">
        <v>0.29753038024304196</v>
      </c>
      <c r="AB861">
        <v>0.42307745305230587</v>
      </c>
      <c r="AC861">
        <v>0.27972215423587604</v>
      </c>
      <c r="AD861">
        <v>0.29720039271181803</v>
      </c>
      <c r="AE861" t="s">
        <v>61</v>
      </c>
      <c r="AF861" t="s">
        <v>26</v>
      </c>
      <c r="AG861">
        <v>169.63</v>
      </c>
      <c r="AH861">
        <v>33</v>
      </c>
      <c r="AI861">
        <v>18</v>
      </c>
      <c r="AJ861">
        <v>4</v>
      </c>
      <c r="AK861">
        <v>23.3</v>
      </c>
      <c r="AL861">
        <v>671</v>
      </c>
      <c r="AM861">
        <v>828</v>
      </c>
      <c r="AN861">
        <v>74</v>
      </c>
      <c r="AO861">
        <v>73</v>
      </c>
      <c r="AP861">
        <v>72</v>
      </c>
      <c r="AQ861">
        <v>3.5</v>
      </c>
      <c r="AR861" t="s">
        <v>29</v>
      </c>
      <c r="AS861" t="s">
        <v>59</v>
      </c>
      <c r="AT861" t="s">
        <v>26</v>
      </c>
      <c r="AU861">
        <v>137.05000000000001</v>
      </c>
      <c r="AV861">
        <v>28</v>
      </c>
      <c r="AW861">
        <v>15</v>
      </c>
      <c r="AX861">
        <v>8</v>
      </c>
      <c r="AY861">
        <v>26.3</v>
      </c>
      <c r="AZ861">
        <v>258</v>
      </c>
      <c r="BA861">
        <v>2751</v>
      </c>
      <c r="BB861">
        <v>77</v>
      </c>
      <c r="BC861">
        <v>76</v>
      </c>
      <c r="BD861">
        <v>75</v>
      </c>
      <c r="BE861">
        <v>4</v>
      </c>
      <c r="BF861" t="s">
        <v>29</v>
      </c>
      <c r="BG861">
        <v>-128</v>
      </c>
      <c r="BH861">
        <v>86</v>
      </c>
      <c r="BI861">
        <v>0.18</v>
      </c>
      <c r="BJ861" t="s">
        <v>273</v>
      </c>
      <c r="BK861">
        <v>0.37840000000000001</v>
      </c>
      <c r="BL861">
        <v>0.2286</v>
      </c>
      <c r="BM861">
        <v>1.59</v>
      </c>
      <c r="BN861">
        <v>1.29</v>
      </c>
    </row>
    <row r="862" spans="4:66" x14ac:dyDescent="0.25">
      <c r="D862">
        <v>1.8533333333333335</v>
      </c>
      <c r="E862">
        <v>3.75</v>
      </c>
      <c r="F862">
        <v>4.1999999999999993</v>
      </c>
      <c r="G862" s="40">
        <v>0.36</v>
      </c>
      <c r="H862" s="40">
        <v>0.3</v>
      </c>
      <c r="I862" s="40">
        <v>0.34</v>
      </c>
      <c r="J862">
        <v>1.84</v>
      </c>
      <c r="K862">
        <v>3.65</v>
      </c>
      <c r="L862">
        <v>4.3</v>
      </c>
      <c r="M862">
        <v>1.85</v>
      </c>
      <c r="N862">
        <v>3.85</v>
      </c>
      <c r="O862">
        <v>4.2</v>
      </c>
      <c r="P862">
        <v>1.87</v>
      </c>
      <c r="Q862">
        <v>3.75</v>
      </c>
      <c r="R862">
        <v>4.0999999999999996</v>
      </c>
      <c r="S862">
        <v>0.54205671544021872</v>
      </c>
      <c r="T862">
        <v>0.22599343423187371</v>
      </c>
      <c r="U862">
        <v>0.23194985032790755</v>
      </c>
      <c r="V862">
        <v>0.52056338028169014</v>
      </c>
      <c r="W862">
        <v>0.25014084507042256</v>
      </c>
      <c r="X862">
        <v>0.22929577464788733</v>
      </c>
      <c r="Y862">
        <v>0.51157064665857033</v>
      </c>
      <c r="Z862">
        <v>0.25510322913374039</v>
      </c>
      <c r="AA862">
        <v>0.23332612420768939</v>
      </c>
      <c r="AB862">
        <v>0.52473024746015973</v>
      </c>
      <c r="AC862">
        <v>0.24374583614534553</v>
      </c>
      <c r="AD862">
        <v>0.23152391639449474</v>
      </c>
      <c r="AE862" t="s">
        <v>52</v>
      </c>
      <c r="AF862" t="s">
        <v>26</v>
      </c>
      <c r="AG862">
        <v>300</v>
      </c>
      <c r="AH862">
        <v>28</v>
      </c>
      <c r="AI862">
        <v>15</v>
      </c>
      <c r="AJ862">
        <v>11</v>
      </c>
      <c r="AK862">
        <v>25.4</v>
      </c>
      <c r="AL862">
        <v>76</v>
      </c>
      <c r="AM862">
        <v>5412</v>
      </c>
      <c r="AN862">
        <v>78</v>
      </c>
      <c r="AO862">
        <v>79</v>
      </c>
      <c r="AP862">
        <v>80</v>
      </c>
      <c r="AQ862">
        <v>4.5</v>
      </c>
      <c r="AR862" t="s">
        <v>29</v>
      </c>
      <c r="AS862" t="s">
        <v>55</v>
      </c>
      <c r="AT862" t="s">
        <v>26</v>
      </c>
      <c r="AU862">
        <v>125.15</v>
      </c>
      <c r="AV862">
        <v>26</v>
      </c>
      <c r="AW862">
        <v>9</v>
      </c>
      <c r="AX862">
        <v>7</v>
      </c>
      <c r="AY862">
        <v>25.4</v>
      </c>
      <c r="AZ862">
        <v>213</v>
      </c>
      <c r="BA862">
        <v>3138</v>
      </c>
      <c r="BB862">
        <v>75</v>
      </c>
      <c r="BC862">
        <v>75</v>
      </c>
      <c r="BD862">
        <v>73</v>
      </c>
      <c r="BE862">
        <v>3.5</v>
      </c>
      <c r="BF862" t="s">
        <v>29</v>
      </c>
      <c r="BG862">
        <v>-4</v>
      </c>
      <c r="BH862">
        <v>52</v>
      </c>
      <c r="BI862">
        <v>0.32500000000000001</v>
      </c>
      <c r="BJ862" t="s">
        <v>273</v>
      </c>
      <c r="BK862">
        <v>0.60780000000000001</v>
      </c>
      <c r="BL862">
        <v>0.36109999999999998</v>
      </c>
      <c r="BM862">
        <v>2.27</v>
      </c>
      <c r="BN862">
        <v>1.5</v>
      </c>
    </row>
    <row r="863" spans="4:66" x14ac:dyDescent="0.25">
      <c r="D863">
        <v>1.9533333333333334</v>
      </c>
      <c r="E863">
        <v>3.4166666666666665</v>
      </c>
      <c r="F863">
        <v>3.7166666666666668</v>
      </c>
      <c r="G863" s="40">
        <v>0.53</v>
      </c>
      <c r="H863" s="40">
        <v>0.24</v>
      </c>
      <c r="I863" s="40">
        <v>0.22999999999999998</v>
      </c>
      <c r="J863">
        <v>1.86</v>
      </c>
      <c r="K863">
        <v>3.35</v>
      </c>
      <c r="L863">
        <v>3.8</v>
      </c>
      <c r="M863">
        <v>2</v>
      </c>
      <c r="N863">
        <v>3.45</v>
      </c>
      <c r="O863">
        <v>3.65</v>
      </c>
      <c r="P863">
        <v>2</v>
      </c>
      <c r="Q863">
        <v>3.45</v>
      </c>
      <c r="R863">
        <v>3.7</v>
      </c>
      <c r="S863">
        <v>0.50705499944594246</v>
      </c>
      <c r="T863">
        <v>0.24475492187788569</v>
      </c>
      <c r="U863">
        <v>0.24819007867617185</v>
      </c>
      <c r="V863">
        <v>0.47000093309694874</v>
      </c>
      <c r="W863">
        <v>0.27246430904170937</v>
      </c>
      <c r="X863">
        <v>0.25753475786134178</v>
      </c>
      <c r="Y863">
        <v>0.47164234250877518</v>
      </c>
      <c r="Z863">
        <v>0.27341585072972469</v>
      </c>
      <c r="AA863">
        <v>0.25494180676150008</v>
      </c>
      <c r="AB863">
        <v>0.48289942501722211</v>
      </c>
      <c r="AC863">
        <v>0.26354502721643991</v>
      </c>
      <c r="AD863">
        <v>0.25355554776633787</v>
      </c>
      <c r="AE863" t="s">
        <v>95</v>
      </c>
      <c r="AF863" t="s">
        <v>85</v>
      </c>
      <c r="AG863">
        <v>36.68</v>
      </c>
      <c r="AH863">
        <v>24</v>
      </c>
      <c r="AI863">
        <v>3</v>
      </c>
      <c r="AJ863">
        <v>0</v>
      </c>
      <c r="AK863">
        <v>26.8</v>
      </c>
      <c r="AL863">
        <v>130</v>
      </c>
      <c r="AM863">
        <v>4218</v>
      </c>
      <c r="AN863">
        <v>71</v>
      </c>
      <c r="AO863">
        <v>71</v>
      </c>
      <c r="AP863">
        <v>70</v>
      </c>
      <c r="AQ863">
        <v>3.5</v>
      </c>
      <c r="AR863" t="s">
        <v>46</v>
      </c>
      <c r="AS863" t="s">
        <v>99</v>
      </c>
      <c r="AT863" t="s">
        <v>85</v>
      </c>
      <c r="AU863">
        <v>14.2</v>
      </c>
      <c r="AV863">
        <v>31</v>
      </c>
      <c r="AW863">
        <v>1</v>
      </c>
      <c r="AX863">
        <v>0</v>
      </c>
      <c r="AY863">
        <v>26.5</v>
      </c>
      <c r="AZ863">
        <v>173</v>
      </c>
      <c r="BA863">
        <v>3707</v>
      </c>
      <c r="BB863">
        <v>70</v>
      </c>
      <c r="BC863">
        <v>69</v>
      </c>
      <c r="BD863">
        <v>68</v>
      </c>
      <c r="BE863">
        <v>3</v>
      </c>
      <c r="BF863" t="s">
        <v>46</v>
      </c>
      <c r="BG863">
        <v>-4</v>
      </c>
      <c r="BH863">
        <v>8</v>
      </c>
      <c r="BI863">
        <v>0.25</v>
      </c>
      <c r="BJ863" t="s">
        <v>85</v>
      </c>
      <c r="BK863">
        <v>0.32429999999999998</v>
      </c>
      <c r="BL863">
        <v>0.40479999999999999</v>
      </c>
      <c r="BM863">
        <v>1.03</v>
      </c>
      <c r="BN863">
        <v>1.24</v>
      </c>
    </row>
    <row r="864" spans="4:66" x14ac:dyDescent="0.25">
      <c r="D864">
        <v>1.6519999999999999</v>
      </c>
      <c r="E864">
        <v>3.5666666666666664</v>
      </c>
      <c r="F864">
        <v>5.3833333333333329</v>
      </c>
      <c r="G864" s="40">
        <v>0.56000000000000005</v>
      </c>
      <c r="H864" s="40">
        <v>0.28000000000000003</v>
      </c>
      <c r="I864" s="40">
        <v>0.15999999999999992</v>
      </c>
      <c r="J864">
        <v>1.61</v>
      </c>
      <c r="K864">
        <v>3.7</v>
      </c>
      <c r="L864">
        <v>4.8</v>
      </c>
      <c r="M864">
        <v>1.6659999999999999</v>
      </c>
      <c r="N864">
        <v>3.55</v>
      </c>
      <c r="O864">
        <v>5.75</v>
      </c>
      <c r="P864">
        <v>1.68</v>
      </c>
      <c r="Q864">
        <v>3.45</v>
      </c>
      <c r="R864">
        <v>5.6</v>
      </c>
      <c r="S864">
        <v>0.59251736143937206</v>
      </c>
      <c r="T864">
        <v>0.20874244024450528</v>
      </c>
      <c r="U864">
        <v>0.19874019831612277</v>
      </c>
      <c r="V864">
        <v>0.56849355127094692</v>
      </c>
      <c r="W864">
        <v>0.26679162152602748</v>
      </c>
      <c r="X864">
        <v>0.16471482720302563</v>
      </c>
      <c r="Y864">
        <v>0.55961070559610704</v>
      </c>
      <c r="Z864">
        <v>0.27250608272506077</v>
      </c>
      <c r="AA864">
        <v>0.16788321167883211</v>
      </c>
      <c r="AB864">
        <v>0.57354053943547534</v>
      </c>
      <c r="AC864">
        <v>0.24934671483186452</v>
      </c>
      <c r="AD864">
        <v>0.17711274573266014</v>
      </c>
      <c r="AE864" t="s">
        <v>92</v>
      </c>
      <c r="AF864" t="s">
        <v>85</v>
      </c>
      <c r="AG864">
        <v>64.430000000000007</v>
      </c>
      <c r="AH864">
        <v>26</v>
      </c>
      <c r="AI864">
        <v>3</v>
      </c>
      <c r="AJ864">
        <v>1</v>
      </c>
      <c r="AK864">
        <v>26.8</v>
      </c>
      <c r="AL864">
        <v>98</v>
      </c>
      <c r="AM864">
        <v>4872</v>
      </c>
      <c r="AN864">
        <v>74</v>
      </c>
      <c r="AO864">
        <v>73</v>
      </c>
      <c r="AP864">
        <v>73</v>
      </c>
      <c r="AQ864">
        <v>3.5</v>
      </c>
      <c r="AR864" t="s">
        <v>28</v>
      </c>
      <c r="AS864" t="s">
        <v>104</v>
      </c>
      <c r="AT864" t="s">
        <v>85</v>
      </c>
      <c r="AU864">
        <v>8.68</v>
      </c>
      <c r="AV864">
        <v>32</v>
      </c>
      <c r="AW864">
        <v>5</v>
      </c>
      <c r="AX864">
        <v>0</v>
      </c>
      <c r="AY864">
        <v>27.6</v>
      </c>
      <c r="AZ864">
        <v>277</v>
      </c>
      <c r="BA864">
        <v>2592</v>
      </c>
      <c r="BB864">
        <v>65</v>
      </c>
      <c r="BC864">
        <v>66</v>
      </c>
      <c r="BD864">
        <v>66</v>
      </c>
      <c r="BE864">
        <v>2.5</v>
      </c>
      <c r="BF864" t="s">
        <v>43</v>
      </c>
      <c r="BG864">
        <v>1</v>
      </c>
      <c r="BH864">
        <v>13</v>
      </c>
      <c r="BI864">
        <v>0.375</v>
      </c>
      <c r="BJ864" t="s">
        <v>85</v>
      </c>
      <c r="BK864">
        <v>0.46810000000000002</v>
      </c>
      <c r="BL864">
        <v>0.1842</v>
      </c>
      <c r="BM864">
        <v>1.3</v>
      </c>
      <c r="BN864">
        <v>0.84</v>
      </c>
    </row>
    <row r="865" spans="4:66" x14ac:dyDescent="0.25">
      <c r="D865">
        <v>2.2333333333333334</v>
      </c>
      <c r="E865">
        <v>3.0500000000000003</v>
      </c>
      <c r="F865">
        <v>3.4000000000000004</v>
      </c>
      <c r="G865" s="40">
        <v>0.3</v>
      </c>
      <c r="H865" s="40">
        <v>0.34</v>
      </c>
      <c r="I865" s="40">
        <v>0.35999999999999993</v>
      </c>
      <c r="J865">
        <v>2.2000000000000002</v>
      </c>
      <c r="K865">
        <v>2.9</v>
      </c>
      <c r="L865">
        <v>3.35</v>
      </c>
      <c r="M865">
        <v>2.25</v>
      </c>
      <c r="N865">
        <v>3.1</v>
      </c>
      <c r="O865">
        <v>3.4</v>
      </c>
      <c r="P865">
        <v>2.25</v>
      </c>
      <c r="Q865">
        <v>3.15</v>
      </c>
      <c r="R865">
        <v>3.45</v>
      </c>
      <c r="S865">
        <v>0.42723097763240486</v>
      </c>
      <c r="T865">
        <v>0.29219942511646341</v>
      </c>
      <c r="U865">
        <v>0.28056959725113156</v>
      </c>
      <c r="V865">
        <v>0.41883568448241604</v>
      </c>
      <c r="W865">
        <v>0.30399364196304385</v>
      </c>
      <c r="X865">
        <v>0.27717067355454006</v>
      </c>
      <c r="Y865">
        <v>0.42257217847769035</v>
      </c>
      <c r="Z865">
        <v>0.30183727034120739</v>
      </c>
      <c r="AA865">
        <v>0.27559055118110237</v>
      </c>
      <c r="AB865">
        <v>0.42287961353083708</v>
      </c>
      <c r="AC865">
        <v>0.29934344580690486</v>
      </c>
      <c r="AD865">
        <v>0.27777694066225794</v>
      </c>
      <c r="AE865" t="s">
        <v>101</v>
      </c>
      <c r="AF865" t="s">
        <v>85</v>
      </c>
      <c r="AG865">
        <v>16.600000000000001</v>
      </c>
      <c r="AH865">
        <v>31</v>
      </c>
      <c r="AI865">
        <v>4</v>
      </c>
      <c r="AJ865">
        <v>0</v>
      </c>
      <c r="AK865">
        <v>26</v>
      </c>
      <c r="AL865">
        <v>225</v>
      </c>
      <c r="AM865">
        <v>3041</v>
      </c>
      <c r="AN865">
        <v>68</v>
      </c>
      <c r="AO865">
        <v>68</v>
      </c>
      <c r="AP865">
        <v>68</v>
      </c>
      <c r="AQ865">
        <v>2.5</v>
      </c>
      <c r="AR865" t="s">
        <v>46</v>
      </c>
      <c r="AS865" t="s">
        <v>91</v>
      </c>
      <c r="AT865" t="s">
        <v>85</v>
      </c>
      <c r="AU865">
        <v>41.05</v>
      </c>
      <c r="AV865">
        <v>29</v>
      </c>
      <c r="AW865">
        <v>5</v>
      </c>
      <c r="AX865">
        <v>3</v>
      </c>
      <c r="AY865">
        <v>27.6</v>
      </c>
      <c r="AZ865">
        <v>97</v>
      </c>
      <c r="BA865">
        <v>4926</v>
      </c>
      <c r="BB865">
        <v>71</v>
      </c>
      <c r="BC865">
        <v>74</v>
      </c>
      <c r="BD865">
        <v>73</v>
      </c>
      <c r="BE865">
        <v>3.5</v>
      </c>
      <c r="BF865" t="s">
        <v>29</v>
      </c>
      <c r="BG865">
        <v>-8</v>
      </c>
      <c r="BH865">
        <v>15</v>
      </c>
      <c r="BI865">
        <v>0.25</v>
      </c>
      <c r="BJ865" t="s">
        <v>85</v>
      </c>
      <c r="BK865">
        <v>0.23680000000000001</v>
      </c>
      <c r="BL865">
        <v>0.42859999999999998</v>
      </c>
      <c r="BM865">
        <v>0.82</v>
      </c>
      <c r="BN865">
        <v>1.35</v>
      </c>
    </row>
    <row r="866" spans="4:66" x14ac:dyDescent="0.25">
      <c r="D866">
        <v>2.1733333333333333</v>
      </c>
      <c r="E866">
        <v>3.5333333333333332</v>
      </c>
      <c r="F866">
        <v>3.0333333333333332</v>
      </c>
      <c r="G866" s="40">
        <v>0.35</v>
      </c>
      <c r="H866" s="40">
        <v>0.39</v>
      </c>
      <c r="I866" s="40">
        <v>0.26</v>
      </c>
      <c r="J866">
        <v>2.12</v>
      </c>
      <c r="K866">
        <v>3.55</v>
      </c>
      <c r="L866">
        <v>2.9</v>
      </c>
      <c r="M866">
        <v>2.2000000000000002</v>
      </c>
      <c r="N866">
        <v>3.5</v>
      </c>
      <c r="O866">
        <v>3.1</v>
      </c>
      <c r="P866">
        <v>2.2000000000000002</v>
      </c>
      <c r="Q866">
        <v>3.55</v>
      </c>
      <c r="R866">
        <v>3.1</v>
      </c>
      <c r="S866">
        <v>0.43981241847657299</v>
      </c>
      <c r="T866">
        <v>0.23866953767158744</v>
      </c>
      <c r="U866">
        <v>0.32151804385183957</v>
      </c>
      <c r="V866">
        <v>0.42767047694126925</v>
      </c>
      <c r="W866">
        <v>0.26882144264879787</v>
      </c>
      <c r="X866">
        <v>0.30350808040993305</v>
      </c>
      <c r="Y866">
        <v>0.42929588453286521</v>
      </c>
      <c r="Z866">
        <v>0.26604251999219819</v>
      </c>
      <c r="AA866">
        <v>0.3046615954749366</v>
      </c>
      <c r="AB866">
        <v>0.4322595933169025</v>
      </c>
      <c r="AC866">
        <v>0.25784450010419452</v>
      </c>
      <c r="AD866">
        <v>0.30989590657890304</v>
      </c>
      <c r="AE866" t="s">
        <v>88</v>
      </c>
      <c r="AF866" t="s">
        <v>85</v>
      </c>
      <c r="AG866">
        <v>44.55</v>
      </c>
      <c r="AH866">
        <v>22</v>
      </c>
      <c r="AI866">
        <v>1</v>
      </c>
      <c r="AJ866">
        <v>1</v>
      </c>
      <c r="AK866">
        <v>25.7</v>
      </c>
      <c r="AL866">
        <v>69</v>
      </c>
      <c r="AM866">
        <v>5669</v>
      </c>
      <c r="AN866">
        <v>74</v>
      </c>
      <c r="AO866">
        <v>71</v>
      </c>
      <c r="AP866">
        <v>69</v>
      </c>
      <c r="AQ866">
        <v>3</v>
      </c>
      <c r="AR866" t="s">
        <v>29</v>
      </c>
      <c r="AS866" t="s">
        <v>93</v>
      </c>
      <c r="AT866" t="s">
        <v>85</v>
      </c>
      <c r="AU866">
        <v>19.079999999999998</v>
      </c>
      <c r="AV866">
        <v>33</v>
      </c>
      <c r="AW866">
        <v>5</v>
      </c>
      <c r="AX866">
        <v>0</v>
      </c>
      <c r="AY866">
        <v>25.7</v>
      </c>
      <c r="AZ866">
        <v>100</v>
      </c>
      <c r="BA866">
        <v>4829</v>
      </c>
      <c r="BB866">
        <v>72</v>
      </c>
      <c r="BC866">
        <v>70</v>
      </c>
      <c r="BD866">
        <v>67</v>
      </c>
      <c r="BE866">
        <v>3</v>
      </c>
      <c r="BF866" t="s">
        <v>29</v>
      </c>
      <c r="BG866">
        <v>9</v>
      </c>
      <c r="BH866">
        <v>36</v>
      </c>
      <c r="BI866">
        <v>0.52600000000000002</v>
      </c>
      <c r="BJ866" t="s">
        <v>85</v>
      </c>
      <c r="BK866">
        <v>0.41670000000000001</v>
      </c>
      <c r="BL866">
        <v>0.38890000000000002</v>
      </c>
      <c r="BM866">
        <v>1.54</v>
      </c>
      <c r="BN866">
        <v>1.36</v>
      </c>
    </row>
    <row r="867" spans="4:66" x14ac:dyDescent="0.25">
      <c r="D867">
        <v>2.74</v>
      </c>
      <c r="E867">
        <v>2.9066666666666663</v>
      </c>
      <c r="F867">
        <v>2.74</v>
      </c>
      <c r="G867" s="40">
        <v>0.25</v>
      </c>
      <c r="H867" s="40">
        <v>0.38</v>
      </c>
      <c r="I867" s="40">
        <v>0.37</v>
      </c>
      <c r="J867">
        <v>2.7</v>
      </c>
      <c r="K867">
        <v>2.8</v>
      </c>
      <c r="L867">
        <v>2.7</v>
      </c>
      <c r="M867">
        <v>2.75</v>
      </c>
      <c r="N867">
        <v>2.95</v>
      </c>
      <c r="O867">
        <v>2.75</v>
      </c>
      <c r="P867">
        <v>2.77</v>
      </c>
      <c r="Q867">
        <v>2.97</v>
      </c>
      <c r="R867">
        <v>2.77</v>
      </c>
      <c r="S867">
        <v>0.3460076045627376</v>
      </c>
      <c r="T867">
        <v>0.30798479087452468</v>
      </c>
      <c r="U867">
        <v>0.3460076045627376</v>
      </c>
      <c r="V867">
        <v>0.34104046242774566</v>
      </c>
      <c r="W867">
        <v>0.31791907514450862</v>
      </c>
      <c r="X867">
        <v>0.34104046242774566</v>
      </c>
      <c r="Y867">
        <v>0.34098737083811714</v>
      </c>
      <c r="Z867">
        <v>0.31802525832376582</v>
      </c>
      <c r="AA867">
        <v>0.34098737083811714</v>
      </c>
      <c r="AB867">
        <v>0.34267847927620015</v>
      </c>
      <c r="AC867">
        <v>0.31464304144759969</v>
      </c>
      <c r="AD867">
        <v>0.34267847927620015</v>
      </c>
      <c r="AE867" t="s">
        <v>100</v>
      </c>
      <c r="AF867" t="s">
        <v>85</v>
      </c>
      <c r="AG867">
        <v>15.1</v>
      </c>
      <c r="AH867">
        <v>31</v>
      </c>
      <c r="AI867">
        <v>4</v>
      </c>
      <c r="AJ867">
        <v>0</v>
      </c>
      <c r="AK867">
        <v>26.5</v>
      </c>
      <c r="AL867">
        <v>224</v>
      </c>
      <c r="AM867">
        <v>3048</v>
      </c>
      <c r="AN867">
        <v>69</v>
      </c>
      <c r="AO867">
        <v>68</v>
      </c>
      <c r="AP867">
        <v>68</v>
      </c>
      <c r="AQ867">
        <v>2.5</v>
      </c>
      <c r="AR867" t="s">
        <v>46</v>
      </c>
      <c r="AS867" t="s">
        <v>97</v>
      </c>
      <c r="AT867" t="s">
        <v>85</v>
      </c>
      <c r="AU867">
        <v>28.93</v>
      </c>
      <c r="AV867">
        <v>23</v>
      </c>
      <c r="AW867">
        <v>4</v>
      </c>
      <c r="AX867">
        <v>0</v>
      </c>
      <c r="AY867">
        <v>26.5</v>
      </c>
      <c r="AZ867">
        <v>151</v>
      </c>
      <c r="BA867">
        <v>3948</v>
      </c>
      <c r="BB867">
        <v>69</v>
      </c>
      <c r="BC867">
        <v>72</v>
      </c>
      <c r="BD867">
        <v>69</v>
      </c>
      <c r="BE867">
        <v>3</v>
      </c>
      <c r="BF867" t="s">
        <v>29</v>
      </c>
      <c r="BG867">
        <v>-32</v>
      </c>
      <c r="BH867">
        <v>17</v>
      </c>
      <c r="BI867">
        <v>6.7000000000000004E-2</v>
      </c>
      <c r="BJ867" t="s">
        <v>85</v>
      </c>
      <c r="BK867">
        <v>0.31580000000000003</v>
      </c>
      <c r="BL867">
        <v>0.2571</v>
      </c>
      <c r="BM867">
        <v>1.21</v>
      </c>
      <c r="BN867">
        <v>0.83</v>
      </c>
    </row>
    <row r="868" spans="4:66" x14ac:dyDescent="0.25">
      <c r="D868">
        <v>1.8166666666666667</v>
      </c>
      <c r="E868">
        <v>3.35</v>
      </c>
      <c r="F868">
        <v>4.4666666666666659</v>
      </c>
      <c r="G868" s="40">
        <v>0.48</v>
      </c>
      <c r="H868" s="40">
        <v>0.25</v>
      </c>
      <c r="I868" s="40">
        <v>0.27</v>
      </c>
      <c r="J868">
        <v>1.75</v>
      </c>
      <c r="K868">
        <v>3.35</v>
      </c>
      <c r="L868">
        <v>4.3499999999999996</v>
      </c>
      <c r="M868">
        <v>1.85</v>
      </c>
      <c r="N868">
        <v>3.35</v>
      </c>
      <c r="O868">
        <v>4.5</v>
      </c>
      <c r="P868">
        <v>1.85</v>
      </c>
      <c r="Q868">
        <v>3.35</v>
      </c>
      <c r="R868">
        <v>4.55</v>
      </c>
      <c r="S868">
        <v>0.54353768059351815</v>
      </c>
      <c r="T868">
        <v>0.23779773525966419</v>
      </c>
      <c r="U868">
        <v>0.21866458414681766</v>
      </c>
      <c r="V868">
        <v>0.50933355857758256</v>
      </c>
      <c r="W868">
        <v>0.28127375622941125</v>
      </c>
      <c r="X868">
        <v>0.20939268519300616</v>
      </c>
      <c r="Y868">
        <v>0.51050824750900115</v>
      </c>
      <c r="Z868">
        <v>0.28192246504228419</v>
      </c>
      <c r="AA868">
        <v>0.20756928744871472</v>
      </c>
      <c r="AB868">
        <v>0.52112649556003399</v>
      </c>
      <c r="AC868">
        <v>0.26699798551045323</v>
      </c>
      <c r="AD868">
        <v>0.21187551892951284</v>
      </c>
      <c r="AE868" t="s">
        <v>87</v>
      </c>
      <c r="AF868" t="s">
        <v>85</v>
      </c>
      <c r="AG868">
        <v>41.68</v>
      </c>
      <c r="AH868">
        <v>25</v>
      </c>
      <c r="AI868">
        <v>4</v>
      </c>
      <c r="AJ868">
        <v>0</v>
      </c>
      <c r="AK868">
        <v>26.2</v>
      </c>
      <c r="AL868">
        <v>67</v>
      </c>
      <c r="AM868">
        <v>5744</v>
      </c>
      <c r="AN868">
        <v>73</v>
      </c>
      <c r="AO868">
        <v>74</v>
      </c>
      <c r="AP868">
        <v>71</v>
      </c>
      <c r="AQ868">
        <v>3.5</v>
      </c>
      <c r="AR868" t="s">
        <v>29</v>
      </c>
      <c r="AS868" t="s">
        <v>90</v>
      </c>
      <c r="AT868" t="s">
        <v>85</v>
      </c>
      <c r="AU868">
        <v>29.75</v>
      </c>
      <c r="AV868">
        <v>24</v>
      </c>
      <c r="AW868">
        <v>3</v>
      </c>
      <c r="AX868">
        <v>0</v>
      </c>
      <c r="AY868">
        <v>26.6</v>
      </c>
      <c r="AZ868">
        <v>88</v>
      </c>
      <c r="BA868">
        <v>5121</v>
      </c>
      <c r="BB868">
        <v>73</v>
      </c>
      <c r="BC868">
        <v>71</v>
      </c>
      <c r="BD868">
        <v>71</v>
      </c>
      <c r="BE868">
        <v>3.5</v>
      </c>
      <c r="BF868" t="s">
        <v>29</v>
      </c>
      <c r="BG868">
        <v>-3</v>
      </c>
      <c r="BH868">
        <v>32</v>
      </c>
      <c r="BI868">
        <v>0.28599999999999998</v>
      </c>
      <c r="BJ868" t="s">
        <v>85</v>
      </c>
      <c r="BK868">
        <v>0.42220000000000002</v>
      </c>
      <c r="BL868">
        <v>0.45950000000000002</v>
      </c>
      <c r="BM868">
        <v>1.22</v>
      </c>
      <c r="BN868">
        <v>1.43</v>
      </c>
    </row>
    <row r="869" spans="4:66" x14ac:dyDescent="0.25">
      <c r="D869">
        <v>1.6433333333333333</v>
      </c>
      <c r="E869">
        <v>3.75</v>
      </c>
      <c r="F869">
        <v>5.0166666666666666</v>
      </c>
      <c r="G869" s="40">
        <v>0.35</v>
      </c>
      <c r="H869" s="40">
        <v>0.42</v>
      </c>
      <c r="I869" s="40">
        <v>0.23000000000000004</v>
      </c>
      <c r="J869">
        <v>1.6</v>
      </c>
      <c r="K869">
        <v>3.8</v>
      </c>
      <c r="L869">
        <v>4.7</v>
      </c>
      <c r="M869">
        <v>1.65</v>
      </c>
      <c r="N869">
        <v>3.75</v>
      </c>
      <c r="O869">
        <v>5.25</v>
      </c>
      <c r="P869">
        <v>1.68</v>
      </c>
      <c r="Q869">
        <v>3.7</v>
      </c>
      <c r="R869">
        <v>5.0999999999999996</v>
      </c>
      <c r="S869">
        <v>0.59407728421812933</v>
      </c>
      <c r="T869">
        <v>0.20368364030335864</v>
      </c>
      <c r="U869">
        <v>0.20223907547851211</v>
      </c>
      <c r="V869">
        <v>0.57003257328990231</v>
      </c>
      <c r="W869">
        <v>0.250814332247557</v>
      </c>
      <c r="X869">
        <v>0.17915309446254071</v>
      </c>
      <c r="Y869">
        <v>0.56070600820110539</v>
      </c>
      <c r="Z869">
        <v>0.25459083615617756</v>
      </c>
      <c r="AA869">
        <v>0.18470315564271708</v>
      </c>
      <c r="AB869">
        <v>0.57493862190304579</v>
      </c>
      <c r="AC869">
        <v>0.23636293623569773</v>
      </c>
      <c r="AD869">
        <v>0.18869844186125664</v>
      </c>
      <c r="AE869" t="s">
        <v>84</v>
      </c>
      <c r="AF869" t="s">
        <v>85</v>
      </c>
      <c r="AG869">
        <v>103.93</v>
      </c>
      <c r="AH869">
        <v>29</v>
      </c>
      <c r="AI869">
        <v>5</v>
      </c>
      <c r="AJ869">
        <v>6</v>
      </c>
      <c r="AK869">
        <v>27.7</v>
      </c>
      <c r="AL869">
        <v>4</v>
      </c>
      <c r="AM869">
        <v>11425</v>
      </c>
      <c r="AN869">
        <v>76</v>
      </c>
      <c r="AO869">
        <v>76</v>
      </c>
      <c r="AP869">
        <v>75</v>
      </c>
      <c r="AQ869">
        <v>4</v>
      </c>
      <c r="AR869" t="s">
        <v>29</v>
      </c>
      <c r="AS869" t="s">
        <v>94</v>
      </c>
      <c r="AT869" t="s">
        <v>85</v>
      </c>
      <c r="AU869">
        <v>28.25</v>
      </c>
      <c r="AV869">
        <v>30</v>
      </c>
      <c r="AW869">
        <v>5</v>
      </c>
      <c r="AX869">
        <v>0</v>
      </c>
      <c r="AY869">
        <v>26.1</v>
      </c>
      <c r="AZ869">
        <v>126</v>
      </c>
      <c r="BA869">
        <v>4236</v>
      </c>
      <c r="BB869">
        <v>74</v>
      </c>
      <c r="BC869">
        <v>71</v>
      </c>
      <c r="BD869">
        <v>71</v>
      </c>
      <c r="BE869">
        <v>3.5</v>
      </c>
      <c r="BF869" t="s">
        <v>28</v>
      </c>
      <c r="BG869">
        <v>6</v>
      </c>
      <c r="BH869">
        <v>13</v>
      </c>
      <c r="BI869">
        <v>0.33300000000000002</v>
      </c>
      <c r="BJ869" t="s">
        <v>85</v>
      </c>
      <c r="BK869">
        <v>0.64</v>
      </c>
      <c r="BL869">
        <v>0.4239</v>
      </c>
      <c r="BM869">
        <v>2.08</v>
      </c>
      <c r="BN869">
        <v>1.29</v>
      </c>
    </row>
    <row r="870" spans="4:66" x14ac:dyDescent="0.25">
      <c r="D870">
        <v>4.1166666666666663</v>
      </c>
      <c r="E870">
        <v>3.2666666666666662</v>
      </c>
      <c r="F870">
        <v>1.9096666666666666</v>
      </c>
      <c r="G870" s="40">
        <v>0.36</v>
      </c>
      <c r="H870" s="40">
        <v>0.34</v>
      </c>
      <c r="I870" s="40">
        <v>0.3</v>
      </c>
      <c r="J870">
        <v>4.0999999999999996</v>
      </c>
      <c r="K870">
        <v>3.15</v>
      </c>
      <c r="L870">
        <v>1.86</v>
      </c>
      <c r="M870">
        <v>4.2</v>
      </c>
      <c r="N870">
        <v>3.35</v>
      </c>
      <c r="O870">
        <v>1.909</v>
      </c>
      <c r="P870">
        <v>4.05</v>
      </c>
      <c r="Q870">
        <v>3.3</v>
      </c>
      <c r="R870">
        <v>1.96</v>
      </c>
      <c r="S870">
        <v>0.23167364148674036</v>
      </c>
      <c r="T870">
        <v>0.25764790147259548</v>
      </c>
      <c r="U870">
        <v>0.51067845704066406</v>
      </c>
      <c r="V870">
        <v>0.22452554949539985</v>
      </c>
      <c r="W870">
        <v>0.28149471877035204</v>
      </c>
      <c r="X870">
        <v>0.49397973173424797</v>
      </c>
      <c r="Y870">
        <v>0.23290482877822188</v>
      </c>
      <c r="Z870">
        <v>0.28583774440963594</v>
      </c>
      <c r="AA870">
        <v>0.48125742681214212</v>
      </c>
      <c r="AB870">
        <v>0.22970133992012073</v>
      </c>
      <c r="AC870">
        <v>0.27499345488419452</v>
      </c>
      <c r="AD870">
        <v>0.49530520519568472</v>
      </c>
      <c r="AE870" t="s">
        <v>105</v>
      </c>
      <c r="AF870" t="s">
        <v>85</v>
      </c>
      <c r="AG870">
        <v>11.18</v>
      </c>
      <c r="AH870">
        <v>31</v>
      </c>
      <c r="AI870">
        <v>31</v>
      </c>
      <c r="AJ870">
        <v>5</v>
      </c>
      <c r="AK870">
        <v>0</v>
      </c>
      <c r="AL870">
        <v>280</v>
      </c>
      <c r="AM870">
        <v>2561</v>
      </c>
      <c r="AN870">
        <v>66</v>
      </c>
      <c r="AO870">
        <v>67</v>
      </c>
      <c r="AP870">
        <v>69</v>
      </c>
      <c r="AQ870">
        <v>2.5</v>
      </c>
      <c r="AR870" t="s">
        <v>46</v>
      </c>
      <c r="AS870" t="s">
        <v>89</v>
      </c>
      <c r="AT870" t="s">
        <v>85</v>
      </c>
      <c r="AU870">
        <v>31.6</v>
      </c>
      <c r="AV870">
        <v>27</v>
      </c>
      <c r="AW870">
        <v>3</v>
      </c>
      <c r="AX870">
        <v>1</v>
      </c>
      <c r="AY870">
        <v>27.6</v>
      </c>
      <c r="AZ870">
        <v>78</v>
      </c>
      <c r="BA870">
        <v>5364</v>
      </c>
      <c r="BB870">
        <v>71</v>
      </c>
      <c r="BC870">
        <v>71</v>
      </c>
      <c r="BD870">
        <v>72</v>
      </c>
      <c r="BE870">
        <v>3.5</v>
      </c>
      <c r="BF870" t="s">
        <v>29</v>
      </c>
      <c r="BG870">
        <v>-1</v>
      </c>
      <c r="BH870">
        <v>13</v>
      </c>
      <c r="BI870">
        <v>0.57099999999999995</v>
      </c>
      <c r="BJ870" t="s">
        <v>85</v>
      </c>
      <c r="BK870">
        <v>0.25</v>
      </c>
      <c r="BL870">
        <v>0.47499999999999998</v>
      </c>
      <c r="BM870">
        <v>0.97</v>
      </c>
      <c r="BN870">
        <v>1</v>
      </c>
    </row>
    <row r="871" spans="4:66" x14ac:dyDescent="0.25">
      <c r="D871">
        <v>3.0333333333333332</v>
      </c>
      <c r="E871">
        <v>3.0500000000000003</v>
      </c>
      <c r="F871">
        <v>2.41</v>
      </c>
      <c r="G871" s="40">
        <v>0.28999999999999998</v>
      </c>
      <c r="H871" s="40">
        <v>0.44</v>
      </c>
      <c r="I871" s="40">
        <v>0.26999999999999996</v>
      </c>
      <c r="J871">
        <v>3.1</v>
      </c>
      <c r="K871">
        <v>2.9</v>
      </c>
      <c r="L871">
        <v>2.33</v>
      </c>
      <c r="M871">
        <v>3</v>
      </c>
      <c r="N871">
        <v>3.1</v>
      </c>
      <c r="O871">
        <v>2.4500000000000002</v>
      </c>
      <c r="P871">
        <v>3</v>
      </c>
      <c r="Q871">
        <v>3.15</v>
      </c>
      <c r="R871">
        <v>2.4500000000000002</v>
      </c>
      <c r="S871">
        <v>0.30244943602903418</v>
      </c>
      <c r="T871">
        <v>0.29515002676495466</v>
      </c>
      <c r="U871">
        <v>0.40240053720601116</v>
      </c>
      <c r="V871">
        <v>0.31326046607547947</v>
      </c>
      <c r="W871">
        <v>0.30315528975046402</v>
      </c>
      <c r="X871">
        <v>0.38358424417405651</v>
      </c>
      <c r="Y871">
        <v>0.31477516059957167</v>
      </c>
      <c r="Z871">
        <v>0.29978586723768735</v>
      </c>
      <c r="AA871">
        <v>0.38543897216274081</v>
      </c>
      <c r="AB871">
        <v>0.31016168756802842</v>
      </c>
      <c r="AC871">
        <v>0.29936372791770199</v>
      </c>
      <c r="AD871">
        <v>0.39047458451426947</v>
      </c>
      <c r="AE871" t="s">
        <v>96</v>
      </c>
      <c r="AF871" t="s">
        <v>85</v>
      </c>
      <c r="AG871">
        <v>21.6</v>
      </c>
      <c r="AH871">
        <v>31</v>
      </c>
      <c r="AI871">
        <v>2</v>
      </c>
      <c r="AJ871">
        <v>0</v>
      </c>
      <c r="AK871">
        <v>26.5</v>
      </c>
      <c r="AL871">
        <v>146</v>
      </c>
      <c r="AM871">
        <v>4001</v>
      </c>
      <c r="AN871">
        <v>70</v>
      </c>
      <c r="AO871">
        <v>69</v>
      </c>
      <c r="AP871">
        <v>71</v>
      </c>
      <c r="AQ871">
        <v>3.5</v>
      </c>
      <c r="AR871" t="s">
        <v>29</v>
      </c>
      <c r="AS871" t="s">
        <v>102</v>
      </c>
      <c r="AT871" t="s">
        <v>85</v>
      </c>
      <c r="AU871">
        <v>27.13</v>
      </c>
      <c r="AV871">
        <v>27</v>
      </c>
      <c r="AW871">
        <v>2</v>
      </c>
      <c r="AX871">
        <v>0</v>
      </c>
      <c r="AY871">
        <v>25.3</v>
      </c>
      <c r="AZ871">
        <v>232</v>
      </c>
      <c r="BA871">
        <v>3005</v>
      </c>
      <c r="BB871">
        <v>65</v>
      </c>
      <c r="BC871">
        <v>70</v>
      </c>
      <c r="BD871">
        <v>65</v>
      </c>
      <c r="BE871">
        <v>3</v>
      </c>
      <c r="BF871" t="s">
        <v>46</v>
      </c>
      <c r="BG871">
        <v>-5</v>
      </c>
      <c r="BH871">
        <v>5</v>
      </c>
      <c r="BI871">
        <v>0.16700000000000001</v>
      </c>
      <c r="BJ871" t="s">
        <v>85</v>
      </c>
      <c r="BK871">
        <v>0.43240000000000001</v>
      </c>
      <c r="BL871">
        <v>0.3846</v>
      </c>
      <c r="BM871">
        <v>1.46</v>
      </c>
      <c r="BN871">
        <v>1.1299999999999999</v>
      </c>
    </row>
    <row r="872" spans="4:66" x14ac:dyDescent="0.25">
      <c r="D872">
        <v>3.4666666666666668</v>
      </c>
      <c r="E872">
        <v>4.0333333333333341</v>
      </c>
      <c r="F872">
        <v>1.9666666666666666</v>
      </c>
      <c r="G872" s="40">
        <v>0.22</v>
      </c>
      <c r="H872" s="40">
        <v>0.23</v>
      </c>
      <c r="I872" s="40">
        <v>0.55000000000000004</v>
      </c>
      <c r="J872">
        <v>3.5</v>
      </c>
      <c r="K872">
        <v>4.2</v>
      </c>
      <c r="L872">
        <v>1.97</v>
      </c>
      <c r="M872">
        <v>3.45</v>
      </c>
      <c r="N872">
        <v>3.8</v>
      </c>
      <c r="O872">
        <v>1.97</v>
      </c>
      <c r="P872">
        <v>3.45</v>
      </c>
      <c r="Q872">
        <v>4.0999999999999996</v>
      </c>
      <c r="R872">
        <v>1.96</v>
      </c>
      <c r="S872">
        <v>0.28673422227127554</v>
      </c>
      <c r="T872">
        <v>0.20383949450564609</v>
      </c>
      <c r="U872">
        <v>0.50942628322307837</v>
      </c>
      <c r="V872">
        <v>0.27328648352651275</v>
      </c>
      <c r="W872">
        <v>0.24811536004380766</v>
      </c>
      <c r="X872">
        <v>0.47859815642967968</v>
      </c>
      <c r="Y872">
        <v>0.27764917251148807</v>
      </c>
      <c r="Z872">
        <v>0.23363162077186195</v>
      </c>
      <c r="AA872">
        <v>0.48871920671664992</v>
      </c>
      <c r="AB872">
        <v>0.27922329276975877</v>
      </c>
      <c r="AC872">
        <v>0.22852882510710523</v>
      </c>
      <c r="AD872">
        <v>0.49224788212313603</v>
      </c>
      <c r="AE872" t="s">
        <v>25</v>
      </c>
      <c r="AF872" t="s">
        <v>26</v>
      </c>
      <c r="AG872">
        <v>505.55</v>
      </c>
      <c r="AH872">
        <v>28</v>
      </c>
      <c r="AI872">
        <v>21</v>
      </c>
      <c r="AJ872">
        <v>16</v>
      </c>
      <c r="AK872">
        <v>24.1</v>
      </c>
      <c r="AL872">
        <v>16</v>
      </c>
      <c r="AM872">
        <v>9221</v>
      </c>
      <c r="AN872">
        <v>78</v>
      </c>
      <c r="AO872">
        <v>81</v>
      </c>
      <c r="AP872">
        <v>80</v>
      </c>
      <c r="AQ872">
        <v>4.5</v>
      </c>
      <c r="AR872" t="s">
        <v>29</v>
      </c>
      <c r="AS872" t="s">
        <v>254</v>
      </c>
      <c r="AT872" t="s">
        <v>253</v>
      </c>
      <c r="AU872">
        <v>1040</v>
      </c>
      <c r="AV872">
        <v>22</v>
      </c>
      <c r="AW872">
        <v>16</v>
      </c>
      <c r="AX872">
        <v>19</v>
      </c>
      <c r="AY872">
        <v>27.6</v>
      </c>
      <c r="AZ872">
        <v>8</v>
      </c>
      <c r="BA872">
        <v>10390</v>
      </c>
      <c r="BB872">
        <v>85</v>
      </c>
      <c r="BC872">
        <v>86</v>
      </c>
      <c r="BD872">
        <v>83</v>
      </c>
      <c r="BE872">
        <v>5</v>
      </c>
      <c r="BF872" t="s">
        <v>28</v>
      </c>
      <c r="BG872">
        <v>-3</v>
      </c>
      <c r="BH872">
        <v>0</v>
      </c>
      <c r="BI872">
        <v>0</v>
      </c>
      <c r="BJ872" t="s">
        <v>282</v>
      </c>
      <c r="BK872">
        <v>0.58330000000000004</v>
      </c>
      <c r="BL872">
        <v>0.77049999999999996</v>
      </c>
      <c r="BM872">
        <v>1.79</v>
      </c>
      <c r="BN872">
        <v>2.15</v>
      </c>
    </row>
    <row r="873" spans="4:66" x14ac:dyDescent="0.25">
      <c r="D873">
        <v>2.063333333333333</v>
      </c>
      <c r="E873">
        <v>3.75</v>
      </c>
      <c r="F873">
        <v>3.4166666666666665</v>
      </c>
      <c r="G873" s="40">
        <v>0.23</v>
      </c>
      <c r="H873" s="40">
        <v>0.37</v>
      </c>
      <c r="I873" s="40">
        <v>0.4</v>
      </c>
      <c r="J873">
        <v>2.08</v>
      </c>
      <c r="K873">
        <v>3.95</v>
      </c>
      <c r="L873">
        <v>3.35</v>
      </c>
      <c r="M873">
        <v>2.08</v>
      </c>
      <c r="N873">
        <v>3.4</v>
      </c>
      <c r="O873">
        <v>3.5</v>
      </c>
      <c r="P873">
        <v>2.0299999999999998</v>
      </c>
      <c r="Q873">
        <v>3.9</v>
      </c>
      <c r="R873">
        <v>3.4</v>
      </c>
      <c r="S873">
        <v>0.48184068578923273</v>
      </c>
      <c r="T873">
        <v>0.21898658989984063</v>
      </c>
      <c r="U873">
        <v>0.29917272431092662</v>
      </c>
      <c r="V873">
        <v>0.453298796282188</v>
      </c>
      <c r="W873">
        <v>0.27731220478439739</v>
      </c>
      <c r="X873">
        <v>0.26938899893341461</v>
      </c>
      <c r="Y873">
        <v>0.47223903985184656</v>
      </c>
      <c r="Z873">
        <v>0.24580647458955088</v>
      </c>
      <c r="AA873">
        <v>0.28195448555860247</v>
      </c>
      <c r="AB873">
        <v>0.46912617397442241</v>
      </c>
      <c r="AC873">
        <v>0.24736842309126297</v>
      </c>
      <c r="AD873">
        <v>0.28350540293431453</v>
      </c>
      <c r="AE873" t="s">
        <v>313</v>
      </c>
      <c r="AF873" t="s">
        <v>307</v>
      </c>
      <c r="AG873">
        <v>466.9</v>
      </c>
      <c r="AH873">
        <v>28</v>
      </c>
      <c r="AI873">
        <v>19</v>
      </c>
      <c r="AJ873">
        <v>17</v>
      </c>
      <c r="AK873">
        <v>26.2</v>
      </c>
      <c r="AL873">
        <v>121</v>
      </c>
      <c r="AM873">
        <v>4490</v>
      </c>
      <c r="AN873">
        <v>84</v>
      </c>
      <c r="AO873">
        <v>78</v>
      </c>
      <c r="AP873">
        <v>80</v>
      </c>
      <c r="AQ873">
        <v>4.5</v>
      </c>
      <c r="AR873" t="s">
        <v>29</v>
      </c>
      <c r="AS873" t="s">
        <v>252</v>
      </c>
      <c r="AT873" t="s">
        <v>253</v>
      </c>
      <c r="AU873">
        <v>879.5</v>
      </c>
      <c r="AV873">
        <v>27</v>
      </c>
      <c r="AW873">
        <v>19</v>
      </c>
      <c r="AX873">
        <v>18</v>
      </c>
      <c r="AY873">
        <v>27</v>
      </c>
      <c r="AZ873">
        <v>1</v>
      </c>
      <c r="BA873">
        <v>14695</v>
      </c>
      <c r="BB873">
        <v>86</v>
      </c>
      <c r="BC873">
        <v>83</v>
      </c>
      <c r="BD873">
        <v>80</v>
      </c>
      <c r="BE873">
        <v>5</v>
      </c>
      <c r="BF873" t="s">
        <v>29</v>
      </c>
      <c r="BG873">
        <v>-1</v>
      </c>
      <c r="BH873">
        <v>3</v>
      </c>
      <c r="BI873">
        <v>0.33300000000000002</v>
      </c>
      <c r="BJ873" t="s">
        <v>282</v>
      </c>
      <c r="BK873">
        <v>0.56599999999999995</v>
      </c>
      <c r="BL873">
        <v>0.52829999999999999</v>
      </c>
      <c r="BM873">
        <v>1.85</v>
      </c>
      <c r="BN873">
        <v>1.83</v>
      </c>
    </row>
    <row r="874" spans="4:66" x14ac:dyDescent="0.25">
      <c r="D874">
        <v>2.2200000000000002</v>
      </c>
      <c r="E874">
        <v>3.4166666666666665</v>
      </c>
      <c r="F874">
        <v>3.3166666666666664</v>
      </c>
      <c r="G874" s="40">
        <v>0.42</v>
      </c>
      <c r="H874" s="40">
        <v>0.38</v>
      </c>
      <c r="I874" s="40">
        <v>0.20000000000000007</v>
      </c>
      <c r="J874">
        <v>2.23</v>
      </c>
      <c r="K874">
        <v>3.55</v>
      </c>
      <c r="L874">
        <v>3.35</v>
      </c>
      <c r="M874">
        <v>2.2000000000000002</v>
      </c>
      <c r="N874">
        <v>3.3</v>
      </c>
      <c r="O874">
        <v>3.3</v>
      </c>
      <c r="P874">
        <v>2.23</v>
      </c>
      <c r="Q874">
        <v>3.4</v>
      </c>
      <c r="R874">
        <v>3.3</v>
      </c>
      <c r="S874">
        <v>0.45239454152961656</v>
      </c>
      <c r="T874">
        <v>0.2464592412730566</v>
      </c>
      <c r="U874">
        <v>0.30114621719732687</v>
      </c>
      <c r="V874">
        <v>0.42857142857142855</v>
      </c>
      <c r="W874">
        <v>0.28571428571428575</v>
      </c>
      <c r="X874">
        <v>0.28571428571428575</v>
      </c>
      <c r="Y874">
        <v>0.42888268797064338</v>
      </c>
      <c r="Z874">
        <v>0.28129658652192197</v>
      </c>
      <c r="AA874">
        <v>0.28982072550743476</v>
      </c>
      <c r="AB874">
        <v>0.43661621935722944</v>
      </c>
      <c r="AC874">
        <v>0.2711567045030881</v>
      </c>
      <c r="AD874">
        <v>0.29222707613968252</v>
      </c>
      <c r="AE874" t="s">
        <v>144</v>
      </c>
      <c r="AF874" t="s">
        <v>141</v>
      </c>
      <c r="AG874">
        <v>783.5</v>
      </c>
      <c r="AH874">
        <v>25</v>
      </c>
      <c r="AI874">
        <v>18</v>
      </c>
      <c r="AJ874">
        <v>17</v>
      </c>
      <c r="AK874">
        <v>27.6</v>
      </c>
      <c r="AL874">
        <v>18</v>
      </c>
      <c r="AM874">
        <v>8949</v>
      </c>
      <c r="AN874">
        <v>84</v>
      </c>
      <c r="AO874">
        <v>86</v>
      </c>
      <c r="AP874">
        <v>84</v>
      </c>
      <c r="AQ874">
        <v>5</v>
      </c>
      <c r="AR874" t="s">
        <v>28</v>
      </c>
      <c r="AS874" t="s">
        <v>309</v>
      </c>
      <c r="AT874" t="s">
        <v>307</v>
      </c>
      <c r="AU874">
        <v>573.29999999999995</v>
      </c>
      <c r="AV874">
        <v>28</v>
      </c>
      <c r="AW874">
        <v>19</v>
      </c>
      <c r="AX874">
        <v>20</v>
      </c>
      <c r="AY874">
        <v>28.8</v>
      </c>
      <c r="AZ874">
        <v>37</v>
      </c>
      <c r="BA874">
        <v>7235</v>
      </c>
      <c r="BB874">
        <v>83</v>
      </c>
      <c r="BC874">
        <v>81</v>
      </c>
      <c r="BD874">
        <v>83</v>
      </c>
      <c r="BE874">
        <v>4.5</v>
      </c>
      <c r="BF874" t="s">
        <v>29</v>
      </c>
      <c r="BG874">
        <v>5</v>
      </c>
      <c r="BH874">
        <v>29</v>
      </c>
      <c r="BI874">
        <v>0.5</v>
      </c>
      <c r="BJ874" t="s">
        <v>282</v>
      </c>
      <c r="BK874">
        <v>0.59619999999999995</v>
      </c>
      <c r="BL874">
        <v>0.64580000000000004</v>
      </c>
      <c r="BM874">
        <v>1.69</v>
      </c>
      <c r="BN874">
        <v>2.1</v>
      </c>
    </row>
    <row r="875" spans="4:66" x14ac:dyDescent="0.25">
      <c r="D875">
        <v>1.7566666666666668</v>
      </c>
      <c r="E875">
        <v>4.1833333333333336</v>
      </c>
      <c r="F875">
        <v>4.2333333333333334</v>
      </c>
      <c r="G875" s="40">
        <v>0.42</v>
      </c>
      <c r="H875" s="40">
        <v>0.36</v>
      </c>
      <c r="I875" s="40">
        <v>0.22000000000000008</v>
      </c>
      <c r="J875">
        <v>1.76</v>
      </c>
      <c r="K875">
        <v>4.25</v>
      </c>
      <c r="L875">
        <v>4.4000000000000004</v>
      </c>
      <c r="M875">
        <v>1.78</v>
      </c>
      <c r="N875">
        <v>4</v>
      </c>
      <c r="O875">
        <v>4</v>
      </c>
      <c r="P875">
        <v>1.73</v>
      </c>
      <c r="Q875">
        <v>4.3</v>
      </c>
      <c r="R875">
        <v>4.3</v>
      </c>
      <c r="S875">
        <v>0.57565063961182183</v>
      </c>
      <c r="T875">
        <v>0.19408910454344946</v>
      </c>
      <c r="U875">
        <v>0.2302602558447287</v>
      </c>
      <c r="V875">
        <v>0.52910052910052907</v>
      </c>
      <c r="W875">
        <v>0.23544973544973546</v>
      </c>
      <c r="X875">
        <v>0.23544973544973546</v>
      </c>
      <c r="Y875">
        <v>0.55412371134020622</v>
      </c>
      <c r="Z875">
        <v>0.22293814432989692</v>
      </c>
      <c r="AA875">
        <v>0.22293814432989692</v>
      </c>
      <c r="AB875">
        <v>0.55295829335085234</v>
      </c>
      <c r="AC875">
        <v>0.21749232810769392</v>
      </c>
      <c r="AD875">
        <v>0.22954937854145366</v>
      </c>
      <c r="AE875" t="s">
        <v>308</v>
      </c>
      <c r="AF875" t="s">
        <v>307</v>
      </c>
      <c r="AG875">
        <v>415.35</v>
      </c>
      <c r="AH875">
        <v>26</v>
      </c>
      <c r="AI875">
        <v>16</v>
      </c>
      <c r="AJ875">
        <v>17</v>
      </c>
      <c r="AK875">
        <v>27.1</v>
      </c>
      <c r="AL875">
        <v>26</v>
      </c>
      <c r="AM875">
        <v>7928</v>
      </c>
      <c r="AN875">
        <v>82</v>
      </c>
      <c r="AO875">
        <v>79</v>
      </c>
      <c r="AP875">
        <v>78</v>
      </c>
      <c r="AQ875">
        <v>4.5</v>
      </c>
      <c r="AR875" t="s">
        <v>29</v>
      </c>
      <c r="AS875" t="s">
        <v>149</v>
      </c>
      <c r="AT875" t="s">
        <v>141</v>
      </c>
      <c r="AU875">
        <v>298.89999999999998</v>
      </c>
      <c r="AV875">
        <v>24</v>
      </c>
      <c r="AW875">
        <v>9</v>
      </c>
      <c r="AX875">
        <v>10</v>
      </c>
      <c r="AY875">
        <v>28.2</v>
      </c>
      <c r="AZ875">
        <v>77</v>
      </c>
      <c r="BA875">
        <v>5396</v>
      </c>
      <c r="BB875">
        <v>82</v>
      </c>
      <c r="BC875">
        <v>79</v>
      </c>
      <c r="BD875">
        <v>79</v>
      </c>
      <c r="BE875">
        <v>4.5</v>
      </c>
      <c r="BF875" t="s">
        <v>29</v>
      </c>
      <c r="BG875">
        <v>0</v>
      </c>
      <c r="BH875">
        <v>1</v>
      </c>
      <c r="BI875">
        <v>0</v>
      </c>
      <c r="BJ875" t="s">
        <v>282</v>
      </c>
      <c r="BK875">
        <v>0.56859999999999999</v>
      </c>
      <c r="BL875">
        <v>0.53449999999999998</v>
      </c>
      <c r="BM875">
        <v>2.1800000000000002</v>
      </c>
      <c r="BN875">
        <v>1.78</v>
      </c>
    </row>
    <row r="876" spans="4:66" x14ac:dyDescent="0.25">
      <c r="D876">
        <v>1.67</v>
      </c>
      <c r="E876">
        <v>4.75</v>
      </c>
      <c r="F876">
        <v>4.2666666666666666</v>
      </c>
      <c r="G876" s="40">
        <v>0.49</v>
      </c>
      <c r="H876" s="40">
        <v>0.3</v>
      </c>
      <c r="I876" s="40">
        <v>0.21000000000000002</v>
      </c>
      <c r="J876">
        <v>1.66</v>
      </c>
      <c r="K876">
        <v>5</v>
      </c>
      <c r="L876">
        <v>4.3499999999999996</v>
      </c>
      <c r="M876">
        <v>1.67</v>
      </c>
      <c r="N876">
        <v>4.5</v>
      </c>
      <c r="O876">
        <v>4.2</v>
      </c>
      <c r="P876">
        <v>1.68</v>
      </c>
      <c r="Q876">
        <v>4.75</v>
      </c>
      <c r="R876">
        <v>4.25</v>
      </c>
      <c r="S876">
        <v>0.60582086419112158</v>
      </c>
      <c r="T876">
        <v>0.16299232326697924</v>
      </c>
      <c r="U876">
        <v>0.23118681254189927</v>
      </c>
      <c r="V876">
        <v>0.56537736695683383</v>
      </c>
      <c r="W876">
        <v>0.20981782284842498</v>
      </c>
      <c r="X876">
        <v>0.22480481019474105</v>
      </c>
      <c r="Y876">
        <v>0.57176237343340641</v>
      </c>
      <c r="Z876">
        <v>0.20222332365644691</v>
      </c>
      <c r="AA876">
        <v>0.22601430291014651</v>
      </c>
      <c r="AB876">
        <v>0.5809868681937872</v>
      </c>
      <c r="AC876">
        <v>0.19167782325728369</v>
      </c>
      <c r="AD876">
        <v>0.22733530854892892</v>
      </c>
      <c r="AE876" t="s">
        <v>31</v>
      </c>
      <c r="AF876" t="s">
        <v>26</v>
      </c>
      <c r="AG876">
        <v>852.4</v>
      </c>
      <c r="AH876">
        <v>25</v>
      </c>
      <c r="AI876">
        <v>15</v>
      </c>
      <c r="AJ876">
        <v>17</v>
      </c>
      <c r="AK876">
        <v>26.1</v>
      </c>
      <c r="AL876">
        <v>6</v>
      </c>
      <c r="AM876">
        <v>10885</v>
      </c>
      <c r="AN876">
        <v>92</v>
      </c>
      <c r="AO876">
        <v>85</v>
      </c>
      <c r="AP876">
        <v>82</v>
      </c>
      <c r="AQ876">
        <v>5</v>
      </c>
      <c r="AR876" t="s">
        <v>29</v>
      </c>
      <c r="AS876" t="s">
        <v>137</v>
      </c>
      <c r="AT876" t="s">
        <v>141</v>
      </c>
      <c r="AU876">
        <v>676</v>
      </c>
      <c r="AV876">
        <v>26</v>
      </c>
      <c r="AW876">
        <v>15</v>
      </c>
      <c r="AX876">
        <v>21</v>
      </c>
      <c r="AY876">
        <v>26.1</v>
      </c>
      <c r="AZ876">
        <v>3</v>
      </c>
      <c r="BA876">
        <v>13105</v>
      </c>
      <c r="BB876">
        <v>84</v>
      </c>
      <c r="BC876">
        <v>82</v>
      </c>
      <c r="BD876">
        <v>81</v>
      </c>
      <c r="BE876">
        <v>5</v>
      </c>
      <c r="BF876" t="s">
        <v>28</v>
      </c>
      <c r="BG876">
        <v>13</v>
      </c>
      <c r="BH876">
        <v>26</v>
      </c>
      <c r="BI876">
        <v>0.66700000000000004</v>
      </c>
      <c r="BJ876" t="s">
        <v>282</v>
      </c>
      <c r="BK876">
        <v>0.72919999999999996</v>
      </c>
      <c r="BL876">
        <v>0.62960000000000005</v>
      </c>
      <c r="BM876">
        <v>2.83</v>
      </c>
      <c r="BN876">
        <v>2.2599999999999998</v>
      </c>
    </row>
    <row r="877" spans="4:66" x14ac:dyDescent="0.25">
      <c r="D877">
        <v>2.2899999999999996</v>
      </c>
      <c r="E877">
        <v>3.3833333333333333</v>
      </c>
      <c r="F877">
        <v>3.1833333333333336</v>
      </c>
      <c r="G877" s="40">
        <v>0.28000000000000003</v>
      </c>
      <c r="H877" s="40">
        <v>0.47</v>
      </c>
      <c r="I877" s="40">
        <v>0.25</v>
      </c>
      <c r="J877">
        <v>2.3199999999999998</v>
      </c>
      <c r="K877">
        <v>3.4</v>
      </c>
      <c r="L877">
        <v>3.25</v>
      </c>
      <c r="M877">
        <v>2.25</v>
      </c>
      <c r="N877">
        <v>3.35</v>
      </c>
      <c r="O877">
        <v>3.1</v>
      </c>
      <c r="P877">
        <v>2.2999999999999998</v>
      </c>
      <c r="Q877">
        <v>3.4</v>
      </c>
      <c r="R877">
        <v>3.2</v>
      </c>
      <c r="S877">
        <v>0.43285411523831369</v>
      </c>
      <c r="T877">
        <v>0.25815463942233619</v>
      </c>
      <c r="U877">
        <v>0.30899124533935007</v>
      </c>
      <c r="V877">
        <v>0.41711015162164877</v>
      </c>
      <c r="W877">
        <v>0.2801486092981223</v>
      </c>
      <c r="X877">
        <v>0.30274123908022893</v>
      </c>
      <c r="Y877">
        <v>0.41749808135072908</v>
      </c>
      <c r="Z877">
        <v>0.28242517267843437</v>
      </c>
      <c r="AA877">
        <v>0.3000767459708365</v>
      </c>
      <c r="AB877">
        <v>0.42248744940356381</v>
      </c>
      <c r="AC877">
        <v>0.27357614046629758</v>
      </c>
      <c r="AD877">
        <v>0.3039364101301385</v>
      </c>
      <c r="AE877" t="s">
        <v>274</v>
      </c>
      <c r="AF877" t="s">
        <v>26</v>
      </c>
      <c r="AG877">
        <v>287.75</v>
      </c>
      <c r="AH877">
        <v>31</v>
      </c>
      <c r="AI877">
        <v>20</v>
      </c>
      <c r="AJ877">
        <v>11</v>
      </c>
      <c r="AK877">
        <v>25.4</v>
      </c>
      <c r="AL877">
        <v>65</v>
      </c>
      <c r="AM877">
        <v>5919</v>
      </c>
      <c r="AN877">
        <v>78</v>
      </c>
      <c r="AO877">
        <v>78</v>
      </c>
      <c r="AP877">
        <v>77</v>
      </c>
      <c r="AQ877">
        <v>4</v>
      </c>
      <c r="AR877" t="s">
        <v>46</v>
      </c>
      <c r="AS877" t="s">
        <v>33</v>
      </c>
      <c r="AT877" t="s">
        <v>23</v>
      </c>
      <c r="AU877">
        <v>272</v>
      </c>
      <c r="AV877">
        <v>26</v>
      </c>
      <c r="AW877">
        <v>20</v>
      </c>
      <c r="AX877">
        <v>12</v>
      </c>
      <c r="AY877">
        <v>25.4</v>
      </c>
      <c r="AZ877">
        <v>131</v>
      </c>
      <c r="BA877">
        <v>4207</v>
      </c>
      <c r="BB877">
        <v>78</v>
      </c>
      <c r="BC877">
        <v>78</v>
      </c>
      <c r="BD877">
        <v>78</v>
      </c>
      <c r="BE877">
        <v>4</v>
      </c>
      <c r="BF877" t="s">
        <v>29</v>
      </c>
      <c r="BG877">
        <v>3</v>
      </c>
      <c r="BH877">
        <v>5</v>
      </c>
      <c r="BI877">
        <v>0.33300000000000002</v>
      </c>
      <c r="BJ877" t="s">
        <v>282</v>
      </c>
      <c r="BK877">
        <v>0.53659999999999997</v>
      </c>
      <c r="BL877">
        <v>0.59179999999999999</v>
      </c>
      <c r="BM877">
        <v>1.88</v>
      </c>
      <c r="BN877">
        <v>1.71</v>
      </c>
    </row>
    <row r="878" spans="4:66" x14ac:dyDescent="0.25">
      <c r="D878">
        <v>2.1800000000000002</v>
      </c>
      <c r="E878">
        <v>3.6333333333333333</v>
      </c>
      <c r="F878">
        <v>3.2166666666666668</v>
      </c>
      <c r="G878" s="40">
        <v>0.41</v>
      </c>
      <c r="H878" s="40">
        <v>0.38</v>
      </c>
      <c r="I878" s="40">
        <v>0.21000000000000008</v>
      </c>
      <c r="J878">
        <v>2.1</v>
      </c>
      <c r="K878">
        <v>3.75</v>
      </c>
      <c r="L878">
        <v>3.25</v>
      </c>
      <c r="M878">
        <v>2.14</v>
      </c>
      <c r="N878">
        <v>3.75</v>
      </c>
      <c r="O878">
        <v>3.2</v>
      </c>
      <c r="P878">
        <v>2.2999999999999998</v>
      </c>
      <c r="Q878">
        <v>3.4</v>
      </c>
      <c r="R878">
        <v>3.2</v>
      </c>
      <c r="S878">
        <v>0.46807139454733954</v>
      </c>
      <c r="T878">
        <v>0.22948247359130267</v>
      </c>
      <c r="U878">
        <v>0.30244613186135783</v>
      </c>
      <c r="V878">
        <v>0.44654485915230907</v>
      </c>
      <c r="W878">
        <v>0.25482826628958438</v>
      </c>
      <c r="X878">
        <v>0.29862687455810666</v>
      </c>
      <c r="Y878">
        <v>0.41749808135072908</v>
      </c>
      <c r="Z878">
        <v>0.28242517267843437</v>
      </c>
      <c r="AA878">
        <v>0.3000767459708365</v>
      </c>
      <c r="AB878">
        <v>0.44403811168345925</v>
      </c>
      <c r="AC878">
        <v>0.25557863751977383</v>
      </c>
      <c r="AD878">
        <v>0.30038325079676698</v>
      </c>
      <c r="AE878" t="s">
        <v>310</v>
      </c>
      <c r="AF878" t="s">
        <v>307</v>
      </c>
      <c r="AG878">
        <v>517.75</v>
      </c>
      <c r="AH878">
        <v>25</v>
      </c>
      <c r="AI878">
        <v>18</v>
      </c>
      <c r="AJ878">
        <v>17</v>
      </c>
      <c r="AK878">
        <v>27.6</v>
      </c>
      <c r="AL878">
        <v>38</v>
      </c>
      <c r="AM878">
        <v>7165</v>
      </c>
      <c r="AN878">
        <v>82</v>
      </c>
      <c r="AO878">
        <v>80</v>
      </c>
      <c r="AP878">
        <v>80</v>
      </c>
      <c r="AQ878">
        <v>4.5</v>
      </c>
      <c r="AR878" t="s">
        <v>29</v>
      </c>
      <c r="AS878" t="s">
        <v>260</v>
      </c>
      <c r="AT878" t="s">
        <v>253</v>
      </c>
      <c r="AU878">
        <v>550.1</v>
      </c>
      <c r="AV878">
        <v>28</v>
      </c>
      <c r="AW878">
        <v>18</v>
      </c>
      <c r="AX878">
        <v>13</v>
      </c>
      <c r="AY878">
        <v>26.9</v>
      </c>
      <c r="AZ878">
        <v>85</v>
      </c>
      <c r="BA878">
        <v>5188</v>
      </c>
      <c r="BB878">
        <v>80</v>
      </c>
      <c r="BC878">
        <v>81</v>
      </c>
      <c r="BD878">
        <v>79</v>
      </c>
      <c r="BE878">
        <v>4.5</v>
      </c>
      <c r="BF878" t="s">
        <v>29</v>
      </c>
      <c r="BG878">
        <v>0</v>
      </c>
      <c r="BH878">
        <v>1</v>
      </c>
      <c r="BI878">
        <v>0</v>
      </c>
      <c r="BJ878" t="s">
        <v>283</v>
      </c>
      <c r="BK878">
        <v>0.58819999999999995</v>
      </c>
      <c r="BL878">
        <v>0.56599999999999995</v>
      </c>
      <c r="BM878">
        <v>2.02</v>
      </c>
      <c r="BN878">
        <v>1.79</v>
      </c>
    </row>
    <row r="879" spans="4:66" x14ac:dyDescent="0.25">
      <c r="D879">
        <v>1.3043333333333333</v>
      </c>
      <c r="E879">
        <v>5.3999999999999995</v>
      </c>
      <c r="F879">
        <v>9.4333333333333336</v>
      </c>
      <c r="G879" s="40">
        <v>0.28000000000000003</v>
      </c>
      <c r="H879" s="40">
        <v>0.41</v>
      </c>
      <c r="I879" s="40">
        <v>0.31</v>
      </c>
      <c r="J879">
        <v>1.3</v>
      </c>
      <c r="K879">
        <v>5.65</v>
      </c>
      <c r="L879">
        <v>10</v>
      </c>
      <c r="M879">
        <v>1.333</v>
      </c>
      <c r="N879">
        <v>5.25</v>
      </c>
      <c r="O879">
        <v>9</v>
      </c>
      <c r="P879">
        <v>1.28</v>
      </c>
      <c r="Q879">
        <v>5.3</v>
      </c>
      <c r="R879">
        <v>9.3000000000000007</v>
      </c>
      <c r="S879">
        <v>0.78263963002490222</v>
      </c>
      <c r="T879">
        <v>0.11561721807186054</v>
      </c>
      <c r="U879">
        <v>0.10174315190323728</v>
      </c>
      <c r="V879">
        <v>0.71325868647186019</v>
      </c>
      <c r="W879">
        <v>0.1810997769651409</v>
      </c>
      <c r="X879">
        <v>0.10564153656299886</v>
      </c>
      <c r="Y879">
        <v>0.72508752831798517</v>
      </c>
      <c r="Z879">
        <v>0.1751154785371738</v>
      </c>
      <c r="AA879">
        <v>9.9796993144840973E-2</v>
      </c>
      <c r="AB879">
        <v>0.7403286149382492</v>
      </c>
      <c r="AC879">
        <v>0.15727749119139176</v>
      </c>
      <c r="AD879">
        <v>0.10239389387035903</v>
      </c>
      <c r="AE879" t="s">
        <v>259</v>
      </c>
      <c r="AF879" t="s">
        <v>253</v>
      </c>
      <c r="AG879">
        <v>692</v>
      </c>
      <c r="AH879">
        <v>33</v>
      </c>
      <c r="AI879">
        <v>16</v>
      </c>
      <c r="AJ879">
        <v>18</v>
      </c>
      <c r="AK879">
        <v>25.7</v>
      </c>
      <c r="AL879">
        <v>42</v>
      </c>
      <c r="AM879">
        <v>6821</v>
      </c>
      <c r="AN879">
        <v>89</v>
      </c>
      <c r="AO879">
        <v>82</v>
      </c>
      <c r="AP879">
        <v>81</v>
      </c>
      <c r="AQ879">
        <v>4.5</v>
      </c>
      <c r="AR879" t="s">
        <v>29</v>
      </c>
      <c r="AS879" t="s">
        <v>32</v>
      </c>
      <c r="AT879" t="s">
        <v>23</v>
      </c>
      <c r="AU879">
        <v>189.65</v>
      </c>
      <c r="AV879">
        <v>29</v>
      </c>
      <c r="AW879">
        <v>11</v>
      </c>
      <c r="AX879">
        <v>7</v>
      </c>
      <c r="AY879">
        <v>23.6</v>
      </c>
      <c r="AZ879">
        <v>102</v>
      </c>
      <c r="BA879">
        <v>4815</v>
      </c>
      <c r="BB879">
        <v>75</v>
      </c>
      <c r="BC879">
        <v>76</v>
      </c>
      <c r="BD879">
        <v>76</v>
      </c>
      <c r="BE879">
        <v>4</v>
      </c>
      <c r="BF879" t="s">
        <v>29</v>
      </c>
      <c r="BG879">
        <v>0</v>
      </c>
      <c r="BH879">
        <v>1</v>
      </c>
      <c r="BI879">
        <v>0</v>
      </c>
      <c r="BJ879" t="s">
        <v>283</v>
      </c>
      <c r="BK879">
        <v>0.54239999999999999</v>
      </c>
      <c r="BL879">
        <v>0.35560000000000003</v>
      </c>
      <c r="BM879">
        <v>2.1</v>
      </c>
      <c r="BN879">
        <v>1.24</v>
      </c>
    </row>
    <row r="880" spans="4:66" x14ac:dyDescent="0.25">
      <c r="D880">
        <v>1.5176666666666667</v>
      </c>
      <c r="E880">
        <v>4.0166666666666666</v>
      </c>
      <c r="F880">
        <v>5.9666666666666659</v>
      </c>
      <c r="G880" s="40">
        <v>0.28999999999999998</v>
      </c>
      <c r="H880" s="40">
        <v>0.24</v>
      </c>
      <c r="I880" s="40">
        <v>0.47</v>
      </c>
      <c r="J880">
        <v>1.47</v>
      </c>
      <c r="K880">
        <v>4</v>
      </c>
      <c r="L880">
        <v>5.5</v>
      </c>
      <c r="M880">
        <v>1.5329999999999999</v>
      </c>
      <c r="N880">
        <v>4</v>
      </c>
      <c r="O880">
        <v>6.5</v>
      </c>
      <c r="P880">
        <v>1.55</v>
      </c>
      <c r="Q880">
        <v>4.05</v>
      </c>
      <c r="R880">
        <v>5.9</v>
      </c>
      <c r="S880">
        <v>0.64418852385166969</v>
      </c>
      <c r="T880">
        <v>0.18363745250070224</v>
      </c>
      <c r="U880">
        <v>0.1721740236476281</v>
      </c>
      <c r="V880">
        <v>0.61762854394070765</v>
      </c>
      <c r="W880">
        <v>0.23670613946527622</v>
      </c>
      <c r="X880">
        <v>0.14566531659401613</v>
      </c>
      <c r="Y880">
        <v>0.60774464297068742</v>
      </c>
      <c r="Z880">
        <v>0.23259362879125076</v>
      </c>
      <c r="AA880">
        <v>0.15966172823806196</v>
      </c>
      <c r="AB880">
        <v>0.62318723692102163</v>
      </c>
      <c r="AC880">
        <v>0.21764574025240976</v>
      </c>
      <c r="AD880">
        <v>0.15916702282656872</v>
      </c>
      <c r="AE880" t="s">
        <v>111</v>
      </c>
      <c r="AF880" t="s">
        <v>108</v>
      </c>
      <c r="AG880">
        <v>56.2</v>
      </c>
      <c r="AH880">
        <v>28</v>
      </c>
      <c r="AI880">
        <v>2</v>
      </c>
      <c r="AJ880">
        <v>2</v>
      </c>
      <c r="AK880">
        <v>25.9</v>
      </c>
      <c r="AL880">
        <v>15</v>
      </c>
      <c r="AM880">
        <v>9286</v>
      </c>
      <c r="AN880">
        <v>74</v>
      </c>
      <c r="AO880">
        <v>71</v>
      </c>
      <c r="AP880">
        <v>72</v>
      </c>
      <c r="AQ880">
        <v>3.5</v>
      </c>
      <c r="AR880" t="s">
        <v>29</v>
      </c>
      <c r="AS880" t="s">
        <v>109</v>
      </c>
      <c r="AT880" t="s">
        <v>108</v>
      </c>
      <c r="AU880">
        <v>143.19999999999999</v>
      </c>
      <c r="AV880">
        <v>31</v>
      </c>
      <c r="AW880">
        <v>3</v>
      </c>
      <c r="AX880">
        <v>4</v>
      </c>
      <c r="AY880">
        <v>27</v>
      </c>
      <c r="AZ880">
        <v>5</v>
      </c>
      <c r="BA880">
        <v>11026</v>
      </c>
      <c r="BB880">
        <v>74</v>
      </c>
      <c r="BC880">
        <v>76</v>
      </c>
      <c r="BD880">
        <v>74</v>
      </c>
      <c r="BE880">
        <v>3.5</v>
      </c>
      <c r="BF880" t="s">
        <v>29</v>
      </c>
      <c r="BG880">
        <v>-7</v>
      </c>
      <c r="BH880">
        <v>36</v>
      </c>
      <c r="BI880">
        <v>0.27300000000000002</v>
      </c>
      <c r="BJ880" t="s">
        <v>108</v>
      </c>
      <c r="BK880">
        <v>0.43940000000000001</v>
      </c>
      <c r="BL880">
        <v>0.50649999999999995</v>
      </c>
      <c r="BM880">
        <v>1.29</v>
      </c>
      <c r="BN880">
        <v>1.65</v>
      </c>
    </row>
    <row r="881" spans="4:66" x14ac:dyDescent="0.25">
      <c r="D881">
        <v>1.4966666666666668</v>
      </c>
      <c r="E881">
        <v>4.2776666666666667</v>
      </c>
      <c r="F881">
        <v>5.666666666666667</v>
      </c>
      <c r="G881" s="40">
        <v>0.48</v>
      </c>
      <c r="H881" s="40">
        <v>0.34</v>
      </c>
      <c r="I881" s="40">
        <v>0.18</v>
      </c>
      <c r="J881">
        <v>1.46</v>
      </c>
      <c r="K881">
        <v>4.0999999999999996</v>
      </c>
      <c r="L881">
        <v>5.4</v>
      </c>
      <c r="M881">
        <v>1.5</v>
      </c>
      <c r="N881">
        <v>4.3330000000000002</v>
      </c>
      <c r="O881">
        <v>6</v>
      </c>
      <c r="P881">
        <v>1.53</v>
      </c>
      <c r="Q881">
        <v>4.4000000000000004</v>
      </c>
      <c r="R881">
        <v>5.6</v>
      </c>
      <c r="S881">
        <v>0.64587418871086233</v>
      </c>
      <c r="T881">
        <v>0.17950056767471934</v>
      </c>
      <c r="U881">
        <v>0.17462524361441834</v>
      </c>
      <c r="V881">
        <v>0.62649557202241102</v>
      </c>
      <c r="W881">
        <v>0.21688053497198628</v>
      </c>
      <c r="X881">
        <v>0.15662389300560275</v>
      </c>
      <c r="Y881">
        <v>0.61692538808212316</v>
      </c>
      <c r="Z881">
        <v>0.21452178267401101</v>
      </c>
      <c r="AA881">
        <v>0.16855282924386583</v>
      </c>
      <c r="AB881">
        <v>0.62976504960513213</v>
      </c>
      <c r="AC881">
        <v>0.20363429510690553</v>
      </c>
      <c r="AD881">
        <v>0.16660065528796231</v>
      </c>
      <c r="AE881" t="s">
        <v>107</v>
      </c>
      <c r="AF881" t="s">
        <v>108</v>
      </c>
      <c r="AG881">
        <v>148.6</v>
      </c>
      <c r="AH881">
        <v>32</v>
      </c>
      <c r="AI881">
        <v>2</v>
      </c>
      <c r="AJ881">
        <v>7</v>
      </c>
      <c r="AK881">
        <v>27.2</v>
      </c>
      <c r="AL881">
        <v>2</v>
      </c>
      <c r="AM881">
        <v>13486</v>
      </c>
      <c r="AN881">
        <v>77</v>
      </c>
      <c r="AO881">
        <v>75</v>
      </c>
      <c r="AP881">
        <v>75</v>
      </c>
      <c r="AQ881">
        <v>4</v>
      </c>
      <c r="AR881" t="s">
        <v>29</v>
      </c>
      <c r="AS881" t="s">
        <v>114</v>
      </c>
      <c r="AT881" t="s">
        <v>108</v>
      </c>
      <c r="AU881">
        <v>59.75</v>
      </c>
      <c r="AV881">
        <v>40</v>
      </c>
      <c r="AW881">
        <v>3</v>
      </c>
      <c r="AX881">
        <v>0</v>
      </c>
      <c r="AY881">
        <v>24.7</v>
      </c>
      <c r="AZ881">
        <v>40</v>
      </c>
      <c r="BA881">
        <v>7098</v>
      </c>
      <c r="BB881">
        <v>74</v>
      </c>
      <c r="BC881">
        <v>72</v>
      </c>
      <c r="BD881">
        <v>73</v>
      </c>
      <c r="BE881">
        <v>3.5</v>
      </c>
      <c r="BF881" t="s">
        <v>29</v>
      </c>
      <c r="BG881">
        <v>6</v>
      </c>
      <c r="BH881">
        <v>65</v>
      </c>
      <c r="BI881">
        <v>0.38600000000000001</v>
      </c>
      <c r="BJ881" t="s">
        <v>108</v>
      </c>
      <c r="BK881">
        <v>0.62860000000000005</v>
      </c>
      <c r="BL881">
        <v>0.39389999999999997</v>
      </c>
      <c r="BM881">
        <v>1.87</v>
      </c>
      <c r="BN881">
        <v>1.3</v>
      </c>
    </row>
  </sheetData>
  <autoFilter ref="A1:BN772" xr:uid="{3435AE14-ADBD-4EB3-B555-16771C119CC2}"/>
  <phoneticPr fontId="8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76057-3FF8-45BF-AE2D-C97041D01ABE}">
  <sheetPr codeName="Hoja7"/>
  <dimension ref="A1:V4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5" x14ac:dyDescent="0.25"/>
  <cols>
    <col min="1" max="1" width="34" bestFit="1" customWidth="1" collapsed="1"/>
    <col min="2" max="2" width="12.28515625" customWidth="1" collapsed="1"/>
    <col min="3" max="3" width="12.5703125" bestFit="1" customWidth="1" collapsed="1"/>
    <col min="4" max="5" width="12.28515625" customWidth="1" collapsed="1"/>
    <col min="6" max="6" width="18.42578125" bestFit="1" customWidth="1" collapsed="1"/>
    <col min="7" max="7" width="19.42578125" bestFit="1" customWidth="1" collapsed="1"/>
    <col min="8" max="8" width="12.28515625" customWidth="1" collapsed="1"/>
    <col min="9" max="9" width="12.5703125" bestFit="1" customWidth="1" collapsed="1"/>
    <col min="10" max="11" width="14.140625" bestFit="1" customWidth="1" collapsed="1"/>
    <col min="16" max="16" width="18.42578125" bestFit="1" customWidth="1" collapsed="1"/>
    <col min="17" max="17" width="19.42578125" bestFit="1" customWidth="1" collapsed="1"/>
    <col min="18" max="18" width="14.5703125" customWidth="1" collapsed="1"/>
    <col min="19" max="19" width="16" customWidth="1" collapsed="1"/>
    <col min="21" max="21" width="12.7109375" bestFit="1" customWidth="1" collapsed="1"/>
    <col min="22" max="22" width="14.5703125" bestFit="1" customWidth="1" collapsed="1"/>
  </cols>
  <sheetData>
    <row r="1" spans="1:22" x14ac:dyDescent="0.25">
      <c r="A1" t="s">
        <v>284</v>
      </c>
      <c r="B1" s="54" t="s">
        <v>323</v>
      </c>
      <c r="C1" s="54" t="s">
        <v>324</v>
      </c>
      <c r="D1" s="54" t="s">
        <v>297</v>
      </c>
      <c r="E1" s="54" t="s">
        <v>298</v>
      </c>
      <c r="F1" s="54" t="s">
        <v>299</v>
      </c>
      <c r="G1" s="54" t="s">
        <v>300</v>
      </c>
      <c r="H1" s="54" t="s">
        <v>301</v>
      </c>
      <c r="I1" s="54" t="s">
        <v>302</v>
      </c>
      <c r="J1" s="52" t="s">
        <v>7</v>
      </c>
      <c r="K1" s="52" t="s">
        <v>281</v>
      </c>
      <c r="L1" s="2" t="s">
        <v>325</v>
      </c>
      <c r="M1" s="2" t="s">
        <v>326</v>
      </c>
      <c r="N1" s="2" t="s">
        <v>297</v>
      </c>
      <c r="O1" s="2" t="s">
        <v>298</v>
      </c>
      <c r="P1" s="2" t="s">
        <v>299</v>
      </c>
      <c r="Q1" s="2" t="s">
        <v>300</v>
      </c>
      <c r="R1" s="2" t="s">
        <v>301</v>
      </c>
      <c r="S1" s="2" t="s">
        <v>302</v>
      </c>
      <c r="T1" s="2" t="s">
        <v>335</v>
      </c>
      <c r="U1" s="6">
        <v>10000</v>
      </c>
    </row>
    <row r="2" spans="1:22" x14ac:dyDescent="0.25">
      <c r="B2" s="69"/>
      <c r="C2" s="69"/>
      <c r="D2" s="69"/>
      <c r="E2" s="69"/>
      <c r="F2" s="69"/>
      <c r="G2" s="69"/>
      <c r="H2" s="69"/>
      <c r="I2" s="69"/>
      <c r="J2" s="70"/>
      <c r="K2" s="70"/>
      <c r="L2" s="51">
        <f>IF(B2=J2,1,0)</f>
        <v>1</v>
      </c>
      <c r="M2" s="1">
        <f>IF(C2=J2,1,0)</f>
        <v>1</v>
      </c>
      <c r="N2" s="51">
        <f t="shared" ref="N2:N26" si="0">IF(D2=J2,1,0)</f>
        <v>1</v>
      </c>
      <c r="O2" s="1">
        <f t="shared" ref="O2:O26" si="1">IF(E2=J2,1,0)</f>
        <v>1</v>
      </c>
      <c r="P2" s="1">
        <f t="shared" ref="P2:P26" si="2">IF(F2=$J2,1,0)</f>
        <v>1</v>
      </c>
      <c r="Q2" s="1">
        <f t="shared" ref="Q2:Q26" si="3">IF(G2=$J2,1,0)</f>
        <v>1</v>
      </c>
      <c r="R2" s="1">
        <f>IF(H2=J2,1,0)</f>
        <v>1</v>
      </c>
      <c r="S2" s="1">
        <f>IF(I2=J2,1,0)</f>
        <v>1</v>
      </c>
      <c r="U2" s="6">
        <f>T2*S2*$U$1-$U$1</f>
        <v>-10000</v>
      </c>
      <c r="V2" s="44">
        <f>SUM(U2:U45)</f>
        <v>-440000</v>
      </c>
    </row>
    <row r="3" spans="1:22" x14ac:dyDescent="0.25">
      <c r="B3" s="69"/>
      <c r="C3" s="69"/>
      <c r="D3" s="69"/>
      <c r="E3" s="69"/>
      <c r="F3" s="69"/>
      <c r="G3" s="69"/>
      <c r="H3" s="69"/>
      <c r="I3" s="69"/>
      <c r="J3" s="70"/>
      <c r="K3" s="70"/>
      <c r="L3" s="51">
        <f t="shared" ref="L3:L26" si="4">IF(B3=J3,1,0)</f>
        <v>1</v>
      </c>
      <c r="M3" s="1">
        <f t="shared" ref="M3:M26" si="5">IF(C3=J3,1,0)</f>
        <v>1</v>
      </c>
      <c r="N3" s="51">
        <f t="shared" si="0"/>
        <v>1</v>
      </c>
      <c r="O3" s="1">
        <f t="shared" si="1"/>
        <v>1</v>
      </c>
      <c r="P3" s="1">
        <f t="shared" si="2"/>
        <v>1</v>
      </c>
      <c r="Q3" s="1">
        <f t="shared" si="3"/>
        <v>1</v>
      </c>
      <c r="R3" s="1">
        <f t="shared" ref="R3:R26" si="6">IF(H3=J3,1,0)</f>
        <v>1</v>
      </c>
      <c r="S3" s="1">
        <f t="shared" ref="S3:S26" si="7">IF(I3=J3,1,0)</f>
        <v>1</v>
      </c>
      <c r="U3" s="6">
        <f t="shared" ref="U3:U45" si="8">T3*S3*$U$1-$U$1</f>
        <v>-10000</v>
      </c>
    </row>
    <row r="4" spans="1:22" x14ac:dyDescent="0.25">
      <c r="B4" s="69"/>
      <c r="C4" s="69"/>
      <c r="D4" s="69"/>
      <c r="E4" s="69"/>
      <c r="F4" s="69"/>
      <c r="G4" s="69"/>
      <c r="H4" s="69"/>
      <c r="I4" s="69"/>
      <c r="J4" s="70"/>
      <c r="K4" s="70"/>
      <c r="L4" s="51">
        <f t="shared" si="4"/>
        <v>1</v>
      </c>
      <c r="M4" s="1">
        <f t="shared" si="5"/>
        <v>1</v>
      </c>
      <c r="N4" s="51">
        <f t="shared" si="0"/>
        <v>1</v>
      </c>
      <c r="O4" s="1">
        <f t="shared" si="1"/>
        <v>1</v>
      </c>
      <c r="P4" s="1">
        <f t="shared" si="2"/>
        <v>1</v>
      </c>
      <c r="Q4" s="1">
        <f t="shared" si="3"/>
        <v>1</v>
      </c>
      <c r="R4" s="1">
        <f t="shared" si="6"/>
        <v>1</v>
      </c>
      <c r="S4" s="1">
        <f t="shared" si="7"/>
        <v>1</v>
      </c>
      <c r="U4" s="6">
        <f t="shared" si="8"/>
        <v>-10000</v>
      </c>
    </row>
    <row r="5" spans="1:22" x14ac:dyDescent="0.25">
      <c r="B5" s="69"/>
      <c r="C5" s="69"/>
      <c r="D5" s="69"/>
      <c r="E5" s="69"/>
      <c r="F5" s="69"/>
      <c r="G5" s="69"/>
      <c r="H5" s="69"/>
      <c r="I5" s="69"/>
      <c r="J5" s="70"/>
      <c r="K5" s="70"/>
      <c r="L5" s="51">
        <f t="shared" si="4"/>
        <v>1</v>
      </c>
      <c r="M5" s="1">
        <f t="shared" si="5"/>
        <v>1</v>
      </c>
      <c r="N5" s="51">
        <f t="shared" si="0"/>
        <v>1</v>
      </c>
      <c r="O5" s="1">
        <f t="shared" si="1"/>
        <v>1</v>
      </c>
      <c r="P5" s="1">
        <f t="shared" si="2"/>
        <v>1</v>
      </c>
      <c r="Q5" s="1">
        <f t="shared" si="3"/>
        <v>1</v>
      </c>
      <c r="R5" s="1">
        <f t="shared" si="6"/>
        <v>1</v>
      </c>
      <c r="S5" s="1">
        <f t="shared" si="7"/>
        <v>1</v>
      </c>
      <c r="U5" s="6">
        <f t="shared" si="8"/>
        <v>-10000</v>
      </c>
    </row>
    <row r="6" spans="1:22" x14ac:dyDescent="0.25">
      <c r="B6" s="69"/>
      <c r="C6" s="69"/>
      <c r="D6" s="69"/>
      <c r="E6" s="69"/>
      <c r="F6" s="69"/>
      <c r="G6" s="69"/>
      <c r="H6" s="69"/>
      <c r="I6" s="69"/>
      <c r="J6" s="70"/>
      <c r="K6" s="70"/>
      <c r="L6" s="51">
        <f t="shared" si="4"/>
        <v>1</v>
      </c>
      <c r="M6" s="1">
        <f t="shared" si="5"/>
        <v>1</v>
      </c>
      <c r="N6" s="51">
        <f t="shared" si="0"/>
        <v>1</v>
      </c>
      <c r="O6" s="1">
        <f t="shared" si="1"/>
        <v>1</v>
      </c>
      <c r="P6" s="1">
        <f t="shared" si="2"/>
        <v>1</v>
      </c>
      <c r="Q6" s="1">
        <f t="shared" si="3"/>
        <v>1</v>
      </c>
      <c r="R6" s="1">
        <f t="shared" si="6"/>
        <v>1</v>
      </c>
      <c r="S6" s="1">
        <f t="shared" si="7"/>
        <v>1</v>
      </c>
      <c r="U6" s="6">
        <f t="shared" si="8"/>
        <v>-10000</v>
      </c>
    </row>
    <row r="7" spans="1:22" x14ac:dyDescent="0.25">
      <c r="B7" s="69"/>
      <c r="C7" s="69"/>
      <c r="D7" s="69"/>
      <c r="E7" s="69"/>
      <c r="F7" s="69"/>
      <c r="G7" s="69"/>
      <c r="H7" s="69"/>
      <c r="I7" s="69"/>
      <c r="J7" s="70"/>
      <c r="K7" s="70"/>
      <c r="L7" s="51">
        <f t="shared" si="4"/>
        <v>1</v>
      </c>
      <c r="M7" s="1">
        <f t="shared" si="5"/>
        <v>1</v>
      </c>
      <c r="N7" s="51">
        <f t="shared" si="0"/>
        <v>1</v>
      </c>
      <c r="O7" s="1">
        <f t="shared" si="1"/>
        <v>1</v>
      </c>
      <c r="P7" s="1">
        <f t="shared" si="2"/>
        <v>1</v>
      </c>
      <c r="Q7" s="1">
        <f t="shared" si="3"/>
        <v>1</v>
      </c>
      <c r="R7" s="1">
        <f t="shared" si="6"/>
        <v>1</v>
      </c>
      <c r="S7" s="1">
        <f t="shared" si="7"/>
        <v>1</v>
      </c>
      <c r="U7" s="6">
        <f t="shared" si="8"/>
        <v>-10000</v>
      </c>
    </row>
    <row r="8" spans="1:22" x14ac:dyDescent="0.25">
      <c r="B8" s="69"/>
      <c r="C8" s="69"/>
      <c r="D8" s="69"/>
      <c r="E8" s="69"/>
      <c r="F8" s="69"/>
      <c r="G8" s="69"/>
      <c r="H8" s="69"/>
      <c r="I8" s="69"/>
      <c r="J8" s="70"/>
      <c r="K8" s="70"/>
      <c r="L8" s="51">
        <f t="shared" si="4"/>
        <v>1</v>
      </c>
      <c r="M8" s="1">
        <f t="shared" si="5"/>
        <v>1</v>
      </c>
      <c r="N8" s="51">
        <f t="shared" si="0"/>
        <v>1</v>
      </c>
      <c r="O8" s="1">
        <f t="shared" si="1"/>
        <v>1</v>
      </c>
      <c r="P8" s="1">
        <f t="shared" si="2"/>
        <v>1</v>
      </c>
      <c r="Q8" s="1">
        <f t="shared" si="3"/>
        <v>1</v>
      </c>
      <c r="R8" s="1">
        <f t="shared" si="6"/>
        <v>1</v>
      </c>
      <c r="S8" s="1">
        <f t="shared" si="7"/>
        <v>1</v>
      </c>
      <c r="U8" s="6">
        <f t="shared" si="8"/>
        <v>-10000</v>
      </c>
    </row>
    <row r="9" spans="1:22" x14ac:dyDescent="0.25">
      <c r="B9" s="69"/>
      <c r="C9" s="69"/>
      <c r="D9" s="69"/>
      <c r="E9" s="69"/>
      <c r="F9" s="69"/>
      <c r="G9" s="69"/>
      <c r="H9" s="69"/>
      <c r="I9" s="69"/>
      <c r="J9" s="70"/>
      <c r="K9" s="70"/>
      <c r="L9" s="51">
        <f t="shared" si="4"/>
        <v>1</v>
      </c>
      <c r="M9" s="1">
        <f t="shared" si="5"/>
        <v>1</v>
      </c>
      <c r="N9" s="51">
        <f t="shared" si="0"/>
        <v>1</v>
      </c>
      <c r="O9" s="1">
        <f t="shared" si="1"/>
        <v>1</v>
      </c>
      <c r="P9" s="1">
        <f t="shared" si="2"/>
        <v>1</v>
      </c>
      <c r="Q9" s="1">
        <f t="shared" si="3"/>
        <v>1</v>
      </c>
      <c r="R9" s="1">
        <f t="shared" si="6"/>
        <v>1</v>
      </c>
      <c r="S9" s="1">
        <f t="shared" si="7"/>
        <v>1</v>
      </c>
      <c r="U9" s="6">
        <f t="shared" si="8"/>
        <v>-10000</v>
      </c>
    </row>
    <row r="10" spans="1:22" x14ac:dyDescent="0.25">
      <c r="B10" s="69"/>
      <c r="C10" s="69"/>
      <c r="D10" s="69"/>
      <c r="E10" s="69"/>
      <c r="F10" s="69"/>
      <c r="G10" s="69"/>
      <c r="H10" s="69"/>
      <c r="I10" s="69"/>
      <c r="J10" s="70"/>
      <c r="K10" s="70"/>
      <c r="L10" s="51">
        <f t="shared" si="4"/>
        <v>1</v>
      </c>
      <c r="M10" s="1">
        <f t="shared" si="5"/>
        <v>1</v>
      </c>
      <c r="N10" s="51">
        <f t="shared" si="0"/>
        <v>1</v>
      </c>
      <c r="O10" s="1">
        <f t="shared" si="1"/>
        <v>1</v>
      </c>
      <c r="P10" s="1">
        <f t="shared" si="2"/>
        <v>1</v>
      </c>
      <c r="Q10" s="1">
        <f t="shared" si="3"/>
        <v>1</v>
      </c>
      <c r="R10" s="1">
        <f t="shared" si="6"/>
        <v>1</v>
      </c>
      <c r="S10" s="1">
        <f t="shared" si="7"/>
        <v>1</v>
      </c>
      <c r="U10" s="6">
        <f t="shared" si="8"/>
        <v>-10000</v>
      </c>
    </row>
    <row r="11" spans="1:22" x14ac:dyDescent="0.25">
      <c r="B11" s="69"/>
      <c r="C11" s="69"/>
      <c r="D11" s="69"/>
      <c r="E11" s="69"/>
      <c r="F11" s="69"/>
      <c r="G11" s="69"/>
      <c r="H11" s="69"/>
      <c r="I11" s="69"/>
      <c r="J11" s="70"/>
      <c r="K11" s="70"/>
      <c r="L11" s="51">
        <f t="shared" si="4"/>
        <v>1</v>
      </c>
      <c r="M11" s="1">
        <f t="shared" si="5"/>
        <v>1</v>
      </c>
      <c r="N11" s="51">
        <f t="shared" si="0"/>
        <v>1</v>
      </c>
      <c r="O11" s="1">
        <f t="shared" si="1"/>
        <v>1</v>
      </c>
      <c r="P11" s="1">
        <f t="shared" si="2"/>
        <v>1</v>
      </c>
      <c r="Q11" s="1">
        <f t="shared" si="3"/>
        <v>1</v>
      </c>
      <c r="R11" s="1">
        <f t="shared" si="6"/>
        <v>1</v>
      </c>
      <c r="S11" s="1">
        <f t="shared" si="7"/>
        <v>1</v>
      </c>
      <c r="U11" s="6">
        <f t="shared" si="8"/>
        <v>-10000</v>
      </c>
    </row>
    <row r="12" spans="1:22" x14ac:dyDescent="0.25">
      <c r="B12" s="69"/>
      <c r="C12" s="69"/>
      <c r="D12" s="69"/>
      <c r="E12" s="69"/>
      <c r="F12" s="69"/>
      <c r="G12" s="69"/>
      <c r="H12" s="69"/>
      <c r="I12" s="69"/>
      <c r="J12" s="70"/>
      <c r="K12" s="70"/>
      <c r="L12" s="51">
        <f t="shared" si="4"/>
        <v>1</v>
      </c>
      <c r="M12" s="1">
        <f t="shared" si="5"/>
        <v>1</v>
      </c>
      <c r="N12" s="51">
        <f t="shared" si="0"/>
        <v>1</v>
      </c>
      <c r="O12" s="1">
        <f t="shared" si="1"/>
        <v>1</v>
      </c>
      <c r="P12" s="1">
        <f t="shared" si="2"/>
        <v>1</v>
      </c>
      <c r="Q12" s="1">
        <f t="shared" si="3"/>
        <v>1</v>
      </c>
      <c r="R12" s="1">
        <f t="shared" si="6"/>
        <v>1</v>
      </c>
      <c r="S12" s="1">
        <f t="shared" si="7"/>
        <v>1</v>
      </c>
      <c r="U12" s="6">
        <f t="shared" si="8"/>
        <v>-10000</v>
      </c>
    </row>
    <row r="13" spans="1:22" x14ac:dyDescent="0.25">
      <c r="B13" s="69"/>
      <c r="C13" s="69"/>
      <c r="D13" s="69"/>
      <c r="E13" s="69"/>
      <c r="F13" s="69"/>
      <c r="G13" s="69"/>
      <c r="H13" s="69"/>
      <c r="I13" s="69"/>
      <c r="J13" s="70"/>
      <c r="K13" s="70"/>
      <c r="L13" s="51">
        <f t="shared" si="4"/>
        <v>1</v>
      </c>
      <c r="M13" s="1">
        <f t="shared" si="5"/>
        <v>1</v>
      </c>
      <c r="N13" s="51">
        <f t="shared" si="0"/>
        <v>1</v>
      </c>
      <c r="O13" s="1">
        <f t="shared" si="1"/>
        <v>1</v>
      </c>
      <c r="P13" s="1">
        <f t="shared" si="2"/>
        <v>1</v>
      </c>
      <c r="Q13" s="1">
        <f t="shared" si="3"/>
        <v>1</v>
      </c>
      <c r="R13" s="1">
        <f t="shared" si="6"/>
        <v>1</v>
      </c>
      <c r="S13" s="1">
        <f t="shared" si="7"/>
        <v>1</v>
      </c>
      <c r="U13" s="6">
        <f t="shared" si="8"/>
        <v>-10000</v>
      </c>
    </row>
    <row r="14" spans="1:22" x14ac:dyDescent="0.25">
      <c r="B14" s="69"/>
      <c r="C14" s="69"/>
      <c r="D14" s="69"/>
      <c r="E14" s="69"/>
      <c r="F14" s="69"/>
      <c r="G14" s="69"/>
      <c r="H14" s="69"/>
      <c r="I14" s="69"/>
      <c r="J14" s="70"/>
      <c r="K14" s="70"/>
      <c r="L14" s="51">
        <f t="shared" si="4"/>
        <v>1</v>
      </c>
      <c r="M14" s="1">
        <f t="shared" si="5"/>
        <v>1</v>
      </c>
      <c r="N14" s="51">
        <f t="shared" si="0"/>
        <v>1</v>
      </c>
      <c r="O14" s="1">
        <f t="shared" si="1"/>
        <v>1</v>
      </c>
      <c r="P14" s="1">
        <f t="shared" si="2"/>
        <v>1</v>
      </c>
      <c r="Q14" s="1">
        <f t="shared" si="3"/>
        <v>1</v>
      </c>
      <c r="R14" s="1">
        <f t="shared" si="6"/>
        <v>1</v>
      </c>
      <c r="S14" s="1">
        <f t="shared" si="7"/>
        <v>1</v>
      </c>
      <c r="U14" s="6">
        <f t="shared" si="8"/>
        <v>-10000</v>
      </c>
    </row>
    <row r="15" spans="1:22" x14ac:dyDescent="0.25">
      <c r="B15" s="69"/>
      <c r="C15" s="69"/>
      <c r="D15" s="69"/>
      <c r="E15" s="69"/>
      <c r="F15" s="69"/>
      <c r="G15" s="69"/>
      <c r="H15" s="69"/>
      <c r="I15" s="69"/>
      <c r="J15" s="70"/>
      <c r="K15" s="70"/>
      <c r="L15" s="51">
        <f t="shared" si="4"/>
        <v>1</v>
      </c>
      <c r="M15" s="1">
        <f t="shared" si="5"/>
        <v>1</v>
      </c>
      <c r="N15" s="51">
        <f t="shared" si="0"/>
        <v>1</v>
      </c>
      <c r="O15" s="1">
        <f t="shared" si="1"/>
        <v>1</v>
      </c>
      <c r="P15" s="1">
        <f t="shared" si="2"/>
        <v>1</v>
      </c>
      <c r="Q15" s="1">
        <f t="shared" si="3"/>
        <v>1</v>
      </c>
      <c r="R15" s="1">
        <f t="shared" si="6"/>
        <v>1</v>
      </c>
      <c r="S15" s="1">
        <f t="shared" si="7"/>
        <v>1</v>
      </c>
      <c r="U15" s="6">
        <f t="shared" si="8"/>
        <v>-10000</v>
      </c>
    </row>
    <row r="16" spans="1:22" x14ac:dyDescent="0.25">
      <c r="B16" s="69"/>
      <c r="C16" s="69"/>
      <c r="D16" s="69"/>
      <c r="E16" s="69"/>
      <c r="F16" s="69"/>
      <c r="G16" s="69"/>
      <c r="H16" s="69"/>
      <c r="I16" s="69"/>
      <c r="J16" s="70"/>
      <c r="K16" s="70"/>
      <c r="L16" s="51">
        <f t="shared" si="4"/>
        <v>1</v>
      </c>
      <c r="M16" s="1">
        <f t="shared" si="5"/>
        <v>1</v>
      </c>
      <c r="N16" s="51">
        <f t="shared" si="0"/>
        <v>1</v>
      </c>
      <c r="O16" s="1">
        <f t="shared" si="1"/>
        <v>1</v>
      </c>
      <c r="P16" s="1">
        <f t="shared" si="2"/>
        <v>1</v>
      </c>
      <c r="Q16" s="1">
        <f t="shared" si="3"/>
        <v>1</v>
      </c>
      <c r="R16" s="1">
        <f t="shared" si="6"/>
        <v>1</v>
      </c>
      <c r="S16" s="1">
        <f t="shared" si="7"/>
        <v>1</v>
      </c>
      <c r="U16" s="6">
        <f t="shared" si="8"/>
        <v>-10000</v>
      </c>
    </row>
    <row r="17" spans="2:21" x14ac:dyDescent="0.25">
      <c r="B17" s="69"/>
      <c r="C17" s="69"/>
      <c r="D17" s="69"/>
      <c r="E17" s="69"/>
      <c r="F17" s="69"/>
      <c r="G17" s="69"/>
      <c r="H17" s="69"/>
      <c r="I17" s="69"/>
      <c r="J17" s="70"/>
      <c r="K17" s="70"/>
      <c r="L17" s="51">
        <f t="shared" si="4"/>
        <v>1</v>
      </c>
      <c r="M17" s="1">
        <f t="shared" si="5"/>
        <v>1</v>
      </c>
      <c r="N17" s="51">
        <f t="shared" si="0"/>
        <v>1</v>
      </c>
      <c r="O17" s="1">
        <f t="shared" si="1"/>
        <v>1</v>
      </c>
      <c r="P17" s="1">
        <f t="shared" si="2"/>
        <v>1</v>
      </c>
      <c r="Q17" s="1">
        <f t="shared" si="3"/>
        <v>1</v>
      </c>
      <c r="R17" s="1">
        <f t="shared" si="6"/>
        <v>1</v>
      </c>
      <c r="S17" s="1">
        <f t="shared" si="7"/>
        <v>1</v>
      </c>
      <c r="U17" s="6">
        <f t="shared" si="8"/>
        <v>-10000</v>
      </c>
    </row>
    <row r="18" spans="2:21" x14ac:dyDescent="0.25">
      <c r="B18" s="69"/>
      <c r="C18" s="69"/>
      <c r="D18" s="69"/>
      <c r="E18" s="69"/>
      <c r="F18" s="69"/>
      <c r="G18" s="69"/>
      <c r="H18" s="69"/>
      <c r="I18" s="69"/>
      <c r="J18" s="70"/>
      <c r="K18" s="70"/>
      <c r="L18" s="51">
        <f t="shared" si="4"/>
        <v>1</v>
      </c>
      <c r="M18" s="1">
        <f t="shared" si="5"/>
        <v>1</v>
      </c>
      <c r="N18" s="51">
        <f t="shared" si="0"/>
        <v>1</v>
      </c>
      <c r="O18" s="1">
        <f t="shared" si="1"/>
        <v>1</v>
      </c>
      <c r="P18" s="1">
        <f t="shared" si="2"/>
        <v>1</v>
      </c>
      <c r="Q18" s="1">
        <f t="shared" si="3"/>
        <v>1</v>
      </c>
      <c r="R18" s="1">
        <f t="shared" si="6"/>
        <v>1</v>
      </c>
      <c r="S18" s="1">
        <f t="shared" si="7"/>
        <v>1</v>
      </c>
      <c r="U18" s="6">
        <f t="shared" si="8"/>
        <v>-10000</v>
      </c>
    </row>
    <row r="19" spans="2:21" x14ac:dyDescent="0.25">
      <c r="B19" s="69"/>
      <c r="C19" s="69"/>
      <c r="D19" s="69"/>
      <c r="E19" s="69"/>
      <c r="F19" s="69"/>
      <c r="G19" s="69"/>
      <c r="H19" s="69"/>
      <c r="I19" s="69"/>
      <c r="J19" s="70"/>
      <c r="K19" s="70"/>
      <c r="L19" s="51">
        <f t="shared" si="4"/>
        <v>1</v>
      </c>
      <c r="M19" s="1">
        <f t="shared" si="5"/>
        <v>1</v>
      </c>
      <c r="N19" s="51">
        <f t="shared" si="0"/>
        <v>1</v>
      </c>
      <c r="O19" s="1">
        <f t="shared" si="1"/>
        <v>1</v>
      </c>
      <c r="P19" s="1">
        <f t="shared" si="2"/>
        <v>1</v>
      </c>
      <c r="Q19" s="1">
        <f t="shared" si="3"/>
        <v>1</v>
      </c>
      <c r="R19" s="1">
        <f t="shared" si="6"/>
        <v>1</v>
      </c>
      <c r="S19" s="1">
        <f t="shared" si="7"/>
        <v>1</v>
      </c>
      <c r="U19" s="6">
        <f t="shared" si="8"/>
        <v>-10000</v>
      </c>
    </row>
    <row r="20" spans="2:21" x14ac:dyDescent="0.25">
      <c r="B20" s="69"/>
      <c r="C20" s="69"/>
      <c r="D20" s="69"/>
      <c r="E20" s="69"/>
      <c r="F20" s="69"/>
      <c r="G20" s="69"/>
      <c r="H20" s="69"/>
      <c r="I20" s="69"/>
      <c r="J20" s="70"/>
      <c r="K20" s="70"/>
      <c r="L20" s="51">
        <f t="shared" si="4"/>
        <v>1</v>
      </c>
      <c r="M20" s="1">
        <f t="shared" si="5"/>
        <v>1</v>
      </c>
      <c r="N20" s="51">
        <f t="shared" si="0"/>
        <v>1</v>
      </c>
      <c r="O20" s="1">
        <f t="shared" si="1"/>
        <v>1</v>
      </c>
      <c r="P20" s="1">
        <f t="shared" si="2"/>
        <v>1</v>
      </c>
      <c r="Q20" s="1">
        <f t="shared" si="3"/>
        <v>1</v>
      </c>
      <c r="R20" s="1">
        <f t="shared" si="6"/>
        <v>1</v>
      </c>
      <c r="S20" s="1">
        <f t="shared" si="7"/>
        <v>1</v>
      </c>
      <c r="U20" s="6">
        <f t="shared" si="8"/>
        <v>-10000</v>
      </c>
    </row>
    <row r="21" spans="2:21" x14ac:dyDescent="0.25">
      <c r="B21" s="69"/>
      <c r="C21" s="69"/>
      <c r="D21" s="69"/>
      <c r="E21" s="69"/>
      <c r="F21" s="69"/>
      <c r="G21" s="69"/>
      <c r="H21" s="69"/>
      <c r="I21" s="69"/>
      <c r="J21" s="70"/>
      <c r="K21" s="70"/>
      <c r="L21" s="51">
        <f t="shared" si="4"/>
        <v>1</v>
      </c>
      <c r="M21" s="1">
        <f t="shared" si="5"/>
        <v>1</v>
      </c>
      <c r="N21" s="51">
        <f t="shared" si="0"/>
        <v>1</v>
      </c>
      <c r="O21" s="1">
        <f t="shared" si="1"/>
        <v>1</v>
      </c>
      <c r="P21" s="1">
        <f t="shared" si="2"/>
        <v>1</v>
      </c>
      <c r="Q21" s="1">
        <f t="shared" si="3"/>
        <v>1</v>
      </c>
      <c r="R21" s="1">
        <f t="shared" si="6"/>
        <v>1</v>
      </c>
      <c r="S21" s="1">
        <f t="shared" si="7"/>
        <v>1</v>
      </c>
      <c r="U21" s="6">
        <f t="shared" si="8"/>
        <v>-10000</v>
      </c>
    </row>
    <row r="22" spans="2:21" x14ac:dyDescent="0.25">
      <c r="B22" s="69"/>
      <c r="C22" s="69"/>
      <c r="D22" s="69"/>
      <c r="E22" s="69"/>
      <c r="F22" s="69"/>
      <c r="G22" s="69"/>
      <c r="H22" s="69"/>
      <c r="I22" s="69"/>
      <c r="J22" s="70"/>
      <c r="K22" s="70"/>
      <c r="L22" s="51">
        <f t="shared" si="4"/>
        <v>1</v>
      </c>
      <c r="M22" s="1">
        <f t="shared" si="5"/>
        <v>1</v>
      </c>
      <c r="N22" s="51">
        <f t="shared" si="0"/>
        <v>1</v>
      </c>
      <c r="O22" s="1">
        <f t="shared" si="1"/>
        <v>1</v>
      </c>
      <c r="P22" s="1">
        <f t="shared" si="2"/>
        <v>1</v>
      </c>
      <c r="Q22" s="1">
        <f t="shared" si="3"/>
        <v>1</v>
      </c>
      <c r="R22" s="1">
        <f t="shared" si="6"/>
        <v>1</v>
      </c>
      <c r="S22" s="1">
        <f t="shared" si="7"/>
        <v>1</v>
      </c>
      <c r="U22" s="6">
        <f t="shared" si="8"/>
        <v>-10000</v>
      </c>
    </row>
    <row r="23" spans="2:21" x14ac:dyDescent="0.25">
      <c r="B23" s="69"/>
      <c r="C23" s="69"/>
      <c r="D23" s="69"/>
      <c r="E23" s="69"/>
      <c r="F23" s="69"/>
      <c r="G23" s="69"/>
      <c r="H23" s="69"/>
      <c r="I23" s="69"/>
      <c r="J23" s="70"/>
      <c r="K23" s="70"/>
      <c r="L23" s="51">
        <f t="shared" si="4"/>
        <v>1</v>
      </c>
      <c r="M23" s="1">
        <f t="shared" si="5"/>
        <v>1</v>
      </c>
      <c r="N23" s="51">
        <f t="shared" si="0"/>
        <v>1</v>
      </c>
      <c r="O23" s="1">
        <f t="shared" si="1"/>
        <v>1</v>
      </c>
      <c r="P23" s="1">
        <f t="shared" si="2"/>
        <v>1</v>
      </c>
      <c r="Q23" s="1">
        <f t="shared" si="3"/>
        <v>1</v>
      </c>
      <c r="R23" s="1">
        <f t="shared" si="6"/>
        <v>1</v>
      </c>
      <c r="S23" s="1">
        <f t="shared" si="7"/>
        <v>1</v>
      </c>
      <c r="U23" s="6">
        <f t="shared" si="8"/>
        <v>-10000</v>
      </c>
    </row>
    <row r="24" spans="2:21" x14ac:dyDescent="0.25">
      <c r="B24" s="69"/>
      <c r="C24" s="69"/>
      <c r="D24" s="69"/>
      <c r="E24" s="69"/>
      <c r="F24" s="69"/>
      <c r="G24" s="69"/>
      <c r="H24" s="69"/>
      <c r="I24" s="69"/>
      <c r="J24" s="70"/>
      <c r="K24" s="70"/>
      <c r="L24" s="51">
        <f t="shared" si="4"/>
        <v>1</v>
      </c>
      <c r="M24" s="1">
        <f t="shared" si="5"/>
        <v>1</v>
      </c>
      <c r="N24" s="51">
        <f t="shared" si="0"/>
        <v>1</v>
      </c>
      <c r="O24" s="1">
        <f t="shared" si="1"/>
        <v>1</v>
      </c>
      <c r="P24" s="1">
        <f t="shared" si="2"/>
        <v>1</v>
      </c>
      <c r="Q24" s="1">
        <f t="shared" si="3"/>
        <v>1</v>
      </c>
      <c r="R24" s="1">
        <f t="shared" si="6"/>
        <v>1</v>
      </c>
      <c r="S24" s="1">
        <f t="shared" si="7"/>
        <v>1</v>
      </c>
      <c r="U24" s="6">
        <f t="shared" si="8"/>
        <v>-10000</v>
      </c>
    </row>
    <row r="25" spans="2:21" x14ac:dyDescent="0.25">
      <c r="B25" s="69"/>
      <c r="C25" s="69"/>
      <c r="D25" s="69"/>
      <c r="E25" s="69"/>
      <c r="F25" s="69"/>
      <c r="G25" s="69"/>
      <c r="H25" s="69"/>
      <c r="I25" s="69"/>
      <c r="J25" s="70"/>
      <c r="K25" s="70"/>
      <c r="L25" s="51">
        <f t="shared" si="4"/>
        <v>1</v>
      </c>
      <c r="M25" s="1">
        <f t="shared" si="5"/>
        <v>1</v>
      </c>
      <c r="N25" s="51">
        <f t="shared" si="0"/>
        <v>1</v>
      </c>
      <c r="O25" s="1">
        <f t="shared" si="1"/>
        <v>1</v>
      </c>
      <c r="P25" s="1">
        <f t="shared" si="2"/>
        <v>1</v>
      </c>
      <c r="Q25" s="1">
        <f t="shared" si="3"/>
        <v>1</v>
      </c>
      <c r="R25" s="1">
        <f t="shared" si="6"/>
        <v>1</v>
      </c>
      <c r="S25" s="1">
        <f t="shared" si="7"/>
        <v>1</v>
      </c>
      <c r="U25" s="6">
        <f t="shared" si="8"/>
        <v>-10000</v>
      </c>
    </row>
    <row r="26" spans="2:21" x14ac:dyDescent="0.25">
      <c r="B26" s="69"/>
      <c r="C26" s="69"/>
      <c r="D26" s="69"/>
      <c r="E26" s="69"/>
      <c r="F26" s="69"/>
      <c r="G26" s="69"/>
      <c r="H26" s="69"/>
      <c r="I26" s="69"/>
      <c r="J26" s="70"/>
      <c r="K26" s="70"/>
      <c r="L26" s="51">
        <f t="shared" si="4"/>
        <v>1</v>
      </c>
      <c r="M26" s="1">
        <f t="shared" si="5"/>
        <v>1</v>
      </c>
      <c r="N26" s="51">
        <f t="shared" si="0"/>
        <v>1</v>
      </c>
      <c r="O26" s="1">
        <f t="shared" si="1"/>
        <v>1</v>
      </c>
      <c r="P26" s="1">
        <f t="shared" si="2"/>
        <v>1</v>
      </c>
      <c r="Q26" s="1">
        <f t="shared" si="3"/>
        <v>1</v>
      </c>
      <c r="R26" s="1">
        <f t="shared" si="6"/>
        <v>1</v>
      </c>
      <c r="S26" s="1">
        <f t="shared" si="7"/>
        <v>1</v>
      </c>
      <c r="U26" s="6">
        <f t="shared" si="8"/>
        <v>-10000</v>
      </c>
    </row>
    <row r="27" spans="2:21" x14ac:dyDescent="0.25">
      <c r="B27" s="69"/>
      <c r="C27" s="69"/>
      <c r="D27" s="69"/>
      <c r="E27" s="69"/>
      <c r="F27" s="69"/>
      <c r="G27" s="69"/>
      <c r="H27" s="69"/>
      <c r="I27" s="69"/>
      <c r="J27" s="70"/>
      <c r="K27" s="70"/>
      <c r="L27" s="51">
        <f t="shared" ref="L27:L45" si="9">IF(B27=J27,1,0)</f>
        <v>1</v>
      </c>
      <c r="M27" s="1">
        <f t="shared" ref="M27:M45" si="10">IF(C27=J27,1,0)</f>
        <v>1</v>
      </c>
      <c r="N27" s="51">
        <f t="shared" ref="N27:N45" si="11">IF(D27=J27,1,0)</f>
        <v>1</v>
      </c>
      <c r="O27" s="1">
        <f t="shared" ref="O27:O45" si="12">IF(E27=J27,1,0)</f>
        <v>1</v>
      </c>
      <c r="P27" s="1">
        <f t="shared" ref="P27:P45" si="13">IF(F27=$J27,1,0)</f>
        <v>1</v>
      </c>
      <c r="Q27" s="1">
        <f t="shared" ref="Q27:Q45" si="14">IF(G27=$J27,1,0)</f>
        <v>1</v>
      </c>
      <c r="R27" s="1">
        <f t="shared" ref="R27:R45" si="15">IF(H27=J27,1,0)</f>
        <v>1</v>
      </c>
      <c r="S27" s="1">
        <f t="shared" ref="S27:S45" si="16">IF(I27=J27,1,0)</f>
        <v>1</v>
      </c>
      <c r="U27" s="6">
        <f t="shared" si="8"/>
        <v>-10000</v>
      </c>
    </row>
    <row r="28" spans="2:21" x14ac:dyDescent="0.25">
      <c r="B28" s="69"/>
      <c r="C28" s="69"/>
      <c r="D28" s="69"/>
      <c r="E28" s="69"/>
      <c r="F28" s="69"/>
      <c r="G28" s="69"/>
      <c r="H28" s="69"/>
      <c r="I28" s="69"/>
      <c r="J28" s="70"/>
      <c r="K28" s="70"/>
      <c r="L28" s="51">
        <f t="shared" si="9"/>
        <v>1</v>
      </c>
      <c r="M28" s="1">
        <f t="shared" si="10"/>
        <v>1</v>
      </c>
      <c r="N28" s="51">
        <f t="shared" si="11"/>
        <v>1</v>
      </c>
      <c r="O28" s="1">
        <f t="shared" si="12"/>
        <v>1</v>
      </c>
      <c r="P28" s="1">
        <f t="shared" si="13"/>
        <v>1</v>
      </c>
      <c r="Q28" s="1">
        <f t="shared" si="14"/>
        <v>1</v>
      </c>
      <c r="R28" s="1">
        <f t="shared" si="15"/>
        <v>1</v>
      </c>
      <c r="S28" s="1">
        <f t="shared" si="16"/>
        <v>1</v>
      </c>
      <c r="U28" s="6">
        <f t="shared" si="8"/>
        <v>-10000</v>
      </c>
    </row>
    <row r="29" spans="2:21" x14ac:dyDescent="0.25">
      <c r="B29" s="69"/>
      <c r="C29" s="69"/>
      <c r="D29" s="69"/>
      <c r="E29" s="69"/>
      <c r="F29" s="69"/>
      <c r="G29" s="69"/>
      <c r="H29" s="69"/>
      <c r="I29" s="69"/>
      <c r="J29" s="70"/>
      <c r="K29" s="70"/>
      <c r="L29" s="51">
        <f t="shared" si="9"/>
        <v>1</v>
      </c>
      <c r="M29" s="1">
        <f t="shared" si="10"/>
        <v>1</v>
      </c>
      <c r="N29" s="51">
        <f t="shared" si="11"/>
        <v>1</v>
      </c>
      <c r="O29" s="1">
        <f t="shared" si="12"/>
        <v>1</v>
      </c>
      <c r="P29" s="1">
        <f t="shared" si="13"/>
        <v>1</v>
      </c>
      <c r="Q29" s="1">
        <f t="shared" si="14"/>
        <v>1</v>
      </c>
      <c r="R29" s="1">
        <f t="shared" si="15"/>
        <v>1</v>
      </c>
      <c r="S29" s="1">
        <f t="shared" si="16"/>
        <v>1</v>
      </c>
      <c r="U29" s="6">
        <f t="shared" si="8"/>
        <v>-10000</v>
      </c>
    </row>
    <row r="30" spans="2:21" x14ac:dyDescent="0.25">
      <c r="B30" s="69"/>
      <c r="C30" s="69"/>
      <c r="D30" s="69"/>
      <c r="E30" s="69"/>
      <c r="F30" s="69"/>
      <c r="G30" s="69"/>
      <c r="H30" s="69"/>
      <c r="I30" s="69"/>
      <c r="J30" s="70"/>
      <c r="K30" s="70"/>
      <c r="L30" s="51">
        <f t="shared" si="9"/>
        <v>1</v>
      </c>
      <c r="M30" s="1">
        <f t="shared" si="10"/>
        <v>1</v>
      </c>
      <c r="N30" s="51">
        <f t="shared" si="11"/>
        <v>1</v>
      </c>
      <c r="O30" s="1">
        <f t="shared" si="12"/>
        <v>1</v>
      </c>
      <c r="P30" s="1">
        <f t="shared" si="13"/>
        <v>1</v>
      </c>
      <c r="Q30" s="1">
        <f t="shared" si="14"/>
        <v>1</v>
      </c>
      <c r="R30" s="1">
        <f t="shared" si="15"/>
        <v>1</v>
      </c>
      <c r="S30" s="1">
        <f t="shared" si="16"/>
        <v>1</v>
      </c>
      <c r="U30" s="6">
        <f t="shared" si="8"/>
        <v>-10000</v>
      </c>
    </row>
    <row r="31" spans="2:21" x14ac:dyDescent="0.25">
      <c r="B31" s="69"/>
      <c r="C31" s="69"/>
      <c r="D31" s="69"/>
      <c r="E31" s="69"/>
      <c r="F31" s="69"/>
      <c r="G31" s="69"/>
      <c r="H31" s="69"/>
      <c r="I31" s="69"/>
      <c r="J31" s="70"/>
      <c r="K31" s="70"/>
      <c r="L31" s="51">
        <f t="shared" si="9"/>
        <v>1</v>
      </c>
      <c r="M31" s="1">
        <f t="shared" si="10"/>
        <v>1</v>
      </c>
      <c r="N31" s="51">
        <f t="shared" si="11"/>
        <v>1</v>
      </c>
      <c r="O31" s="1">
        <f t="shared" si="12"/>
        <v>1</v>
      </c>
      <c r="P31" s="1">
        <f t="shared" si="13"/>
        <v>1</v>
      </c>
      <c r="Q31" s="1">
        <f t="shared" si="14"/>
        <v>1</v>
      </c>
      <c r="R31" s="1">
        <f t="shared" si="15"/>
        <v>1</v>
      </c>
      <c r="S31" s="1">
        <f t="shared" si="16"/>
        <v>1</v>
      </c>
      <c r="U31" s="6">
        <f t="shared" si="8"/>
        <v>-10000</v>
      </c>
    </row>
    <row r="32" spans="2:21" x14ac:dyDescent="0.25">
      <c r="B32" s="69"/>
      <c r="C32" s="69"/>
      <c r="D32" s="69"/>
      <c r="E32" s="69"/>
      <c r="F32" s="69"/>
      <c r="G32" s="69"/>
      <c r="H32" s="69"/>
      <c r="I32" s="69"/>
      <c r="J32" s="70"/>
      <c r="K32" s="70"/>
      <c r="L32" s="51">
        <f t="shared" si="9"/>
        <v>1</v>
      </c>
      <c r="M32" s="1">
        <f t="shared" si="10"/>
        <v>1</v>
      </c>
      <c r="N32" s="51">
        <f t="shared" si="11"/>
        <v>1</v>
      </c>
      <c r="O32" s="1">
        <f t="shared" si="12"/>
        <v>1</v>
      </c>
      <c r="P32" s="1">
        <f t="shared" si="13"/>
        <v>1</v>
      </c>
      <c r="Q32" s="1">
        <f t="shared" si="14"/>
        <v>1</v>
      </c>
      <c r="R32" s="1">
        <f t="shared" si="15"/>
        <v>1</v>
      </c>
      <c r="S32" s="1">
        <f t="shared" si="16"/>
        <v>1</v>
      </c>
      <c r="U32" s="6">
        <f t="shared" si="8"/>
        <v>-10000</v>
      </c>
    </row>
    <row r="33" spans="2:21" x14ac:dyDescent="0.25">
      <c r="B33" s="69"/>
      <c r="C33" s="69"/>
      <c r="D33" s="69"/>
      <c r="E33" s="69"/>
      <c r="F33" s="69"/>
      <c r="G33" s="69"/>
      <c r="H33" s="69"/>
      <c r="I33" s="69"/>
      <c r="J33" s="70"/>
      <c r="K33" s="70"/>
      <c r="L33" s="51">
        <f t="shared" si="9"/>
        <v>1</v>
      </c>
      <c r="M33" s="1">
        <f t="shared" si="10"/>
        <v>1</v>
      </c>
      <c r="N33" s="51">
        <f t="shared" si="11"/>
        <v>1</v>
      </c>
      <c r="O33" s="1">
        <f t="shared" si="12"/>
        <v>1</v>
      </c>
      <c r="P33" s="1">
        <f t="shared" si="13"/>
        <v>1</v>
      </c>
      <c r="Q33" s="1">
        <f t="shared" si="14"/>
        <v>1</v>
      </c>
      <c r="R33" s="1">
        <f t="shared" si="15"/>
        <v>1</v>
      </c>
      <c r="S33" s="1">
        <f t="shared" si="16"/>
        <v>1</v>
      </c>
      <c r="U33" s="6">
        <f t="shared" si="8"/>
        <v>-10000</v>
      </c>
    </row>
    <row r="34" spans="2:21" x14ac:dyDescent="0.25">
      <c r="B34" s="69"/>
      <c r="C34" s="69"/>
      <c r="D34" s="69"/>
      <c r="E34" s="69"/>
      <c r="F34" s="69"/>
      <c r="G34" s="69"/>
      <c r="H34" s="69"/>
      <c r="I34" s="69"/>
      <c r="J34" s="70"/>
      <c r="K34" s="70"/>
      <c r="L34" s="51">
        <f t="shared" si="9"/>
        <v>1</v>
      </c>
      <c r="M34" s="1">
        <f t="shared" si="10"/>
        <v>1</v>
      </c>
      <c r="N34" s="51">
        <f t="shared" si="11"/>
        <v>1</v>
      </c>
      <c r="O34" s="1">
        <f t="shared" si="12"/>
        <v>1</v>
      </c>
      <c r="P34" s="1">
        <f t="shared" si="13"/>
        <v>1</v>
      </c>
      <c r="Q34" s="1">
        <f t="shared" si="14"/>
        <v>1</v>
      </c>
      <c r="R34" s="1">
        <f t="shared" si="15"/>
        <v>1</v>
      </c>
      <c r="S34" s="1">
        <f t="shared" si="16"/>
        <v>1</v>
      </c>
      <c r="U34" s="6">
        <f t="shared" si="8"/>
        <v>-10000</v>
      </c>
    </row>
    <row r="35" spans="2:21" x14ac:dyDescent="0.25">
      <c r="B35" s="69"/>
      <c r="C35" s="69"/>
      <c r="D35" s="69"/>
      <c r="E35" s="69"/>
      <c r="F35" s="69"/>
      <c r="G35" s="69"/>
      <c r="H35" s="69"/>
      <c r="I35" s="69"/>
      <c r="J35" s="70"/>
      <c r="K35" s="70"/>
      <c r="L35" s="51">
        <f t="shared" si="9"/>
        <v>1</v>
      </c>
      <c r="M35" s="1">
        <f t="shared" si="10"/>
        <v>1</v>
      </c>
      <c r="N35" s="51">
        <f t="shared" si="11"/>
        <v>1</v>
      </c>
      <c r="O35" s="1">
        <f t="shared" si="12"/>
        <v>1</v>
      </c>
      <c r="P35" s="1">
        <f t="shared" si="13"/>
        <v>1</v>
      </c>
      <c r="Q35" s="1">
        <f t="shared" si="14"/>
        <v>1</v>
      </c>
      <c r="R35" s="1">
        <f t="shared" si="15"/>
        <v>1</v>
      </c>
      <c r="S35" s="1">
        <f t="shared" si="16"/>
        <v>1</v>
      </c>
      <c r="U35" s="6">
        <f t="shared" si="8"/>
        <v>-10000</v>
      </c>
    </row>
    <row r="36" spans="2:21" x14ac:dyDescent="0.25">
      <c r="B36" s="69"/>
      <c r="C36" s="69"/>
      <c r="D36" s="69"/>
      <c r="E36" s="69"/>
      <c r="F36" s="69"/>
      <c r="G36" s="69"/>
      <c r="H36" s="69"/>
      <c r="I36" s="69"/>
      <c r="J36" s="70"/>
      <c r="K36" s="70"/>
      <c r="L36" s="51">
        <f t="shared" si="9"/>
        <v>1</v>
      </c>
      <c r="M36" s="1">
        <f t="shared" si="10"/>
        <v>1</v>
      </c>
      <c r="N36" s="51">
        <f t="shared" si="11"/>
        <v>1</v>
      </c>
      <c r="O36" s="1">
        <f t="shared" si="12"/>
        <v>1</v>
      </c>
      <c r="P36" s="1">
        <f t="shared" si="13"/>
        <v>1</v>
      </c>
      <c r="Q36" s="1">
        <f t="shared" si="14"/>
        <v>1</v>
      </c>
      <c r="R36" s="1">
        <f t="shared" si="15"/>
        <v>1</v>
      </c>
      <c r="S36" s="1">
        <f t="shared" si="16"/>
        <v>1</v>
      </c>
      <c r="U36" s="6">
        <f t="shared" si="8"/>
        <v>-10000</v>
      </c>
    </row>
    <row r="37" spans="2:21" x14ac:dyDescent="0.25">
      <c r="B37" s="69"/>
      <c r="C37" s="69"/>
      <c r="D37" s="69"/>
      <c r="E37" s="69"/>
      <c r="F37" s="69"/>
      <c r="G37" s="69"/>
      <c r="H37" s="69"/>
      <c r="I37" s="69"/>
      <c r="J37" s="70"/>
      <c r="K37" s="70"/>
      <c r="L37" s="51">
        <f t="shared" si="9"/>
        <v>1</v>
      </c>
      <c r="M37" s="1">
        <f t="shared" si="10"/>
        <v>1</v>
      </c>
      <c r="N37" s="51">
        <f t="shared" si="11"/>
        <v>1</v>
      </c>
      <c r="O37" s="1">
        <f t="shared" si="12"/>
        <v>1</v>
      </c>
      <c r="P37" s="1">
        <f t="shared" si="13"/>
        <v>1</v>
      </c>
      <c r="Q37" s="1">
        <f t="shared" si="14"/>
        <v>1</v>
      </c>
      <c r="R37" s="1">
        <f t="shared" si="15"/>
        <v>1</v>
      </c>
      <c r="S37" s="1">
        <f t="shared" si="16"/>
        <v>1</v>
      </c>
      <c r="U37" s="6">
        <f t="shared" si="8"/>
        <v>-10000</v>
      </c>
    </row>
    <row r="38" spans="2:21" x14ac:dyDescent="0.25">
      <c r="B38" s="69"/>
      <c r="C38" s="69"/>
      <c r="D38" s="69"/>
      <c r="E38" s="69"/>
      <c r="F38" s="69"/>
      <c r="G38" s="69"/>
      <c r="H38" s="69"/>
      <c r="I38" s="69"/>
      <c r="J38" s="70"/>
      <c r="K38" s="70"/>
      <c r="L38" s="51">
        <f t="shared" si="9"/>
        <v>1</v>
      </c>
      <c r="M38" s="1">
        <f t="shared" si="10"/>
        <v>1</v>
      </c>
      <c r="N38" s="51">
        <f t="shared" si="11"/>
        <v>1</v>
      </c>
      <c r="O38" s="1">
        <f t="shared" si="12"/>
        <v>1</v>
      </c>
      <c r="P38" s="1">
        <f t="shared" si="13"/>
        <v>1</v>
      </c>
      <c r="Q38" s="1">
        <f t="shared" si="14"/>
        <v>1</v>
      </c>
      <c r="R38" s="1">
        <f t="shared" si="15"/>
        <v>1</v>
      </c>
      <c r="S38" s="1">
        <f t="shared" si="16"/>
        <v>1</v>
      </c>
      <c r="U38" s="6">
        <f t="shared" si="8"/>
        <v>-10000</v>
      </c>
    </row>
    <row r="39" spans="2:21" x14ac:dyDescent="0.25">
      <c r="B39" s="69"/>
      <c r="C39" s="69"/>
      <c r="D39" s="69"/>
      <c r="E39" s="69"/>
      <c r="F39" s="69"/>
      <c r="G39" s="69"/>
      <c r="H39" s="69"/>
      <c r="I39" s="69"/>
      <c r="J39" s="70"/>
      <c r="K39" s="70"/>
      <c r="L39" s="51">
        <f t="shared" si="9"/>
        <v>1</v>
      </c>
      <c r="M39" s="1">
        <f t="shared" si="10"/>
        <v>1</v>
      </c>
      <c r="N39" s="51">
        <f t="shared" si="11"/>
        <v>1</v>
      </c>
      <c r="O39" s="1">
        <f t="shared" si="12"/>
        <v>1</v>
      </c>
      <c r="P39" s="1">
        <f t="shared" si="13"/>
        <v>1</v>
      </c>
      <c r="Q39" s="1">
        <f t="shared" si="14"/>
        <v>1</v>
      </c>
      <c r="R39" s="1">
        <f t="shared" si="15"/>
        <v>1</v>
      </c>
      <c r="S39" s="1">
        <f t="shared" si="16"/>
        <v>1</v>
      </c>
      <c r="U39" s="6">
        <f t="shared" si="8"/>
        <v>-10000</v>
      </c>
    </row>
    <row r="40" spans="2:21" x14ac:dyDescent="0.25">
      <c r="B40" s="69"/>
      <c r="C40" s="69"/>
      <c r="D40" s="69"/>
      <c r="E40" s="69"/>
      <c r="F40" s="69"/>
      <c r="G40" s="69"/>
      <c r="H40" s="69"/>
      <c r="I40" s="69"/>
      <c r="J40" s="70"/>
      <c r="K40" s="70"/>
      <c r="L40" s="51">
        <f t="shared" si="9"/>
        <v>1</v>
      </c>
      <c r="M40" s="1">
        <f t="shared" si="10"/>
        <v>1</v>
      </c>
      <c r="N40" s="51">
        <f t="shared" si="11"/>
        <v>1</v>
      </c>
      <c r="O40" s="1">
        <f t="shared" si="12"/>
        <v>1</v>
      </c>
      <c r="P40" s="1">
        <f t="shared" si="13"/>
        <v>1</v>
      </c>
      <c r="Q40" s="1">
        <f t="shared" si="14"/>
        <v>1</v>
      </c>
      <c r="R40" s="1">
        <f t="shared" si="15"/>
        <v>1</v>
      </c>
      <c r="S40" s="1">
        <f t="shared" si="16"/>
        <v>1</v>
      </c>
      <c r="U40" s="6">
        <f t="shared" si="8"/>
        <v>-10000</v>
      </c>
    </row>
    <row r="41" spans="2:21" x14ac:dyDescent="0.25">
      <c r="B41" s="69"/>
      <c r="C41" s="69"/>
      <c r="D41" s="69"/>
      <c r="E41" s="69"/>
      <c r="F41" s="69"/>
      <c r="G41" s="69"/>
      <c r="H41" s="69"/>
      <c r="I41" s="69"/>
      <c r="J41" s="70"/>
      <c r="K41" s="70"/>
      <c r="L41" s="51">
        <f t="shared" si="9"/>
        <v>1</v>
      </c>
      <c r="M41" s="1">
        <f t="shared" si="10"/>
        <v>1</v>
      </c>
      <c r="N41" s="51">
        <f t="shared" si="11"/>
        <v>1</v>
      </c>
      <c r="O41" s="1">
        <f t="shared" si="12"/>
        <v>1</v>
      </c>
      <c r="P41" s="1">
        <f t="shared" si="13"/>
        <v>1</v>
      </c>
      <c r="Q41" s="1">
        <f t="shared" si="14"/>
        <v>1</v>
      </c>
      <c r="R41" s="1">
        <f t="shared" si="15"/>
        <v>1</v>
      </c>
      <c r="S41" s="1">
        <f t="shared" si="16"/>
        <v>1</v>
      </c>
      <c r="U41" s="6">
        <f t="shared" si="8"/>
        <v>-10000</v>
      </c>
    </row>
    <row r="42" spans="2:21" x14ac:dyDescent="0.25">
      <c r="B42" s="69"/>
      <c r="C42" s="69"/>
      <c r="D42" s="69"/>
      <c r="E42" s="69"/>
      <c r="F42" s="69"/>
      <c r="G42" s="69"/>
      <c r="H42" s="69"/>
      <c r="I42" s="69"/>
      <c r="J42" s="70"/>
      <c r="K42" s="70"/>
      <c r="L42" s="51">
        <f t="shared" si="9"/>
        <v>1</v>
      </c>
      <c r="M42" s="1">
        <f t="shared" si="10"/>
        <v>1</v>
      </c>
      <c r="N42" s="51">
        <f t="shared" si="11"/>
        <v>1</v>
      </c>
      <c r="O42" s="1">
        <f t="shared" si="12"/>
        <v>1</v>
      </c>
      <c r="P42" s="1">
        <f t="shared" si="13"/>
        <v>1</v>
      </c>
      <c r="Q42" s="1">
        <f t="shared" si="14"/>
        <v>1</v>
      </c>
      <c r="R42" s="1">
        <f t="shared" si="15"/>
        <v>1</v>
      </c>
      <c r="S42" s="1">
        <f t="shared" si="16"/>
        <v>1</v>
      </c>
      <c r="U42" s="6">
        <f t="shared" si="8"/>
        <v>-10000</v>
      </c>
    </row>
    <row r="43" spans="2:21" x14ac:dyDescent="0.25">
      <c r="B43" s="69"/>
      <c r="C43" s="69"/>
      <c r="D43" s="69"/>
      <c r="E43" s="69"/>
      <c r="F43" s="69"/>
      <c r="G43" s="69"/>
      <c r="H43" s="69"/>
      <c r="I43" s="69"/>
      <c r="J43" s="70"/>
      <c r="K43" s="70"/>
      <c r="L43" s="51">
        <f t="shared" si="9"/>
        <v>1</v>
      </c>
      <c r="M43" s="1">
        <f t="shared" si="10"/>
        <v>1</v>
      </c>
      <c r="N43" s="51">
        <f t="shared" si="11"/>
        <v>1</v>
      </c>
      <c r="O43" s="1">
        <f t="shared" si="12"/>
        <v>1</v>
      </c>
      <c r="P43" s="1">
        <f t="shared" si="13"/>
        <v>1</v>
      </c>
      <c r="Q43" s="1">
        <f t="shared" si="14"/>
        <v>1</v>
      </c>
      <c r="R43" s="1">
        <f t="shared" si="15"/>
        <v>1</v>
      </c>
      <c r="S43" s="1">
        <f t="shared" si="16"/>
        <v>1</v>
      </c>
      <c r="U43" s="6">
        <f t="shared" si="8"/>
        <v>-10000</v>
      </c>
    </row>
    <row r="44" spans="2:21" x14ac:dyDescent="0.25">
      <c r="B44" s="69"/>
      <c r="C44" s="69"/>
      <c r="D44" s="69"/>
      <c r="E44" s="69"/>
      <c r="F44" s="69"/>
      <c r="G44" s="69"/>
      <c r="H44" s="69"/>
      <c r="I44" s="69"/>
      <c r="J44" s="70"/>
      <c r="K44" s="70"/>
      <c r="L44" s="51">
        <f t="shared" si="9"/>
        <v>1</v>
      </c>
      <c r="M44" s="1">
        <f t="shared" si="10"/>
        <v>1</v>
      </c>
      <c r="N44" s="51">
        <f t="shared" si="11"/>
        <v>1</v>
      </c>
      <c r="O44" s="1">
        <f t="shared" si="12"/>
        <v>1</v>
      </c>
      <c r="P44" s="1">
        <f t="shared" si="13"/>
        <v>1</v>
      </c>
      <c r="Q44" s="1">
        <f t="shared" si="14"/>
        <v>1</v>
      </c>
      <c r="R44" s="1">
        <f t="shared" si="15"/>
        <v>1</v>
      </c>
      <c r="S44" s="1">
        <f t="shared" si="16"/>
        <v>1</v>
      </c>
      <c r="U44" s="6">
        <f t="shared" si="8"/>
        <v>-10000</v>
      </c>
    </row>
    <row r="45" spans="2:21" x14ac:dyDescent="0.25">
      <c r="B45" s="69"/>
      <c r="C45" s="69"/>
      <c r="D45" s="69"/>
      <c r="E45" s="69"/>
      <c r="F45" s="69"/>
      <c r="G45" s="69"/>
      <c r="H45" s="69"/>
      <c r="I45" s="69"/>
      <c r="J45" s="70"/>
      <c r="K45" s="70"/>
      <c r="L45" s="51">
        <f t="shared" si="9"/>
        <v>1</v>
      </c>
      <c r="M45" s="1">
        <f t="shared" si="10"/>
        <v>1</v>
      </c>
      <c r="N45" s="51">
        <f t="shared" si="11"/>
        <v>1</v>
      </c>
      <c r="O45" s="1">
        <f t="shared" si="12"/>
        <v>1</v>
      </c>
      <c r="P45" s="1">
        <f t="shared" si="13"/>
        <v>1</v>
      </c>
      <c r="Q45" s="1">
        <f t="shared" si="14"/>
        <v>1</v>
      </c>
      <c r="R45" s="1">
        <f t="shared" si="15"/>
        <v>1</v>
      </c>
      <c r="S45" s="1">
        <f t="shared" si="16"/>
        <v>1</v>
      </c>
      <c r="U45" s="6">
        <f t="shared" si="8"/>
        <v>-10000</v>
      </c>
    </row>
  </sheetData>
  <conditionalFormatting sqref="N2:Q45">
    <cfRule type="cellIs" dxfId="13" priority="18" operator="equal">
      <formula>1</formula>
    </cfRule>
  </conditionalFormatting>
  <conditionalFormatting sqref="N2:Q45">
    <cfRule type="cellIs" dxfId="12" priority="17" operator="equal">
      <formula>0</formula>
    </cfRule>
  </conditionalFormatting>
  <conditionalFormatting sqref="S2:S45">
    <cfRule type="cellIs" dxfId="11" priority="12" operator="equal">
      <formula>1</formula>
    </cfRule>
  </conditionalFormatting>
  <conditionalFormatting sqref="S2:S45">
    <cfRule type="cellIs" dxfId="10" priority="11" operator="equal">
      <formula>0</formula>
    </cfRule>
  </conditionalFormatting>
  <conditionalFormatting sqref="R2:R45">
    <cfRule type="cellIs" dxfId="9" priority="14" operator="equal">
      <formula>1</formula>
    </cfRule>
  </conditionalFormatting>
  <conditionalFormatting sqref="R2:R45">
    <cfRule type="cellIs" dxfId="8" priority="13" operator="equal">
      <formula>0</formula>
    </cfRule>
  </conditionalFormatting>
  <conditionalFormatting sqref="L2:M45">
    <cfRule type="cellIs" dxfId="7" priority="10" operator="equal">
      <formula>1</formula>
    </cfRule>
  </conditionalFormatting>
  <conditionalFormatting sqref="L2:M45">
    <cfRule type="cellIs" dxfId="6" priority="9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B2EE-3922-41FF-9A38-8BE54CA75422}">
  <dimension ref="A1:Q32"/>
  <sheetViews>
    <sheetView topLeftCell="A22" workbookViewId="0">
      <selection activeCell="E33" sqref="E33"/>
    </sheetView>
  </sheetViews>
  <sheetFormatPr baseColWidth="10" defaultRowHeight="15" x14ac:dyDescent="0.25"/>
  <cols>
    <col min="7" max="7" width="12.140625" bestFit="1" customWidth="1" collapsed="1"/>
    <col min="9" max="9" width="2.42578125" customWidth="1" collapsed="1"/>
    <col min="17" max="17" width="12" bestFit="1" customWidth="1" collapsed="1"/>
  </cols>
  <sheetData>
    <row r="1" spans="1:17" x14ac:dyDescent="0.25">
      <c r="A1" t="s">
        <v>327</v>
      </c>
      <c r="B1" t="s">
        <v>328</v>
      </c>
      <c r="C1" t="s">
        <v>329</v>
      </c>
      <c r="D1" t="s">
        <v>330</v>
      </c>
      <c r="E1" t="s">
        <v>331</v>
      </c>
      <c r="F1" t="s">
        <v>332</v>
      </c>
      <c r="G1" t="s">
        <v>333</v>
      </c>
      <c r="H1" t="s">
        <v>334</v>
      </c>
      <c r="J1" t="s">
        <v>327</v>
      </c>
      <c r="K1" t="s">
        <v>328</v>
      </c>
      <c r="L1" t="s">
        <v>329</v>
      </c>
      <c r="M1" t="s">
        <v>330</v>
      </c>
      <c r="N1" s="57" t="s">
        <v>331</v>
      </c>
      <c r="O1" s="57" t="s">
        <v>332</v>
      </c>
      <c r="P1" t="s">
        <v>333</v>
      </c>
      <c r="Q1" t="s">
        <v>334</v>
      </c>
    </row>
    <row r="2" spans="1:17" x14ac:dyDescent="0.25">
      <c r="A2">
        <v>5.6000000000000001E-2</v>
      </c>
      <c r="B2">
        <v>5.3</v>
      </c>
      <c r="C2">
        <v>8</v>
      </c>
      <c r="D2">
        <v>9</v>
      </c>
      <c r="E2">
        <v>0.57699999999999996</v>
      </c>
      <c r="F2">
        <v>0.39900000000000002</v>
      </c>
      <c r="G2">
        <v>159</v>
      </c>
      <c r="H2">
        <v>0.33</v>
      </c>
      <c r="J2">
        <f t="shared" ref="J2:Q2" si="0">AVERAGE(A:A)</f>
        <v>6.9458064516129014E-2</v>
      </c>
      <c r="K2">
        <f t="shared" si="0"/>
        <v>5.5025806451612898</v>
      </c>
      <c r="L2">
        <f t="shared" si="0"/>
        <v>8.7096774193548381</v>
      </c>
      <c r="M2">
        <f t="shared" si="0"/>
        <v>7.838709677419355</v>
      </c>
      <c r="N2" s="57">
        <f t="shared" si="0"/>
        <v>0.55735483870967739</v>
      </c>
      <c r="O2" s="57">
        <f t="shared" si="0"/>
        <v>0.49129032258064526</v>
      </c>
      <c r="P2">
        <f t="shared" si="0"/>
        <v>305.87096774193549</v>
      </c>
      <c r="Q2">
        <f t="shared" si="0"/>
        <v>0.3284096774193549</v>
      </c>
    </row>
    <row r="3" spans="1:17" x14ac:dyDescent="0.25">
      <c r="A3">
        <v>0.108</v>
      </c>
      <c r="B3">
        <v>7.02</v>
      </c>
      <c r="C3">
        <v>8</v>
      </c>
      <c r="D3">
        <v>6</v>
      </c>
      <c r="E3">
        <v>0.59599999999999997</v>
      </c>
      <c r="F3">
        <v>0.621</v>
      </c>
      <c r="G3">
        <v>628</v>
      </c>
      <c r="H3">
        <v>0.32500000000000001</v>
      </c>
      <c r="J3">
        <f t="shared" ref="J3:Q3" si="1">_xlfn.STDEV.S(A:A)</f>
        <v>4.449386305393551E-2</v>
      </c>
      <c r="K3">
        <f t="shared" si="1"/>
        <v>1.1479429943510144</v>
      </c>
      <c r="L3">
        <f t="shared" si="1"/>
        <v>4.6846810520183535</v>
      </c>
      <c r="M3">
        <f t="shared" si="1"/>
        <v>4.2902740720032364</v>
      </c>
      <c r="N3" s="57">
        <f t="shared" si="1"/>
        <v>7.2449314874652476E-2</v>
      </c>
      <c r="O3" s="57">
        <f t="shared" si="1"/>
        <v>6.9667875690491335E-2</v>
      </c>
      <c r="P3">
        <f t="shared" si="1"/>
        <v>423.25923828748137</v>
      </c>
      <c r="Q3">
        <f t="shared" si="1"/>
        <v>2.5754279318703655E-2</v>
      </c>
    </row>
    <row r="4" spans="1:17" x14ac:dyDescent="0.25">
      <c r="A4">
        <v>7.22E-2</v>
      </c>
      <c r="B4">
        <v>4.95</v>
      </c>
      <c r="C4">
        <v>20</v>
      </c>
      <c r="D4">
        <v>7</v>
      </c>
      <c r="E4">
        <v>0.621</v>
      </c>
      <c r="F4">
        <v>0.59899999999999998</v>
      </c>
      <c r="G4">
        <v>59</v>
      </c>
      <c r="H4">
        <v>0.32440000000000002</v>
      </c>
    </row>
    <row r="5" spans="1:17" x14ac:dyDescent="0.25">
      <c r="A5">
        <v>3.3099999999999997E-2</v>
      </c>
      <c r="B5" s="74">
        <v>4.59</v>
      </c>
      <c r="C5" s="73">
        <v>5</v>
      </c>
      <c r="D5">
        <v>4</v>
      </c>
      <c r="E5" s="71">
        <v>0.41899999999999998</v>
      </c>
      <c r="F5">
        <v>0.432</v>
      </c>
      <c r="G5">
        <v>118</v>
      </c>
      <c r="H5" s="58">
        <v>0.3044</v>
      </c>
    </row>
    <row r="6" spans="1:17" x14ac:dyDescent="0.25">
      <c r="A6">
        <v>0.01</v>
      </c>
      <c r="B6">
        <v>5.05</v>
      </c>
      <c r="C6">
        <v>10</v>
      </c>
      <c r="D6">
        <v>3</v>
      </c>
      <c r="E6">
        <v>0.44500000000000001</v>
      </c>
      <c r="F6">
        <v>0.54100000000000004</v>
      </c>
      <c r="G6">
        <v>415</v>
      </c>
      <c r="H6">
        <v>0.33300000000000002</v>
      </c>
      <c r="J6" s="81">
        <v>0.62858041117159769</v>
      </c>
      <c r="K6" s="81">
        <v>0</v>
      </c>
      <c r="L6" s="81">
        <v>20</v>
      </c>
      <c r="M6" s="81">
        <v>0</v>
      </c>
      <c r="N6" s="81">
        <v>0.99990000000000001</v>
      </c>
      <c r="O6" s="81">
        <v>1E-4</v>
      </c>
      <c r="P6" s="81">
        <v>299</v>
      </c>
      <c r="Q6" s="82">
        <f>Q11 + SUMPRODUCT(J6:P6,J11:P11)</f>
        <v>0</v>
      </c>
    </row>
    <row r="7" spans="1:17" x14ac:dyDescent="0.25">
      <c r="A7">
        <v>0.10299999999999999</v>
      </c>
      <c r="B7">
        <v>6.04</v>
      </c>
      <c r="C7">
        <v>20</v>
      </c>
      <c r="D7">
        <v>14</v>
      </c>
      <c r="E7">
        <v>0.58299999999999996</v>
      </c>
      <c r="F7">
        <v>0.35199999999999998</v>
      </c>
      <c r="G7">
        <v>78</v>
      </c>
      <c r="H7" s="60">
        <v>0.36120000000000002</v>
      </c>
      <c r="J7" s="83">
        <v>0.7</v>
      </c>
      <c r="K7" s="83">
        <v>5</v>
      </c>
      <c r="L7" s="83">
        <v>20</v>
      </c>
      <c r="M7" s="83">
        <v>10</v>
      </c>
      <c r="N7" s="83">
        <v>0.99990000000000001</v>
      </c>
      <c r="O7" s="83">
        <v>0.99990000000000001</v>
      </c>
      <c r="P7" s="83">
        <v>299</v>
      </c>
      <c r="Q7" t="s">
        <v>338</v>
      </c>
    </row>
    <row r="8" spans="1:17" x14ac:dyDescent="0.25">
      <c r="A8">
        <v>0.18</v>
      </c>
      <c r="B8">
        <v>9.11</v>
      </c>
      <c r="C8">
        <v>7</v>
      </c>
      <c r="D8">
        <v>8</v>
      </c>
      <c r="E8">
        <v>0.55000000000000004</v>
      </c>
      <c r="F8">
        <v>0.58699999999999997</v>
      </c>
      <c r="G8">
        <v>2105</v>
      </c>
      <c r="H8" s="60">
        <v>0.36470000000000002</v>
      </c>
      <c r="J8" s="83">
        <v>0.01</v>
      </c>
      <c r="K8" s="83">
        <v>0</v>
      </c>
      <c r="L8" s="83">
        <v>1</v>
      </c>
      <c r="M8" s="83">
        <v>0</v>
      </c>
      <c r="N8" s="83">
        <v>1E-4</v>
      </c>
      <c r="O8" s="83">
        <v>1E-4</v>
      </c>
      <c r="P8" s="83">
        <v>5</v>
      </c>
      <c r="Q8" t="s">
        <v>339</v>
      </c>
    </row>
    <row r="9" spans="1:17" x14ac:dyDescent="0.25">
      <c r="A9">
        <v>0.108</v>
      </c>
      <c r="B9" s="58">
        <v>4.0199999999999996</v>
      </c>
      <c r="C9" s="72">
        <v>5</v>
      </c>
      <c r="D9">
        <v>13</v>
      </c>
      <c r="E9">
        <v>0.64800000000000002</v>
      </c>
      <c r="F9">
        <v>0.45400000000000001</v>
      </c>
      <c r="G9">
        <v>91</v>
      </c>
      <c r="H9" s="57">
        <v>0.28699999999999998</v>
      </c>
    </row>
    <row r="10" spans="1:17" x14ac:dyDescent="0.25">
      <c r="A10">
        <v>0.107</v>
      </c>
      <c r="B10">
        <v>5.52</v>
      </c>
      <c r="C10">
        <v>20</v>
      </c>
      <c r="D10">
        <v>11</v>
      </c>
      <c r="E10">
        <v>0.40799999999999997</v>
      </c>
      <c r="F10">
        <v>0.51400000000000001</v>
      </c>
      <c r="G10">
        <v>426</v>
      </c>
      <c r="H10">
        <v>0.32400000000000001</v>
      </c>
    </row>
    <row r="11" spans="1:17" x14ac:dyDescent="0.25">
      <c r="A11">
        <v>1.0200000000000001E-2</v>
      </c>
      <c r="B11" s="58">
        <v>4.01</v>
      </c>
      <c r="C11" s="72">
        <v>5</v>
      </c>
      <c r="D11">
        <v>3</v>
      </c>
      <c r="E11">
        <v>0.61299999999999999</v>
      </c>
      <c r="F11">
        <v>0.42199999999999999</v>
      </c>
      <c r="G11">
        <v>242</v>
      </c>
      <c r="H11" s="57">
        <v>0.26469999999999999</v>
      </c>
      <c r="J11">
        <v>-0.17003119999999999</v>
      </c>
      <c r="K11">
        <v>2.4879999999999999E-2</v>
      </c>
      <c r="L11">
        <v>-4.6294659999999998E-4</v>
      </c>
      <c r="M11">
        <v>3.4285850000000001E-3</v>
      </c>
      <c r="N11">
        <v>-0.1241621</v>
      </c>
      <c r="O11">
        <v>2.0868680000000001E-2</v>
      </c>
      <c r="P11" s="85">
        <v>-3.1669530000000001E-5</v>
      </c>
      <c r="Q11">
        <v>0.249754</v>
      </c>
    </row>
    <row r="12" spans="1:17" x14ac:dyDescent="0.25">
      <c r="A12">
        <v>7.4800000000000005E-2</v>
      </c>
      <c r="B12">
        <v>5.09</v>
      </c>
      <c r="C12">
        <v>6</v>
      </c>
      <c r="D12">
        <v>14</v>
      </c>
      <c r="E12">
        <v>0.52500000000000002</v>
      </c>
      <c r="F12">
        <v>0.42299999999999999</v>
      </c>
      <c r="G12">
        <v>153</v>
      </c>
      <c r="H12">
        <v>0.34</v>
      </c>
      <c r="Q12" t="s">
        <v>340</v>
      </c>
    </row>
    <row r="13" spans="1:17" x14ac:dyDescent="0.25">
      <c r="A13">
        <v>9.3399999999999997E-2</v>
      </c>
      <c r="B13">
        <v>4.78</v>
      </c>
      <c r="C13">
        <v>9</v>
      </c>
      <c r="D13">
        <v>9</v>
      </c>
      <c r="E13">
        <v>0.61799999999999999</v>
      </c>
      <c r="F13">
        <v>0.50700000000000001</v>
      </c>
      <c r="G13">
        <v>25</v>
      </c>
      <c r="H13">
        <v>0.32850000000000001</v>
      </c>
    </row>
    <row r="14" spans="1:17" x14ac:dyDescent="0.25">
      <c r="A14">
        <v>1.72E-2</v>
      </c>
      <c r="B14">
        <v>3.1</v>
      </c>
      <c r="C14">
        <v>13</v>
      </c>
      <c r="D14">
        <v>13</v>
      </c>
      <c r="E14">
        <v>0.48</v>
      </c>
      <c r="F14">
        <v>0.48699999999999999</v>
      </c>
      <c r="G14">
        <v>172</v>
      </c>
      <c r="H14">
        <v>0.32219999999999999</v>
      </c>
    </row>
    <row r="15" spans="1:17" x14ac:dyDescent="0.25">
      <c r="A15">
        <v>0.13100000000000001</v>
      </c>
      <c r="B15">
        <v>7.07</v>
      </c>
      <c r="C15">
        <v>11</v>
      </c>
      <c r="D15">
        <v>3</v>
      </c>
      <c r="E15">
        <v>0.56100000000000005</v>
      </c>
      <c r="F15">
        <v>0.501</v>
      </c>
      <c r="G15">
        <v>332</v>
      </c>
      <c r="H15">
        <v>0.3301</v>
      </c>
    </row>
    <row r="16" spans="1:17" x14ac:dyDescent="0.25">
      <c r="A16">
        <v>5.8500000000000003E-2</v>
      </c>
      <c r="B16">
        <v>4.0599999999999996</v>
      </c>
      <c r="C16">
        <v>13</v>
      </c>
      <c r="D16">
        <v>11</v>
      </c>
      <c r="E16">
        <v>0.626</v>
      </c>
      <c r="F16">
        <v>0.41899999999999998</v>
      </c>
      <c r="G16">
        <v>99</v>
      </c>
      <c r="H16">
        <v>0.30409999999999998</v>
      </c>
    </row>
    <row r="17" spans="1:8" x14ac:dyDescent="0.25">
      <c r="A17">
        <v>3.04E-2</v>
      </c>
      <c r="B17">
        <v>5.25</v>
      </c>
      <c r="C17">
        <v>3</v>
      </c>
      <c r="D17">
        <v>15</v>
      </c>
      <c r="E17">
        <v>0.628</v>
      </c>
      <c r="F17">
        <v>0.50800000000000001</v>
      </c>
      <c r="G17">
        <v>1135</v>
      </c>
      <c r="H17">
        <v>0.32529999999999998</v>
      </c>
    </row>
    <row r="18" spans="1:8" x14ac:dyDescent="0.25">
      <c r="A18">
        <v>5.4699999999999999E-2</v>
      </c>
      <c r="B18">
        <v>4.37</v>
      </c>
      <c r="C18">
        <v>7</v>
      </c>
      <c r="D18">
        <v>4</v>
      </c>
      <c r="E18">
        <v>0.45500000000000002</v>
      </c>
      <c r="F18">
        <v>0.44</v>
      </c>
      <c r="G18">
        <v>56</v>
      </c>
      <c r="H18">
        <v>0.31840000000000002</v>
      </c>
    </row>
    <row r="19" spans="1:8" x14ac:dyDescent="0.25">
      <c r="A19">
        <v>5.91E-2</v>
      </c>
      <c r="B19">
        <v>5.49</v>
      </c>
      <c r="C19">
        <v>3</v>
      </c>
      <c r="D19">
        <v>9</v>
      </c>
      <c r="E19">
        <v>0.47699999999999998</v>
      </c>
      <c r="F19">
        <v>0.49199999999999999</v>
      </c>
      <c r="G19">
        <v>87</v>
      </c>
      <c r="H19">
        <v>0.3614</v>
      </c>
    </row>
    <row r="20" spans="1:8" x14ac:dyDescent="0.25">
      <c r="A20">
        <v>0.14699999999999999</v>
      </c>
      <c r="B20">
        <v>6.12</v>
      </c>
      <c r="C20">
        <v>9</v>
      </c>
      <c r="D20">
        <v>3</v>
      </c>
      <c r="E20">
        <v>0.48</v>
      </c>
      <c r="F20">
        <v>0.48899999999999999</v>
      </c>
      <c r="G20">
        <v>66</v>
      </c>
      <c r="H20">
        <v>0.3377</v>
      </c>
    </row>
    <row r="21" spans="1:8" x14ac:dyDescent="0.25">
      <c r="A21">
        <v>1.72E-2</v>
      </c>
      <c r="B21">
        <v>5.87</v>
      </c>
      <c r="C21">
        <v>7</v>
      </c>
      <c r="D21">
        <v>9</v>
      </c>
      <c r="E21">
        <v>0.55200000000000005</v>
      </c>
      <c r="F21">
        <v>0.55300000000000005</v>
      </c>
      <c r="G21">
        <v>334</v>
      </c>
      <c r="H21">
        <v>0.35170000000000001</v>
      </c>
    </row>
    <row r="22" spans="1:8" x14ac:dyDescent="0.25">
      <c r="A22">
        <v>9.5799999999999996E-2</v>
      </c>
      <c r="B22">
        <v>5.42</v>
      </c>
      <c r="C22">
        <v>10</v>
      </c>
      <c r="D22">
        <v>15</v>
      </c>
      <c r="E22">
        <v>0.61199999999999999</v>
      </c>
      <c r="F22">
        <v>0.44600000000000001</v>
      </c>
      <c r="G22">
        <v>80</v>
      </c>
      <c r="H22">
        <v>0.33329999999999999</v>
      </c>
    </row>
    <row r="23" spans="1:8" x14ac:dyDescent="0.25">
      <c r="A23">
        <v>9.4E-2</v>
      </c>
      <c r="B23">
        <v>6.4</v>
      </c>
      <c r="C23">
        <v>4</v>
      </c>
      <c r="D23">
        <v>11</v>
      </c>
      <c r="E23">
        <v>0.55200000000000005</v>
      </c>
      <c r="F23">
        <v>0.57399999999999995</v>
      </c>
      <c r="G23">
        <v>184</v>
      </c>
      <c r="H23">
        <v>0.3407</v>
      </c>
    </row>
    <row r="24" spans="1:8" x14ac:dyDescent="0.25">
      <c r="A24">
        <v>3.4200000000000001E-2</v>
      </c>
      <c r="B24">
        <v>5.29</v>
      </c>
      <c r="C24">
        <v>12</v>
      </c>
      <c r="D24">
        <v>6</v>
      </c>
      <c r="E24">
        <v>0.63900000000000001</v>
      </c>
      <c r="F24">
        <v>0.57999999999999996</v>
      </c>
      <c r="G24">
        <v>502</v>
      </c>
      <c r="H24" s="57">
        <v>0.26829999999999998</v>
      </c>
    </row>
    <row r="25" spans="1:8" x14ac:dyDescent="0.25">
      <c r="A25">
        <v>4.2799999999999998E-2</v>
      </c>
      <c r="B25">
        <v>5.25</v>
      </c>
      <c r="C25">
        <v>3</v>
      </c>
      <c r="D25">
        <v>8</v>
      </c>
      <c r="E25">
        <v>0.58399999999999996</v>
      </c>
      <c r="F25">
        <v>0.58599999999999997</v>
      </c>
      <c r="G25">
        <v>64</v>
      </c>
      <c r="H25">
        <v>0.37180000000000002</v>
      </c>
    </row>
    <row r="26" spans="1:8" x14ac:dyDescent="0.25">
      <c r="A26">
        <v>8.8300000000000003E-2</v>
      </c>
      <c r="B26">
        <v>5.98</v>
      </c>
      <c r="C26">
        <v>9</v>
      </c>
      <c r="D26">
        <v>3</v>
      </c>
      <c r="E26">
        <v>0.64700000000000002</v>
      </c>
      <c r="F26">
        <v>0.46700000000000003</v>
      </c>
      <c r="G26">
        <v>40</v>
      </c>
      <c r="H26">
        <v>0.32769999999999999</v>
      </c>
    </row>
    <row r="27" spans="1:8" x14ac:dyDescent="0.25">
      <c r="A27">
        <v>1.43E-2</v>
      </c>
      <c r="B27">
        <v>6.07</v>
      </c>
      <c r="C27">
        <v>8</v>
      </c>
      <c r="D27">
        <v>4</v>
      </c>
      <c r="E27">
        <v>0.59299999999999997</v>
      </c>
      <c r="F27">
        <v>0.434</v>
      </c>
      <c r="G27">
        <v>947</v>
      </c>
      <c r="H27">
        <v>0.31509999999999999</v>
      </c>
    </row>
    <row r="28" spans="1:8" x14ac:dyDescent="0.25">
      <c r="A28">
        <v>1.01E-2</v>
      </c>
      <c r="B28">
        <v>5.19</v>
      </c>
      <c r="C28">
        <v>8</v>
      </c>
      <c r="D28">
        <v>3</v>
      </c>
      <c r="E28">
        <v>0.64800000000000002</v>
      </c>
      <c r="F28">
        <v>0.55600000000000005</v>
      </c>
      <c r="G28">
        <v>252</v>
      </c>
      <c r="H28">
        <v>0.30690000000000001</v>
      </c>
    </row>
    <row r="29" spans="1:8" x14ac:dyDescent="0.25">
      <c r="A29">
        <v>4.1099999999999998E-2</v>
      </c>
      <c r="B29">
        <v>5.81</v>
      </c>
      <c r="C29">
        <v>7</v>
      </c>
      <c r="D29">
        <v>3</v>
      </c>
      <c r="E29">
        <v>0.47899999999999998</v>
      </c>
      <c r="F29">
        <v>0.40200000000000002</v>
      </c>
      <c r="G29">
        <v>268</v>
      </c>
      <c r="H29">
        <v>0.33350000000000002</v>
      </c>
    </row>
    <row r="30" spans="1:8" x14ac:dyDescent="0.25">
      <c r="A30">
        <v>5.79E-2</v>
      </c>
      <c r="B30">
        <v>5.37</v>
      </c>
      <c r="C30">
        <v>10</v>
      </c>
      <c r="D30">
        <v>14</v>
      </c>
      <c r="E30">
        <v>0.53300000000000003</v>
      </c>
      <c r="F30">
        <v>0.40699999999999997</v>
      </c>
      <c r="G30">
        <v>96</v>
      </c>
      <c r="H30">
        <v>0.37080000000000002</v>
      </c>
    </row>
    <row r="31" spans="1:8" x14ac:dyDescent="0.25">
      <c r="A31">
        <v>6.9900000000000004E-2</v>
      </c>
      <c r="B31">
        <v>5.6</v>
      </c>
      <c r="C31">
        <v>7</v>
      </c>
      <c r="D31">
        <v>3</v>
      </c>
      <c r="E31">
        <v>0.625</v>
      </c>
      <c r="F31">
        <v>0.51500000000000001</v>
      </c>
      <c r="G31">
        <v>45</v>
      </c>
      <c r="H31">
        <v>0.32750000000000001</v>
      </c>
    </row>
    <row r="32" spans="1:8" x14ac:dyDescent="0.25">
      <c r="A32">
        <v>0.13400000000000001</v>
      </c>
      <c r="B32">
        <v>7.39</v>
      </c>
      <c r="C32">
        <v>3</v>
      </c>
      <c r="D32">
        <v>5</v>
      </c>
      <c r="E32">
        <v>0.504</v>
      </c>
      <c r="F32">
        <v>0.52300000000000002</v>
      </c>
      <c r="G32">
        <v>224</v>
      </c>
      <c r="H32">
        <v>0.3473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7E8F8-63DA-44FA-AD79-4A87769C74F3}">
  <dimension ref="A1:Q32"/>
  <sheetViews>
    <sheetView workbookViewId="0">
      <selection activeCell="J6" sqref="J6"/>
    </sheetView>
  </sheetViews>
  <sheetFormatPr baseColWidth="10" defaultRowHeight="15" x14ac:dyDescent="0.25"/>
  <cols>
    <col min="7" max="7" width="12.140625" bestFit="1" customWidth="1" collapsed="1"/>
    <col min="9" max="9" width="2" customWidth="1" collapsed="1"/>
    <col min="16" max="16" width="12.140625" bestFit="1" customWidth="1" collapsed="1"/>
  </cols>
  <sheetData>
    <row r="1" spans="1:17" x14ac:dyDescent="0.25">
      <c r="A1" t="s">
        <v>327</v>
      </c>
      <c r="B1" t="s">
        <v>328</v>
      </c>
      <c r="C1" t="s">
        <v>329</v>
      </c>
      <c r="D1" t="s">
        <v>330</v>
      </c>
      <c r="E1" t="s">
        <v>331</v>
      </c>
      <c r="F1" t="s">
        <v>332</v>
      </c>
      <c r="G1" t="s">
        <v>333</v>
      </c>
      <c r="H1" t="s">
        <v>337</v>
      </c>
      <c r="J1" t="s">
        <v>327</v>
      </c>
      <c r="K1" t="s">
        <v>328</v>
      </c>
      <c r="L1" t="s">
        <v>329</v>
      </c>
      <c r="M1" t="s">
        <v>330</v>
      </c>
      <c r="N1" t="s">
        <v>331</v>
      </c>
      <c r="O1" t="s">
        <v>332</v>
      </c>
      <c r="P1" t="s">
        <v>333</v>
      </c>
      <c r="Q1" t="s">
        <v>337</v>
      </c>
    </row>
    <row r="2" spans="1:17" x14ac:dyDescent="0.25">
      <c r="A2">
        <v>0.224</v>
      </c>
      <c r="B2">
        <v>1</v>
      </c>
      <c r="C2" s="58">
        <v>15</v>
      </c>
      <c r="D2">
        <v>9</v>
      </c>
      <c r="E2">
        <v>0.63900000000000001</v>
      </c>
      <c r="F2">
        <v>0.39</v>
      </c>
      <c r="G2">
        <v>11</v>
      </c>
      <c r="H2" s="79">
        <v>0.23699999999999999</v>
      </c>
      <c r="J2">
        <f t="shared" ref="J2:Q2" si="0">AVERAGE(A:A)</f>
        <v>0.22445483870967742</v>
      </c>
      <c r="K2">
        <f t="shared" si="0"/>
        <v>1.4001290322580646</v>
      </c>
      <c r="L2">
        <f t="shared" si="0"/>
        <v>11.838709677419354</v>
      </c>
      <c r="M2">
        <f t="shared" si="0"/>
        <v>1.8709677419354838</v>
      </c>
      <c r="N2">
        <f t="shared" si="0"/>
        <v>0.5566774193548385</v>
      </c>
      <c r="O2">
        <f t="shared" si="0"/>
        <v>0.5203870967741937</v>
      </c>
      <c r="P2">
        <f t="shared" si="0"/>
        <v>13.193548387096774</v>
      </c>
      <c r="Q2">
        <f t="shared" si="0"/>
        <v>0.11764026258535484</v>
      </c>
    </row>
    <row r="3" spans="1:17" x14ac:dyDescent="0.25">
      <c r="A3">
        <v>0.25</v>
      </c>
      <c r="B3">
        <v>1.67</v>
      </c>
      <c r="C3">
        <v>6</v>
      </c>
      <c r="D3">
        <v>4</v>
      </c>
      <c r="E3">
        <v>0.77400000000000002</v>
      </c>
      <c r="F3">
        <v>0.80800000000000005</v>
      </c>
      <c r="G3">
        <v>8</v>
      </c>
      <c r="H3" s="78">
        <v>0.13100000000000001</v>
      </c>
      <c r="J3">
        <f>_xlfn.STDEV.S(A:A)</f>
        <v>6.133273100452262E-2</v>
      </c>
      <c r="K3">
        <f t="shared" ref="K3:Q3" si="1">_xlfn.STDEV.S(B:B)</f>
        <v>0.7266496515715346</v>
      </c>
      <c r="L3">
        <f t="shared" si="1"/>
        <v>4.0587089424557021</v>
      </c>
      <c r="M3">
        <f t="shared" si="1"/>
        <v>1.7076677171680867</v>
      </c>
      <c r="N3">
        <f t="shared" si="1"/>
        <v>0.17137451912828772</v>
      </c>
      <c r="O3">
        <f t="shared" si="1"/>
        <v>0.23437984518289254</v>
      </c>
      <c r="P3">
        <f t="shared" si="1"/>
        <v>7.8545925200429068</v>
      </c>
      <c r="Q3">
        <f t="shared" si="1"/>
        <v>6.4388014473582444E-2</v>
      </c>
    </row>
    <row r="4" spans="1:17" x14ac:dyDescent="0.25">
      <c r="A4">
        <v>0.154</v>
      </c>
      <c r="B4">
        <v>1.35</v>
      </c>
      <c r="C4">
        <v>6</v>
      </c>
      <c r="D4">
        <v>1</v>
      </c>
      <c r="E4">
        <v>0.61499999999999999</v>
      </c>
      <c r="F4">
        <v>0.20100000000000001</v>
      </c>
      <c r="G4">
        <v>20</v>
      </c>
      <c r="H4" s="78">
        <v>4.8000000000000001E-2</v>
      </c>
    </row>
    <row r="5" spans="1:17" x14ac:dyDescent="0.25">
      <c r="A5">
        <v>0.21199999999999999</v>
      </c>
      <c r="B5">
        <v>1.97</v>
      </c>
      <c r="C5">
        <v>8</v>
      </c>
      <c r="D5">
        <v>1</v>
      </c>
      <c r="E5">
        <v>0.67800000000000005</v>
      </c>
      <c r="F5">
        <v>0.2</v>
      </c>
      <c r="G5">
        <v>27</v>
      </c>
      <c r="H5" s="80">
        <v>2.7E-2</v>
      </c>
    </row>
    <row r="6" spans="1:17" x14ac:dyDescent="0.25">
      <c r="A6" s="72">
        <v>8.1299999999999997E-2</v>
      </c>
      <c r="B6">
        <v>2.3199999999999998</v>
      </c>
      <c r="C6">
        <v>7</v>
      </c>
      <c r="D6">
        <v>1</v>
      </c>
      <c r="E6" s="58">
        <v>0.314</v>
      </c>
      <c r="F6">
        <v>0.372</v>
      </c>
      <c r="G6">
        <v>37</v>
      </c>
      <c r="H6" s="78">
        <v>0.152</v>
      </c>
      <c r="J6" s="81">
        <v>0.05</v>
      </c>
      <c r="K6" s="81">
        <v>1.0263797437338213</v>
      </c>
      <c r="L6" s="81">
        <v>18</v>
      </c>
      <c r="M6" s="81">
        <v>0</v>
      </c>
      <c r="N6" s="81">
        <v>0.66559647097670804</v>
      </c>
      <c r="O6" s="81">
        <v>0.99990000000000001</v>
      </c>
      <c r="P6" s="81">
        <v>11</v>
      </c>
      <c r="Q6" s="82">
        <f>Q11 + SUMPRODUCT(J6:P6,J11:P11)</f>
        <v>2.9698465908722937E-14</v>
      </c>
    </row>
    <row r="7" spans="1:17" x14ac:dyDescent="0.25">
      <c r="A7">
        <v>0.29099999999999998</v>
      </c>
      <c r="B7">
        <v>1.4</v>
      </c>
      <c r="C7">
        <v>12</v>
      </c>
      <c r="D7">
        <v>1</v>
      </c>
      <c r="E7">
        <v>0.318</v>
      </c>
      <c r="F7">
        <v>0.61499999999999999</v>
      </c>
      <c r="G7">
        <v>7</v>
      </c>
      <c r="H7" s="78">
        <v>0.1958</v>
      </c>
      <c r="J7" s="83">
        <v>1</v>
      </c>
      <c r="K7" s="83">
        <v>5</v>
      </c>
      <c r="L7" s="83">
        <v>20</v>
      </c>
      <c r="M7" s="83">
        <v>10</v>
      </c>
      <c r="N7" s="83">
        <v>0.99990000000000001</v>
      </c>
      <c r="O7" s="83">
        <v>0.99990000000000001</v>
      </c>
      <c r="P7" s="83">
        <v>299</v>
      </c>
      <c r="Q7" t="s">
        <v>338</v>
      </c>
    </row>
    <row r="8" spans="1:17" x14ac:dyDescent="0.25">
      <c r="A8">
        <v>0.20100000000000001</v>
      </c>
      <c r="B8">
        <v>2.33</v>
      </c>
      <c r="C8">
        <v>10</v>
      </c>
      <c r="D8">
        <v>2</v>
      </c>
      <c r="E8">
        <v>0.59599999999999997</v>
      </c>
      <c r="F8">
        <v>0.61799999999999999</v>
      </c>
      <c r="G8">
        <v>24</v>
      </c>
      <c r="H8" s="78">
        <v>6.4000000000000001E-2</v>
      </c>
      <c r="J8" s="83">
        <v>0.01</v>
      </c>
      <c r="K8" s="83">
        <v>0</v>
      </c>
      <c r="L8" s="83">
        <v>1</v>
      </c>
      <c r="M8" s="83">
        <v>0</v>
      </c>
      <c r="N8" s="83">
        <v>1E-4</v>
      </c>
      <c r="O8" s="83">
        <v>1E-4</v>
      </c>
      <c r="P8" s="83">
        <v>5</v>
      </c>
      <c r="Q8" t="s">
        <v>339</v>
      </c>
    </row>
    <row r="9" spans="1:17" x14ac:dyDescent="0.25">
      <c r="A9">
        <v>0.1308</v>
      </c>
      <c r="B9">
        <v>1.52</v>
      </c>
      <c r="C9">
        <v>9</v>
      </c>
      <c r="D9">
        <v>3</v>
      </c>
      <c r="E9">
        <v>0.755</v>
      </c>
      <c r="F9">
        <v>0.39</v>
      </c>
      <c r="G9">
        <v>22</v>
      </c>
      <c r="H9" s="78">
        <v>4.8000000000000001E-2</v>
      </c>
    </row>
    <row r="10" spans="1:17" x14ac:dyDescent="0.25">
      <c r="A10">
        <v>0.3</v>
      </c>
      <c r="B10">
        <v>1</v>
      </c>
      <c r="C10">
        <v>13</v>
      </c>
      <c r="D10">
        <v>1</v>
      </c>
      <c r="E10">
        <v>0.248</v>
      </c>
      <c r="F10">
        <v>0.75900000000000001</v>
      </c>
      <c r="G10">
        <v>8</v>
      </c>
      <c r="H10" s="78">
        <v>0.20899999999999999</v>
      </c>
    </row>
    <row r="11" spans="1:17" x14ac:dyDescent="0.25">
      <c r="A11">
        <v>0.29499999999999998</v>
      </c>
      <c r="B11">
        <v>1</v>
      </c>
      <c r="C11">
        <v>7</v>
      </c>
      <c r="D11">
        <v>3</v>
      </c>
      <c r="E11">
        <v>0.76600000000000001</v>
      </c>
      <c r="F11">
        <v>0.223</v>
      </c>
      <c r="G11">
        <v>7</v>
      </c>
      <c r="H11" s="78">
        <v>9.6000000000000002E-2</v>
      </c>
      <c r="J11">
        <v>7.7705970999999999E-2</v>
      </c>
      <c r="K11">
        <v>2.598344E-2</v>
      </c>
      <c r="L11">
        <v>-3.2950520000000001E-3</v>
      </c>
      <c r="M11">
        <v>2.4514913999999999E-2</v>
      </c>
      <c r="N11">
        <v>-0.36466914499999997</v>
      </c>
      <c r="O11">
        <v>1.0770524E-2</v>
      </c>
      <c r="P11">
        <v>-3.0425259999999998E-3</v>
      </c>
      <c r="Q11">
        <v>0.29417759599999999</v>
      </c>
    </row>
    <row r="12" spans="1:17" x14ac:dyDescent="0.25">
      <c r="A12">
        <v>0.26500000000000001</v>
      </c>
      <c r="B12">
        <v>1.35</v>
      </c>
      <c r="C12">
        <v>18</v>
      </c>
      <c r="D12">
        <v>1</v>
      </c>
      <c r="E12">
        <v>0.63300000000000001</v>
      </c>
      <c r="F12">
        <v>0.46400000000000002</v>
      </c>
      <c r="G12">
        <v>8</v>
      </c>
      <c r="H12" s="78">
        <v>3.4000000000000002E-2</v>
      </c>
      <c r="Q12" t="s">
        <v>340</v>
      </c>
    </row>
    <row r="13" spans="1:17" x14ac:dyDescent="0.25">
      <c r="A13">
        <v>0.23899999999999999</v>
      </c>
      <c r="B13">
        <v>1.07</v>
      </c>
      <c r="C13" s="58">
        <v>13</v>
      </c>
      <c r="D13">
        <v>1</v>
      </c>
      <c r="E13" s="58">
        <v>0.20100000000000001</v>
      </c>
      <c r="F13">
        <v>0.64700000000000002</v>
      </c>
      <c r="G13">
        <v>12</v>
      </c>
      <c r="H13" s="79">
        <v>0.23499999999999999</v>
      </c>
    </row>
    <row r="14" spans="1:17" x14ac:dyDescent="0.25">
      <c r="A14">
        <v>0.221</v>
      </c>
      <c r="B14">
        <v>2.9</v>
      </c>
      <c r="C14">
        <v>8</v>
      </c>
      <c r="D14">
        <v>1</v>
      </c>
      <c r="E14">
        <v>0.67200000000000004</v>
      </c>
      <c r="F14">
        <v>0.78500000000000003</v>
      </c>
      <c r="G14">
        <v>22</v>
      </c>
      <c r="H14" s="78">
        <v>7.5999999999999998E-2</v>
      </c>
    </row>
    <row r="15" spans="1:17" x14ac:dyDescent="0.25">
      <c r="A15">
        <v>0.26500000000000001</v>
      </c>
      <c r="B15">
        <v>1</v>
      </c>
      <c r="C15">
        <v>9</v>
      </c>
      <c r="D15">
        <v>1</v>
      </c>
      <c r="E15">
        <v>0.8</v>
      </c>
      <c r="F15">
        <v>0.51500000000000001</v>
      </c>
      <c r="G15">
        <v>12</v>
      </c>
      <c r="H15" s="80">
        <v>5.0000000000000001E-3</v>
      </c>
    </row>
    <row r="16" spans="1:17" x14ac:dyDescent="0.25">
      <c r="A16">
        <v>0.27300000000000002</v>
      </c>
      <c r="B16">
        <v>3.92</v>
      </c>
      <c r="C16">
        <v>13</v>
      </c>
      <c r="D16">
        <v>1</v>
      </c>
      <c r="E16">
        <v>0.52900000000000003</v>
      </c>
      <c r="F16">
        <v>0.38100000000000001</v>
      </c>
      <c r="G16">
        <v>27</v>
      </c>
      <c r="H16" s="78">
        <v>0.17050000000000001</v>
      </c>
    </row>
    <row r="17" spans="1:8" x14ac:dyDescent="0.25">
      <c r="A17">
        <v>0.28299999999999997</v>
      </c>
      <c r="B17">
        <v>1.21</v>
      </c>
      <c r="C17">
        <v>18</v>
      </c>
      <c r="D17">
        <v>1</v>
      </c>
      <c r="E17">
        <v>0.314</v>
      </c>
      <c r="F17">
        <v>0.8</v>
      </c>
      <c r="G17">
        <v>6</v>
      </c>
      <c r="H17" s="78">
        <v>0.21199999999999999</v>
      </c>
    </row>
    <row r="18" spans="1:8" x14ac:dyDescent="0.25">
      <c r="A18">
        <v>0.159</v>
      </c>
      <c r="B18">
        <v>1.22</v>
      </c>
      <c r="C18">
        <v>13</v>
      </c>
      <c r="D18">
        <v>4</v>
      </c>
      <c r="E18">
        <v>0.54600000000000004</v>
      </c>
      <c r="F18">
        <v>0.247</v>
      </c>
      <c r="G18">
        <v>15</v>
      </c>
      <c r="H18" s="84">
        <v>0.15848209999999999</v>
      </c>
    </row>
    <row r="19" spans="1:8" x14ac:dyDescent="0.25">
      <c r="A19">
        <v>0.192</v>
      </c>
      <c r="B19">
        <v>1</v>
      </c>
      <c r="C19">
        <v>18</v>
      </c>
      <c r="D19">
        <v>1</v>
      </c>
      <c r="E19">
        <v>0.48099999999999998</v>
      </c>
      <c r="F19">
        <v>0.20200000000000001</v>
      </c>
      <c r="G19">
        <v>12</v>
      </c>
      <c r="H19" s="78">
        <v>9.5982139999999994E-2</v>
      </c>
    </row>
    <row r="20" spans="1:8" x14ac:dyDescent="0.25">
      <c r="A20">
        <v>0.19500000000000001</v>
      </c>
      <c r="B20">
        <v>2.15</v>
      </c>
      <c r="C20">
        <v>18</v>
      </c>
      <c r="D20">
        <v>1</v>
      </c>
      <c r="E20">
        <v>0.58199999999999996</v>
      </c>
      <c r="F20">
        <v>0.79500000000000004</v>
      </c>
      <c r="G20">
        <v>14</v>
      </c>
      <c r="H20" s="78">
        <v>9.7350000000000006E-2</v>
      </c>
    </row>
    <row r="21" spans="1:8" x14ac:dyDescent="0.25">
      <c r="A21">
        <v>0.28699999999999998</v>
      </c>
      <c r="B21">
        <v>1</v>
      </c>
      <c r="C21">
        <v>10</v>
      </c>
      <c r="D21">
        <v>2</v>
      </c>
      <c r="E21">
        <v>0.68700000000000006</v>
      </c>
      <c r="F21">
        <v>0.441</v>
      </c>
      <c r="G21">
        <v>6</v>
      </c>
      <c r="H21" s="78">
        <f t="shared" ref="H21" si="2">$Q$11+SUMPRODUCT(A21:G21,$J$11:$P$11)</f>
        <v>9.4508900145999969E-2</v>
      </c>
    </row>
    <row r="22" spans="1:8" x14ac:dyDescent="0.25">
      <c r="A22">
        <v>0.29899999999999999</v>
      </c>
      <c r="B22">
        <v>1.03</v>
      </c>
      <c r="C22">
        <v>12</v>
      </c>
      <c r="D22">
        <v>1</v>
      </c>
      <c r="E22">
        <v>0.52700000000000002</v>
      </c>
      <c r="F22">
        <v>0.20100000000000001</v>
      </c>
      <c r="G22">
        <v>6</v>
      </c>
      <c r="H22" s="78">
        <v>0.109375</v>
      </c>
    </row>
    <row r="23" spans="1:8" x14ac:dyDescent="0.25">
      <c r="A23">
        <v>0.16600000000000001</v>
      </c>
      <c r="B23">
        <v>1.78</v>
      </c>
      <c r="C23">
        <v>10</v>
      </c>
      <c r="D23">
        <v>2</v>
      </c>
      <c r="E23">
        <v>0.433</v>
      </c>
      <c r="F23">
        <v>0.753</v>
      </c>
      <c r="G23">
        <v>12</v>
      </c>
      <c r="H23" s="78">
        <v>0.15625</v>
      </c>
    </row>
    <row r="24" spans="1:8" x14ac:dyDescent="0.25">
      <c r="A24">
        <v>0.153</v>
      </c>
      <c r="B24">
        <v>1</v>
      </c>
      <c r="C24">
        <v>5</v>
      </c>
      <c r="D24">
        <v>1</v>
      </c>
      <c r="E24">
        <v>0.79900000000000004</v>
      </c>
      <c r="F24">
        <v>0.78100000000000003</v>
      </c>
      <c r="G24">
        <v>9</v>
      </c>
      <c r="H24" s="78">
        <v>8.2600000000000007E-2</v>
      </c>
    </row>
    <row r="25" spans="1:8" x14ac:dyDescent="0.25">
      <c r="A25">
        <v>0.106</v>
      </c>
      <c r="B25">
        <v>1.1299999999999999</v>
      </c>
      <c r="C25">
        <v>13</v>
      </c>
      <c r="D25">
        <v>1</v>
      </c>
      <c r="E25">
        <v>0.53500000000000003</v>
      </c>
      <c r="F25">
        <v>0.86099999999999999</v>
      </c>
      <c r="G25">
        <v>20</v>
      </c>
      <c r="H25" s="78">
        <v>4.0099999999999997E-2</v>
      </c>
    </row>
    <row r="26" spans="1:8" x14ac:dyDescent="0.25">
      <c r="A26">
        <v>0.3</v>
      </c>
      <c r="B26">
        <v>0.78300000000000003</v>
      </c>
      <c r="C26">
        <v>17</v>
      </c>
      <c r="D26">
        <v>1</v>
      </c>
      <c r="E26">
        <v>0.54900000000000004</v>
      </c>
      <c r="F26">
        <v>0.3</v>
      </c>
      <c r="G26">
        <v>7</v>
      </c>
      <c r="H26" s="78">
        <v>9.0999999999999998E-2</v>
      </c>
    </row>
    <row r="27" spans="1:8" x14ac:dyDescent="0.25">
      <c r="A27">
        <v>0.19800000000000001</v>
      </c>
      <c r="B27">
        <v>0.53500000000000003</v>
      </c>
      <c r="C27">
        <v>11</v>
      </c>
      <c r="D27">
        <v>4</v>
      </c>
      <c r="E27">
        <v>0.79700000000000004</v>
      </c>
      <c r="F27">
        <v>0.99</v>
      </c>
      <c r="G27">
        <v>9</v>
      </c>
      <c r="H27" s="78">
        <v>9.8000000000000004E-2</v>
      </c>
    </row>
    <row r="28" spans="1:8" x14ac:dyDescent="0.25">
      <c r="A28">
        <v>0.25700000000000001</v>
      </c>
      <c r="B28">
        <v>1.1299999999999999</v>
      </c>
      <c r="C28">
        <v>10</v>
      </c>
      <c r="D28">
        <v>1</v>
      </c>
      <c r="E28">
        <v>0.51900000000000002</v>
      </c>
      <c r="F28">
        <v>0.42699999999999999</v>
      </c>
      <c r="G28">
        <v>6</v>
      </c>
      <c r="H28" s="78">
        <v>0.12720000000000001</v>
      </c>
    </row>
    <row r="29" spans="1:8" x14ac:dyDescent="0.25">
      <c r="A29">
        <v>0.21199999999999999</v>
      </c>
      <c r="B29">
        <v>1.1000000000000001</v>
      </c>
      <c r="C29">
        <v>11</v>
      </c>
      <c r="D29">
        <v>1</v>
      </c>
      <c r="E29">
        <v>0.35899999999999999</v>
      </c>
      <c r="F29">
        <v>0.58299999999999996</v>
      </c>
      <c r="G29">
        <v>8</v>
      </c>
      <c r="H29" s="78">
        <v>0.15840000000000001</v>
      </c>
    </row>
    <row r="30" spans="1:8" x14ac:dyDescent="0.25">
      <c r="A30">
        <v>0.3</v>
      </c>
      <c r="B30">
        <v>0.51300000000000001</v>
      </c>
      <c r="C30">
        <v>15</v>
      </c>
      <c r="D30">
        <v>1</v>
      </c>
      <c r="E30">
        <v>0.34899999999999998</v>
      </c>
      <c r="F30">
        <v>0.36199999999999999</v>
      </c>
      <c r="G30">
        <v>7</v>
      </c>
      <c r="H30" s="78">
        <v>0.1875</v>
      </c>
    </row>
    <row r="31" spans="1:8" x14ac:dyDescent="0.25">
      <c r="A31">
        <v>0.25</v>
      </c>
      <c r="B31">
        <v>1.52</v>
      </c>
      <c r="C31">
        <v>20</v>
      </c>
      <c r="D31">
        <v>1</v>
      </c>
      <c r="E31">
        <v>0.627</v>
      </c>
      <c r="F31">
        <v>0.66700000000000004</v>
      </c>
      <c r="G31">
        <v>10</v>
      </c>
      <c r="H31" s="78">
        <v>4.9099999999999998E-2</v>
      </c>
    </row>
    <row r="32" spans="1:8" x14ac:dyDescent="0.25">
      <c r="A32">
        <v>0.19900000000000001</v>
      </c>
      <c r="B32">
        <v>0.503</v>
      </c>
      <c r="C32">
        <v>12</v>
      </c>
      <c r="D32">
        <v>4</v>
      </c>
      <c r="E32">
        <v>0.61499999999999999</v>
      </c>
      <c r="F32">
        <v>0.35399999999999998</v>
      </c>
      <c r="G32">
        <v>10</v>
      </c>
      <c r="H32" s="78">
        <v>0.16070000000000001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21E0D-49E8-48E8-A193-69A56257C35E}">
  <sheetPr codeName="Hoja5"/>
  <dimension ref="A1:F39"/>
  <sheetViews>
    <sheetView workbookViewId="0">
      <selection activeCell="I6" sqref="I6"/>
    </sheetView>
  </sheetViews>
  <sheetFormatPr baseColWidth="10" defaultRowHeight="15" x14ac:dyDescent="0.25"/>
  <cols>
    <col min="3" max="3" width="18.42578125" bestFit="1" customWidth="1" collapsed="1"/>
    <col min="4" max="4" width="19.42578125" bestFit="1" customWidth="1" collapsed="1"/>
    <col min="6" max="6" width="12.5703125" bestFit="1" customWidth="1" collapsed="1"/>
  </cols>
  <sheetData>
    <row r="1" spans="1:6" x14ac:dyDescent="0.25">
      <c r="A1" s="54" t="s">
        <v>297</v>
      </c>
      <c r="B1" s="54" t="s">
        <v>305</v>
      </c>
      <c r="C1" s="54" t="s">
        <v>299</v>
      </c>
      <c r="D1" s="54" t="s">
        <v>300</v>
      </c>
      <c r="E1" s="54" t="s">
        <v>301</v>
      </c>
      <c r="F1" s="54" t="s">
        <v>302</v>
      </c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x14ac:dyDescent="0.25">
      <c r="A5" s="1"/>
      <c r="B5" s="1"/>
      <c r="C5" s="1"/>
      <c r="D5" s="1"/>
      <c r="E5" s="1"/>
      <c r="F5" s="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"/>
      <c r="B7" s="1"/>
      <c r="C7" s="1"/>
      <c r="D7" s="1"/>
      <c r="E7" s="1"/>
      <c r="F7" s="1"/>
    </row>
    <row r="8" spans="1:6" x14ac:dyDescent="0.25">
      <c r="A8" s="1"/>
      <c r="B8" s="1"/>
      <c r="C8" s="1"/>
      <c r="D8" s="1"/>
      <c r="E8" s="1"/>
      <c r="F8" s="1"/>
    </row>
    <row r="9" spans="1:6" x14ac:dyDescent="0.25">
      <c r="A9" s="1"/>
      <c r="B9" s="1"/>
      <c r="C9" s="1"/>
      <c r="D9" s="1"/>
      <c r="E9" s="1"/>
      <c r="F9" s="1"/>
    </row>
    <row r="10" spans="1:6" x14ac:dyDescent="0.25">
      <c r="A10" s="1"/>
      <c r="B10" s="1"/>
      <c r="C10" s="1"/>
      <c r="D10" s="1"/>
      <c r="E10" s="1"/>
      <c r="F10" s="1"/>
    </row>
    <row r="11" spans="1:6" x14ac:dyDescent="0.25">
      <c r="A11" s="1"/>
      <c r="B11" s="1"/>
      <c r="C11" s="1"/>
      <c r="D11" s="1"/>
      <c r="E11" s="1"/>
      <c r="F11" s="1"/>
    </row>
    <row r="12" spans="1:6" x14ac:dyDescent="0.25">
      <c r="A12" s="1"/>
      <c r="B12" s="1"/>
      <c r="C12" s="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"/>
      <c r="B15" s="1"/>
      <c r="C15" s="1"/>
      <c r="D15" s="1"/>
      <c r="E15" s="1"/>
      <c r="F15" s="1"/>
    </row>
    <row r="16" spans="1:6" x14ac:dyDescent="0.25">
      <c r="A16" s="1"/>
      <c r="B16" s="1"/>
      <c r="C16" s="1"/>
      <c r="D16" s="1"/>
      <c r="E16" s="1"/>
      <c r="F16" s="1"/>
    </row>
    <row r="17" spans="1:6" x14ac:dyDescent="0.25">
      <c r="A17" s="1"/>
      <c r="B17" s="1"/>
      <c r="C17" s="1"/>
      <c r="D17" s="1"/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  <row r="30" spans="1:6" x14ac:dyDescent="0.25">
      <c r="A30" s="1"/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  <row r="32" spans="1:6" x14ac:dyDescent="0.25">
      <c r="A32" s="1"/>
      <c r="B32" s="1"/>
      <c r="C32" s="1"/>
      <c r="D32" s="1"/>
      <c r="E32" s="1"/>
      <c r="F32" s="1"/>
    </row>
    <row r="33" spans="1:6" x14ac:dyDescent="0.25">
      <c r="A33" s="1"/>
      <c r="B33" s="1"/>
      <c r="C33" s="1"/>
      <c r="D33" s="1"/>
      <c r="E33" s="1"/>
      <c r="F33" s="1"/>
    </row>
    <row r="34" spans="1:6" x14ac:dyDescent="0.25">
      <c r="A34" s="1"/>
      <c r="B34" s="1"/>
      <c r="C34" s="1"/>
      <c r="D34" s="1"/>
      <c r="E34" s="1"/>
      <c r="F34" s="1"/>
    </row>
    <row r="35" spans="1:6" x14ac:dyDescent="0.25">
      <c r="A35" s="1"/>
      <c r="B35" s="1"/>
      <c r="C35" s="1"/>
      <c r="D35" s="1"/>
      <c r="E35" s="1"/>
      <c r="F35" s="1"/>
    </row>
    <row r="36" spans="1:6" x14ac:dyDescent="0.25">
      <c r="A36" s="1"/>
      <c r="B36" s="1"/>
      <c r="C36" s="1"/>
      <c r="D36" s="1"/>
      <c r="E36" s="1"/>
      <c r="F36" s="1"/>
    </row>
    <row r="37" spans="1:6" x14ac:dyDescent="0.25">
      <c r="A37" s="1"/>
      <c r="B37" s="1"/>
      <c r="C37" s="1"/>
      <c r="D37" s="1"/>
      <c r="E37" s="1"/>
      <c r="F37" s="1"/>
    </row>
    <row r="38" spans="1:6" x14ac:dyDescent="0.25">
      <c r="A38" s="1"/>
      <c r="B38" s="1"/>
      <c r="C38" s="1"/>
      <c r="D38" s="1"/>
      <c r="E38" s="1"/>
      <c r="F38" s="1"/>
    </row>
    <row r="39" spans="1:6" x14ac:dyDescent="0.25">
      <c r="A39" t="e">
        <f t="shared" ref="A39:F39" si="0">AVERAGE(A2:A38)</f>
        <v>#DIV/0!</v>
      </c>
      <c r="B39" t="e">
        <f t="shared" si="0"/>
        <v>#DIV/0!</v>
      </c>
      <c r="C39" t="e">
        <f t="shared" si="0"/>
        <v>#DIV/0!</v>
      </c>
      <c r="D39" t="e">
        <f t="shared" si="0"/>
        <v>#DIV/0!</v>
      </c>
      <c r="E39" t="e">
        <f t="shared" si="0"/>
        <v>#DIV/0!</v>
      </c>
      <c r="F39" t="e">
        <f t="shared" si="0"/>
        <v>#DIV/0!</v>
      </c>
    </row>
  </sheetData>
  <phoneticPr fontId="8" type="noConversion"/>
  <conditionalFormatting sqref="A2:D38">
    <cfRule type="cellIs" dxfId="5" priority="69" operator="equal">
      <formula>0</formula>
    </cfRule>
  </conditionalFormatting>
  <conditionalFormatting sqref="A2:D38">
    <cfRule type="cellIs" dxfId="4" priority="70" operator="equal">
      <formula>1</formula>
    </cfRule>
  </conditionalFormatting>
  <conditionalFormatting sqref="E2:F38">
    <cfRule type="cellIs" dxfId="3" priority="1" operator="equal">
      <formula>0</formula>
    </cfRule>
  </conditionalFormatting>
  <conditionalFormatting sqref="E2:F38">
    <cfRule type="cellIs" dxfId="2" priority="2" operator="equal">
      <formula>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DA4CF-CF86-4EA4-B649-9EDC29A9FC35}">
  <sheetPr codeName="Hoja6"/>
  <dimension ref="A1:G160"/>
  <sheetViews>
    <sheetView zoomScaleNormal="100" workbookViewId="0">
      <pane ySplit="1" topLeftCell="A2" activePane="bottomLeft" state="frozen"/>
      <selection pane="bottomLeft" activeCell="F2" sqref="F2"/>
    </sheetView>
  </sheetViews>
  <sheetFormatPr baseColWidth="10" defaultRowHeight="15" x14ac:dyDescent="0.25"/>
  <cols>
    <col min="1" max="1" width="11.85546875" style="45" bestFit="1" customWidth="1" collapsed="1"/>
    <col min="2" max="2" width="15.28515625" style="45" bestFit="1" customWidth="1" collapsed="1"/>
    <col min="3" max="3" width="16" style="45" bestFit="1" customWidth="1" collapsed="1"/>
    <col min="4" max="4" width="2.7109375" customWidth="1" collapsed="1"/>
    <col min="5" max="5" width="14.5703125" bestFit="1" customWidth="1" collapsed="1"/>
    <col min="6" max="6" width="13" bestFit="1" customWidth="1" collapsed="1"/>
    <col min="7" max="7" width="15.28515625" bestFit="1" customWidth="1" collapsed="1"/>
  </cols>
  <sheetData>
    <row r="1" spans="1:7" x14ac:dyDescent="0.25">
      <c r="A1" s="50" t="s">
        <v>277</v>
      </c>
      <c r="B1" s="50" t="s">
        <v>278</v>
      </c>
      <c r="C1" s="50" t="s">
        <v>279</v>
      </c>
      <c r="E1" s="2" t="s">
        <v>8</v>
      </c>
      <c r="F1" s="2" t="s">
        <v>9</v>
      </c>
    </row>
    <row r="2" spans="1:7" x14ac:dyDescent="0.25">
      <c r="A2" s="47"/>
      <c r="B2" s="48"/>
      <c r="C2" s="48"/>
      <c r="E2" s="6">
        <f>490000+135000+100000+100000+50000+200000</f>
        <v>1075000</v>
      </c>
      <c r="F2" s="6">
        <v>250000</v>
      </c>
    </row>
    <row r="3" spans="1:7" x14ac:dyDescent="0.25">
      <c r="A3" s="47"/>
      <c r="B3" s="49"/>
      <c r="C3" s="48"/>
      <c r="E3" s="6">
        <f>350000+140000</f>
        <v>490000</v>
      </c>
      <c r="F3" s="6">
        <v>150000</v>
      </c>
    </row>
    <row r="4" spans="1:7" x14ac:dyDescent="0.25">
      <c r="A4" s="47"/>
      <c r="B4" s="49"/>
      <c r="C4" s="48"/>
      <c r="E4" s="6">
        <v>310000</v>
      </c>
      <c r="F4" s="6">
        <v>260000</v>
      </c>
    </row>
    <row r="5" spans="1:7" x14ac:dyDescent="0.25">
      <c r="A5" s="47"/>
      <c r="B5" s="49"/>
      <c r="C5" s="48"/>
      <c r="E5" s="6">
        <v>250000</v>
      </c>
      <c r="F5" s="6"/>
    </row>
    <row r="6" spans="1:7" x14ac:dyDescent="0.25">
      <c r="A6" s="47"/>
      <c r="B6" s="49"/>
      <c r="C6" s="48"/>
      <c r="E6" s="7">
        <v>380000</v>
      </c>
      <c r="F6" s="7"/>
    </row>
    <row r="7" spans="1:7" x14ac:dyDescent="0.25">
      <c r="A7" s="47"/>
      <c r="B7" s="49"/>
      <c r="C7" s="48"/>
      <c r="E7" s="5">
        <f>SUM(E2:E6)</f>
        <v>2505000</v>
      </c>
      <c r="F7" s="5">
        <f>SUM(F2:F6)</f>
        <v>660000</v>
      </c>
      <c r="G7" s="44">
        <f>F7-E7</f>
        <v>-1845000</v>
      </c>
    </row>
    <row r="8" spans="1:7" x14ac:dyDescent="0.25">
      <c r="A8" s="47"/>
      <c r="B8" s="49"/>
      <c r="C8" s="48"/>
      <c r="E8" s="44"/>
    </row>
    <row r="9" spans="1:7" x14ac:dyDescent="0.25">
      <c r="A9" s="47"/>
      <c r="B9" s="49"/>
      <c r="C9" s="48"/>
    </row>
    <row r="10" spans="1:7" x14ac:dyDescent="0.25">
      <c r="A10" s="47"/>
      <c r="B10" s="49"/>
      <c r="C10" s="48"/>
      <c r="G10" s="6"/>
    </row>
    <row r="11" spans="1:7" x14ac:dyDescent="0.25">
      <c r="A11" s="47"/>
      <c r="B11" s="49"/>
      <c r="C11" s="48"/>
      <c r="G11" s="44"/>
    </row>
    <row r="12" spans="1:7" x14ac:dyDescent="0.25">
      <c r="A12" s="47"/>
      <c r="B12" s="49"/>
      <c r="C12" s="48"/>
      <c r="G12" s="44"/>
    </row>
    <row r="13" spans="1:7" x14ac:dyDescent="0.25">
      <c r="A13" s="47"/>
      <c r="B13" s="49"/>
      <c r="C13" s="48"/>
      <c r="D13" s="44"/>
      <c r="G13" s="44"/>
    </row>
    <row r="14" spans="1:7" x14ac:dyDescent="0.25">
      <c r="A14" s="47"/>
      <c r="B14" s="49"/>
      <c r="C14" s="48"/>
    </row>
    <row r="15" spans="1:7" x14ac:dyDescent="0.25">
      <c r="A15" s="47"/>
      <c r="B15" s="49"/>
      <c r="C15" s="48"/>
    </row>
    <row r="16" spans="1:7" x14ac:dyDescent="0.25">
      <c r="A16" s="47"/>
      <c r="B16" s="49"/>
      <c r="C16" s="48"/>
    </row>
    <row r="17" spans="1:3" x14ac:dyDescent="0.25">
      <c r="A17" s="47"/>
      <c r="B17" s="49"/>
      <c r="C17" s="48"/>
    </row>
    <row r="18" spans="1:3" x14ac:dyDescent="0.25">
      <c r="A18" s="47"/>
      <c r="B18" s="49"/>
      <c r="C18" s="48"/>
    </row>
    <row r="19" spans="1:3" x14ac:dyDescent="0.25">
      <c r="A19" s="47"/>
      <c r="B19" s="49"/>
      <c r="C19" s="48"/>
    </row>
    <row r="20" spans="1:3" x14ac:dyDescent="0.25">
      <c r="A20" s="47"/>
      <c r="B20" s="49"/>
      <c r="C20" s="48"/>
    </row>
    <row r="21" spans="1:3" x14ac:dyDescent="0.25">
      <c r="A21" s="47"/>
      <c r="B21" s="49"/>
    </row>
    <row r="22" spans="1:3" x14ac:dyDescent="0.25">
      <c r="A22" s="47"/>
      <c r="B22" s="49"/>
    </row>
    <row r="23" spans="1:3" x14ac:dyDescent="0.25">
      <c r="A23" s="47"/>
      <c r="B23" s="49"/>
      <c r="C23" s="47"/>
    </row>
    <row r="24" spans="1:3" x14ac:dyDescent="0.25">
      <c r="A24" s="47"/>
      <c r="B24" s="49"/>
    </row>
    <row r="25" spans="1:3" x14ac:dyDescent="0.25">
      <c r="A25" s="47"/>
      <c r="B25" s="49"/>
    </row>
    <row r="26" spans="1:3" x14ac:dyDescent="0.25">
      <c r="A26" s="47"/>
      <c r="B26" s="49"/>
    </row>
    <row r="27" spans="1:3" x14ac:dyDescent="0.25">
      <c r="A27" s="47"/>
      <c r="B27" s="49"/>
    </row>
    <row r="28" spans="1:3" x14ac:dyDescent="0.25">
      <c r="A28" s="47"/>
      <c r="B28" s="49"/>
    </row>
    <row r="36" spans="1:3" x14ac:dyDescent="0.25">
      <c r="A36" s="46"/>
      <c r="B36" s="46"/>
      <c r="C36" s="47"/>
    </row>
    <row r="50" spans="1:3" x14ac:dyDescent="0.25">
      <c r="A50" s="46"/>
      <c r="B50" s="46"/>
      <c r="C50" s="47"/>
    </row>
    <row r="72" spans="1:3" x14ac:dyDescent="0.25">
      <c r="A72" s="46"/>
      <c r="B72" s="46"/>
      <c r="C72" s="47"/>
    </row>
    <row r="82" spans="1:3" x14ac:dyDescent="0.25">
      <c r="A82" s="46"/>
      <c r="B82" s="46"/>
      <c r="C82" s="47"/>
    </row>
    <row r="98" spans="1:3" x14ac:dyDescent="0.25">
      <c r="A98" s="46"/>
      <c r="B98" s="46"/>
      <c r="C98" s="47"/>
    </row>
    <row r="128" spans="1:3" x14ac:dyDescent="0.25">
      <c r="A128" s="46"/>
      <c r="B128" s="46"/>
      <c r="C128" s="47"/>
    </row>
    <row r="142" spans="1:3" x14ac:dyDescent="0.25">
      <c r="A142" s="46"/>
      <c r="B142" s="46"/>
      <c r="C142" s="47"/>
    </row>
    <row r="157" spans="1:3" x14ac:dyDescent="0.25">
      <c r="A157" s="46"/>
      <c r="B157" s="46"/>
    </row>
    <row r="160" spans="1:3" x14ac:dyDescent="0.25">
      <c r="A160" s="46"/>
      <c r="B160" s="46"/>
      <c r="C160" s="47"/>
    </row>
  </sheetData>
  <conditionalFormatting sqref="G7">
    <cfRule type="cellIs" dxfId="1" priority="4" operator="greaterThan">
      <formula>0</formula>
    </cfRule>
    <cfRule type="cellIs" dxfId="0" priority="5" operator="lessThan">
      <formula>0</formula>
    </cfRule>
  </conditionalFormatting>
  <conditionalFormatting sqref="B1:B1048576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C1:C1048576">
    <cfRule type="iconSet" priority="2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BD8C14609FB3247A538D5817E592B08" ma:contentTypeVersion="2" ma:contentTypeDescription="Crear nuevo documento." ma:contentTypeScope="" ma:versionID="d7ac9ceeadd84d56f69e302255ab9ba3">
  <xsd:schema xmlns:xsd="http://www.w3.org/2001/XMLSchema" xmlns:xs="http://www.w3.org/2001/XMLSchema" xmlns:p="http://schemas.microsoft.com/office/2006/metadata/properties" xmlns:ns3="0a64715f-a309-4c36-bc5f-9df4b5b05b53" targetNamespace="http://schemas.microsoft.com/office/2006/metadata/properties" ma:root="true" ma:fieldsID="1d8d71d93022a8d7fb92894b61669a8b" ns3:_="">
    <xsd:import namespace="0a64715f-a309-4c36-bc5f-9df4b5b05b5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64715f-a309-4c36-bc5f-9df4b5b05b5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FE9CBE0-00C8-4244-A72C-D64F31AD7160}">
  <ds:schemaRefs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terms/"/>
    <ds:schemaRef ds:uri="0a64715f-a309-4c36-bc5f-9df4b5b05b53"/>
    <ds:schemaRef ds:uri="http://www.w3.org/XML/1998/namespace"/>
    <ds:schemaRef ds:uri="http://purl.org/dc/elements/1.1/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BF229C24-CD04-4E83-A2EB-91A7FDAFFE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64715f-a309-4c36-bc5f-9df4b5b05b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8D08C75-9356-43BF-BD48-C4911BDB5E0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Hoja1</vt:lpstr>
      <vt:lpstr>Base de Datos - Equipos</vt:lpstr>
      <vt:lpstr>Resultados</vt:lpstr>
      <vt:lpstr>Predicciones</vt:lpstr>
      <vt:lpstr>XGBoost parametros</vt:lpstr>
      <vt:lpstr>XGB Goles</vt:lpstr>
      <vt:lpstr>Registro Error</vt:lpstr>
      <vt:lpstr>Ganancias 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Leasing</dc:creator>
  <cp:lastModifiedBy>Leasing</cp:lastModifiedBy>
  <dcterms:created xsi:type="dcterms:W3CDTF">2020-04-09T01:12:57Z</dcterms:created>
  <dcterms:modified xsi:type="dcterms:W3CDTF">2021-12-06T17:47:57Z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0x0101001BD8C14609FB3247A538D5817E592B08</vt:lpwstr>
  </property>
</Properties>
</file>